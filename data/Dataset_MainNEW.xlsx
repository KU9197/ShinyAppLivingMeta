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D1955\sciebo\sciebo2021\Arbeit\WMA\PhD Projekt\Meta Analysis\Meta Analysis_Analysis\Data_final\"/>
    </mc:Choice>
  </mc:AlternateContent>
  <xr:revisionPtr revIDLastSave="0" documentId="13_ncr:1_{86F2F31E-5346-4D40-B3FA-126216047FC6}" xr6:coauthVersionLast="47" xr6:coauthVersionMax="47" xr10:uidLastSave="{00000000-0000-0000-0000-000000000000}"/>
  <bookViews>
    <workbookView xWindow="-3825" yWindow="-21720" windowWidth="38640" windowHeight="21120" xr2:uid="{3941EE35-F6F8-421D-B1A2-320B603C8C12}"/>
  </bookViews>
  <sheets>
    <sheet name="Dataset_Main" sheetId="1" r:id="rId1"/>
  </sheets>
  <definedNames>
    <definedName name="_xlnm._FilterDatabase" localSheetId="0" hidden="1">Dataset_Main!$A$1:$CI$308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J172" i="1" l="1"/>
  <c r="CJ171" i="1"/>
  <c r="CI171" i="1"/>
  <c r="CD171" i="1"/>
  <c r="CJ166" i="1"/>
  <c r="CJ56" i="1"/>
  <c r="CJ57" i="1"/>
  <c r="CJ55" i="1"/>
  <c r="CI55" i="1"/>
  <c r="CJ3" i="1"/>
  <c r="CJ4" i="1"/>
  <c r="CJ5" i="1"/>
  <c r="CJ6" i="1"/>
  <c r="CJ7" i="1"/>
  <c r="CJ8" i="1"/>
  <c r="CJ9" i="1"/>
  <c r="CJ10" i="1"/>
  <c r="CJ11" i="1"/>
  <c r="CJ12" i="1"/>
  <c r="CJ13" i="1"/>
  <c r="CJ14" i="1"/>
  <c r="CJ15" i="1"/>
  <c r="CJ16" i="1"/>
  <c r="CJ17" i="1"/>
  <c r="CJ18" i="1"/>
  <c r="CJ19" i="1"/>
  <c r="CJ20" i="1"/>
  <c r="CJ21" i="1"/>
  <c r="CJ22" i="1"/>
  <c r="CJ23" i="1"/>
  <c r="CJ24" i="1"/>
  <c r="CJ25" i="1"/>
  <c r="CJ26" i="1"/>
  <c r="CJ27" i="1"/>
  <c r="CJ28" i="1"/>
  <c r="CJ29" i="1"/>
  <c r="CJ30" i="1"/>
  <c r="CJ31" i="1"/>
  <c r="CJ32" i="1"/>
  <c r="CJ33" i="1"/>
  <c r="CJ34" i="1"/>
  <c r="CJ35" i="1"/>
  <c r="CJ36" i="1"/>
  <c r="CJ37" i="1"/>
  <c r="CJ38" i="1"/>
  <c r="CJ39" i="1"/>
  <c r="CJ40" i="1"/>
  <c r="CJ41" i="1"/>
  <c r="CJ42" i="1"/>
  <c r="CJ43" i="1"/>
  <c r="CJ44" i="1"/>
  <c r="CJ45" i="1"/>
  <c r="CJ46" i="1"/>
  <c r="CJ47" i="1"/>
  <c r="CJ48" i="1"/>
  <c r="CJ49" i="1"/>
  <c r="CJ50" i="1"/>
  <c r="CJ51" i="1"/>
  <c r="CJ52" i="1"/>
  <c r="CJ53" i="1"/>
  <c r="CJ54" i="1"/>
  <c r="CJ58" i="1"/>
  <c r="CJ59" i="1"/>
  <c r="CJ60" i="1"/>
  <c r="CJ61" i="1"/>
  <c r="CJ62" i="1"/>
  <c r="CJ63" i="1"/>
  <c r="CJ64" i="1"/>
  <c r="CJ65" i="1"/>
  <c r="CJ66" i="1"/>
  <c r="CJ67" i="1"/>
  <c r="CJ68" i="1"/>
  <c r="CJ69" i="1"/>
  <c r="CJ70" i="1"/>
  <c r="CJ71" i="1"/>
  <c r="CJ72" i="1"/>
  <c r="CJ73" i="1"/>
  <c r="CJ74" i="1"/>
  <c r="CJ75" i="1"/>
  <c r="CJ76" i="1"/>
  <c r="CJ77" i="1"/>
  <c r="CJ78" i="1"/>
  <c r="CJ79" i="1"/>
  <c r="CJ80" i="1"/>
  <c r="CJ81" i="1"/>
  <c r="CJ82" i="1"/>
  <c r="CJ83" i="1"/>
  <c r="CJ84" i="1"/>
  <c r="CJ85" i="1"/>
  <c r="CJ86" i="1"/>
  <c r="CJ87" i="1"/>
  <c r="CJ88" i="1"/>
  <c r="CJ89" i="1"/>
  <c r="CJ90" i="1"/>
  <c r="CJ91" i="1"/>
  <c r="CJ92" i="1"/>
  <c r="CJ93" i="1"/>
  <c r="CJ94" i="1"/>
  <c r="CJ95" i="1"/>
  <c r="CJ96" i="1"/>
  <c r="CJ97" i="1"/>
  <c r="CJ98" i="1"/>
  <c r="CJ99" i="1"/>
  <c r="CJ100" i="1"/>
  <c r="CJ101" i="1"/>
  <c r="CJ102" i="1"/>
  <c r="CJ103" i="1"/>
  <c r="CJ104" i="1"/>
  <c r="CJ105" i="1"/>
  <c r="CJ106" i="1"/>
  <c r="CJ107" i="1"/>
  <c r="CJ108" i="1"/>
  <c r="CJ109" i="1"/>
  <c r="CJ110" i="1"/>
  <c r="CJ111" i="1"/>
  <c r="CJ112" i="1"/>
  <c r="CJ113" i="1"/>
  <c r="CJ114" i="1"/>
  <c r="CJ115" i="1"/>
  <c r="CJ116" i="1"/>
  <c r="CJ117" i="1"/>
  <c r="CJ118" i="1"/>
  <c r="CJ119" i="1"/>
  <c r="CJ120" i="1"/>
  <c r="CJ121" i="1"/>
  <c r="CJ122" i="1"/>
  <c r="CJ123" i="1"/>
  <c r="CJ124" i="1"/>
  <c r="CJ125" i="1"/>
  <c r="CJ126" i="1"/>
  <c r="CJ127" i="1"/>
  <c r="CJ128" i="1"/>
  <c r="CJ129" i="1"/>
  <c r="CJ130" i="1"/>
  <c r="CJ131" i="1"/>
  <c r="CJ132" i="1"/>
  <c r="CJ133" i="1"/>
  <c r="CJ134" i="1"/>
  <c r="CJ135" i="1"/>
  <c r="CJ136" i="1"/>
  <c r="CJ137" i="1"/>
  <c r="CJ138" i="1"/>
  <c r="CJ139" i="1"/>
  <c r="CJ140" i="1"/>
  <c r="CJ141" i="1"/>
  <c r="CJ142" i="1"/>
  <c r="CJ143" i="1"/>
  <c r="CJ144" i="1"/>
  <c r="CJ145" i="1"/>
  <c r="CJ146" i="1"/>
  <c r="CJ147" i="1"/>
  <c r="CJ148" i="1"/>
  <c r="CJ149" i="1"/>
  <c r="CJ150" i="1"/>
  <c r="CJ151" i="1"/>
  <c r="CJ152" i="1"/>
  <c r="CJ153" i="1"/>
  <c r="CJ154" i="1"/>
  <c r="CJ155" i="1"/>
  <c r="CJ156" i="1"/>
  <c r="CJ157" i="1"/>
  <c r="CJ158" i="1"/>
  <c r="CJ159" i="1"/>
  <c r="CJ160" i="1"/>
  <c r="CJ161" i="1"/>
  <c r="CJ162" i="1"/>
  <c r="CJ163" i="1"/>
  <c r="CJ164" i="1"/>
  <c r="CJ165" i="1"/>
  <c r="CJ167" i="1"/>
  <c r="CJ168" i="1"/>
  <c r="CJ169" i="1"/>
  <c r="CJ170" i="1"/>
  <c r="CJ173" i="1"/>
  <c r="CJ174" i="1"/>
  <c r="CJ175" i="1"/>
  <c r="CJ176" i="1"/>
  <c r="CJ177" i="1"/>
  <c r="CJ178" i="1"/>
  <c r="CJ179" i="1"/>
  <c r="CJ180" i="1"/>
  <c r="CJ181" i="1"/>
  <c r="CJ182" i="1"/>
  <c r="CJ183" i="1"/>
  <c r="CJ184" i="1"/>
  <c r="CJ185" i="1"/>
  <c r="CJ186" i="1"/>
  <c r="CJ187" i="1"/>
  <c r="CJ188" i="1"/>
  <c r="CJ189" i="1"/>
  <c r="CJ190" i="1"/>
  <c r="CJ191" i="1"/>
  <c r="CJ192" i="1"/>
  <c r="CJ193" i="1"/>
  <c r="CJ194" i="1"/>
  <c r="CJ195" i="1"/>
  <c r="CJ196" i="1"/>
  <c r="CJ197" i="1"/>
  <c r="CJ198" i="1"/>
  <c r="CJ199" i="1"/>
  <c r="CJ200" i="1"/>
  <c r="CJ201" i="1"/>
  <c r="CJ202" i="1"/>
  <c r="CJ203" i="1"/>
  <c r="CJ204" i="1"/>
  <c r="CJ205" i="1"/>
  <c r="CJ206" i="1"/>
  <c r="CJ207" i="1"/>
  <c r="CJ208" i="1"/>
  <c r="CJ209" i="1"/>
  <c r="CJ210" i="1"/>
  <c r="CJ211" i="1"/>
  <c r="CJ212" i="1"/>
  <c r="CJ213" i="1"/>
  <c r="CJ214" i="1"/>
  <c r="CJ215" i="1"/>
  <c r="CJ216" i="1"/>
  <c r="CJ217" i="1"/>
  <c r="CJ218" i="1"/>
  <c r="CJ219" i="1"/>
  <c r="CJ220" i="1"/>
  <c r="CJ221" i="1"/>
  <c r="CJ222" i="1"/>
  <c r="CJ223" i="1"/>
  <c r="CJ224" i="1"/>
  <c r="CJ225" i="1"/>
  <c r="CJ226" i="1"/>
  <c r="CJ227" i="1"/>
  <c r="CJ228" i="1"/>
  <c r="CJ229" i="1"/>
  <c r="CJ230" i="1"/>
  <c r="CJ231" i="1"/>
  <c r="CJ232" i="1"/>
  <c r="CJ233" i="1"/>
  <c r="CJ234" i="1"/>
  <c r="CJ235" i="1"/>
  <c r="CJ236" i="1"/>
  <c r="CJ237" i="1"/>
  <c r="CJ238" i="1"/>
  <c r="CJ239" i="1"/>
  <c r="CJ240" i="1"/>
  <c r="CJ241" i="1"/>
  <c r="CJ242" i="1"/>
  <c r="CJ243" i="1"/>
  <c r="CJ244" i="1"/>
  <c r="CJ245" i="1"/>
  <c r="CJ246" i="1"/>
  <c r="CJ247" i="1"/>
  <c r="CJ248" i="1"/>
  <c r="CJ249" i="1"/>
  <c r="CJ250" i="1"/>
  <c r="CJ251" i="1"/>
  <c r="CJ252" i="1"/>
  <c r="CJ253" i="1"/>
  <c r="CJ254" i="1"/>
  <c r="CJ255" i="1"/>
  <c r="CJ256" i="1"/>
  <c r="CJ257" i="1"/>
  <c r="CJ258" i="1"/>
  <c r="CJ259" i="1"/>
  <c r="CJ260" i="1"/>
  <c r="CJ261" i="1"/>
  <c r="CJ262" i="1"/>
  <c r="CJ263" i="1"/>
  <c r="CJ264" i="1"/>
  <c r="CJ265" i="1"/>
  <c r="CJ266" i="1"/>
  <c r="CJ267" i="1"/>
  <c r="CJ268" i="1"/>
  <c r="CJ269" i="1"/>
  <c r="CJ270" i="1"/>
  <c r="CJ271" i="1"/>
  <c r="CJ272" i="1"/>
  <c r="CJ273" i="1"/>
  <c r="CJ274" i="1"/>
  <c r="CJ275" i="1"/>
  <c r="CJ276" i="1"/>
  <c r="CJ277" i="1"/>
  <c r="CJ278" i="1"/>
  <c r="CJ279" i="1"/>
  <c r="CJ280" i="1"/>
  <c r="CJ281" i="1"/>
  <c r="CJ282" i="1"/>
  <c r="CJ283" i="1"/>
  <c r="CJ284" i="1"/>
  <c r="CJ285" i="1"/>
  <c r="CJ286" i="1"/>
  <c r="CJ287" i="1"/>
  <c r="CJ288" i="1"/>
  <c r="CJ289" i="1"/>
  <c r="CJ290" i="1"/>
  <c r="CJ291" i="1"/>
  <c r="CJ292" i="1"/>
  <c r="CJ293" i="1"/>
  <c r="CJ294" i="1"/>
  <c r="CJ295" i="1"/>
  <c r="CJ296" i="1"/>
  <c r="CJ297" i="1"/>
  <c r="CJ298" i="1"/>
  <c r="CJ299" i="1"/>
  <c r="CJ300" i="1"/>
  <c r="CJ301" i="1"/>
  <c r="CJ302" i="1"/>
  <c r="CJ303" i="1"/>
  <c r="CJ304" i="1"/>
  <c r="CJ305" i="1"/>
  <c r="CJ306" i="1"/>
  <c r="CJ307" i="1"/>
  <c r="CJ308" i="1"/>
  <c r="CJ2" i="1"/>
  <c r="CI2" i="1"/>
  <c r="CG3" i="1"/>
  <c r="CG4" i="1"/>
  <c r="CG5" i="1"/>
  <c r="CG6" i="1"/>
  <c r="CG7" i="1"/>
  <c r="CG8" i="1"/>
  <c r="CG9" i="1"/>
  <c r="CG10" i="1"/>
  <c r="CG11" i="1"/>
  <c r="CG12" i="1"/>
  <c r="CG13" i="1"/>
  <c r="CG14" i="1"/>
  <c r="CG15" i="1"/>
  <c r="CG16" i="1"/>
  <c r="CG17" i="1"/>
  <c r="CG18" i="1"/>
  <c r="CG19" i="1"/>
  <c r="CG20" i="1"/>
  <c r="CG21" i="1"/>
  <c r="CG22" i="1"/>
  <c r="CG23" i="1"/>
  <c r="CG24" i="1"/>
  <c r="CG25" i="1"/>
  <c r="CG26" i="1"/>
  <c r="CG27" i="1"/>
  <c r="CG28" i="1"/>
  <c r="CG29" i="1"/>
  <c r="CG30" i="1"/>
  <c r="CG31" i="1"/>
  <c r="CG32" i="1"/>
  <c r="CG33" i="1"/>
  <c r="CG34" i="1"/>
  <c r="CG35" i="1"/>
  <c r="CG36" i="1"/>
  <c r="CG37" i="1"/>
  <c r="CG38" i="1"/>
  <c r="CG39" i="1"/>
  <c r="CG40" i="1"/>
  <c r="CG41" i="1"/>
  <c r="CG42" i="1"/>
  <c r="CG43" i="1"/>
  <c r="CG44" i="1"/>
  <c r="CG45" i="1"/>
  <c r="CG46" i="1"/>
  <c r="CG47" i="1"/>
  <c r="CG48" i="1"/>
  <c r="CG49" i="1"/>
  <c r="CG50" i="1"/>
  <c r="CG51" i="1"/>
  <c r="CG52" i="1"/>
  <c r="CG53" i="1"/>
  <c r="CG54" i="1"/>
  <c r="CG55" i="1"/>
  <c r="CG56" i="1"/>
  <c r="CG57" i="1"/>
  <c r="CG58" i="1"/>
  <c r="CG59" i="1"/>
  <c r="CG60" i="1"/>
  <c r="CG61" i="1"/>
  <c r="CG62" i="1"/>
  <c r="CG63" i="1"/>
  <c r="CG64" i="1"/>
  <c r="CG65" i="1"/>
  <c r="CG66" i="1"/>
  <c r="CG67" i="1"/>
  <c r="CG68" i="1"/>
  <c r="CG69" i="1"/>
  <c r="CG70" i="1"/>
  <c r="CG71" i="1"/>
  <c r="CG72" i="1"/>
  <c r="CG73" i="1"/>
  <c r="CG74" i="1"/>
  <c r="CG75" i="1"/>
  <c r="CG76" i="1"/>
  <c r="CG77" i="1"/>
  <c r="CG78" i="1"/>
  <c r="CG79" i="1"/>
  <c r="CG80" i="1"/>
  <c r="CG81" i="1"/>
  <c r="CG82" i="1"/>
  <c r="CG83" i="1"/>
  <c r="CG84" i="1"/>
  <c r="CG85" i="1"/>
  <c r="CG86" i="1"/>
  <c r="CG87" i="1"/>
  <c r="CG88" i="1"/>
  <c r="CG89" i="1"/>
  <c r="CG90" i="1"/>
  <c r="CG91" i="1"/>
  <c r="CG92" i="1"/>
  <c r="CG93" i="1"/>
  <c r="CG94" i="1"/>
  <c r="CG95" i="1"/>
  <c r="CG96" i="1"/>
  <c r="CG97" i="1"/>
  <c r="CG98" i="1"/>
  <c r="CG99" i="1"/>
  <c r="CG100" i="1"/>
  <c r="CG101" i="1"/>
  <c r="CG102" i="1"/>
  <c r="CG103" i="1"/>
  <c r="CG104" i="1"/>
  <c r="CG105" i="1"/>
  <c r="CG106" i="1"/>
  <c r="CG107" i="1"/>
  <c r="CG108" i="1"/>
  <c r="CG109" i="1"/>
  <c r="CG110" i="1"/>
  <c r="CG111" i="1"/>
  <c r="CG112" i="1"/>
  <c r="CG113" i="1"/>
  <c r="CG114" i="1"/>
  <c r="CG115" i="1"/>
  <c r="CG116" i="1"/>
  <c r="CG117" i="1"/>
  <c r="CG118" i="1"/>
  <c r="CG119" i="1"/>
  <c r="CG120" i="1"/>
  <c r="CG121" i="1"/>
  <c r="CG122" i="1"/>
  <c r="CG123" i="1"/>
  <c r="CG124" i="1"/>
  <c r="CG125" i="1"/>
  <c r="CG126" i="1"/>
  <c r="CG127" i="1"/>
  <c r="CG128" i="1"/>
  <c r="CG129" i="1"/>
  <c r="CG130" i="1"/>
  <c r="CG131" i="1"/>
  <c r="CG132" i="1"/>
  <c r="CG133" i="1"/>
  <c r="CG134" i="1"/>
  <c r="CG135" i="1"/>
  <c r="CG136" i="1"/>
  <c r="CG137" i="1"/>
  <c r="CG138" i="1"/>
  <c r="CG139" i="1"/>
  <c r="CG140" i="1"/>
  <c r="CG141" i="1"/>
  <c r="CG142" i="1"/>
  <c r="CG143" i="1"/>
  <c r="CG144" i="1"/>
  <c r="CG145" i="1"/>
  <c r="CG146" i="1"/>
  <c r="CG147" i="1"/>
  <c r="CG148" i="1"/>
  <c r="CG149" i="1"/>
  <c r="CG150" i="1"/>
  <c r="CG151" i="1"/>
  <c r="CG152" i="1"/>
  <c r="CG153" i="1"/>
  <c r="CG154" i="1"/>
  <c r="CG155" i="1"/>
  <c r="CG156" i="1"/>
  <c r="CG157" i="1"/>
  <c r="CG158" i="1"/>
  <c r="CG159" i="1"/>
  <c r="CG160" i="1"/>
  <c r="CG161" i="1"/>
  <c r="CG162" i="1"/>
  <c r="CG163" i="1"/>
  <c r="CG164" i="1"/>
  <c r="CG165" i="1"/>
  <c r="CG166" i="1"/>
  <c r="CG167" i="1"/>
  <c r="CG168" i="1"/>
  <c r="CG169" i="1"/>
  <c r="CG170" i="1"/>
  <c r="CG172" i="1"/>
  <c r="CG173" i="1"/>
  <c r="CG174" i="1"/>
  <c r="CG175" i="1"/>
  <c r="CG176" i="1"/>
  <c r="CG177" i="1"/>
  <c r="CG178" i="1"/>
  <c r="CG179" i="1"/>
  <c r="CG180" i="1"/>
  <c r="CG181" i="1"/>
  <c r="CG182" i="1"/>
  <c r="CG183" i="1"/>
  <c r="CG184" i="1"/>
  <c r="CG185" i="1"/>
  <c r="CG186" i="1"/>
  <c r="CG187" i="1"/>
  <c r="CG188" i="1"/>
  <c r="CG189" i="1"/>
  <c r="CG190" i="1"/>
  <c r="CG191" i="1"/>
  <c r="CG192" i="1"/>
  <c r="CG193" i="1"/>
  <c r="CG194" i="1"/>
  <c r="CG195" i="1"/>
  <c r="CG196" i="1"/>
  <c r="CG197" i="1"/>
  <c r="CG198" i="1"/>
  <c r="CG199" i="1"/>
  <c r="CG200" i="1"/>
  <c r="CG201" i="1"/>
  <c r="CG202" i="1"/>
  <c r="CG203" i="1"/>
  <c r="CG204" i="1"/>
  <c r="CG205" i="1"/>
  <c r="CG206" i="1"/>
  <c r="CG207" i="1"/>
  <c r="CG208" i="1"/>
  <c r="CG209" i="1"/>
  <c r="CG210" i="1"/>
  <c r="CG211" i="1"/>
  <c r="CG212" i="1"/>
  <c r="CG213" i="1"/>
  <c r="CG214" i="1"/>
  <c r="CG215" i="1"/>
  <c r="CG216" i="1"/>
  <c r="CG217" i="1"/>
  <c r="CG218" i="1"/>
  <c r="CG219" i="1"/>
  <c r="CG220" i="1"/>
  <c r="CG221" i="1"/>
  <c r="CG222" i="1"/>
  <c r="CG223" i="1"/>
  <c r="CG224" i="1"/>
  <c r="CG225" i="1"/>
  <c r="CG226" i="1"/>
  <c r="CG227" i="1"/>
  <c r="CG228" i="1"/>
  <c r="CG229" i="1"/>
  <c r="CG230" i="1"/>
  <c r="CG231" i="1"/>
  <c r="CG232" i="1"/>
  <c r="CG233" i="1"/>
  <c r="CG234" i="1"/>
  <c r="CG235" i="1"/>
  <c r="CG236" i="1"/>
  <c r="CG237" i="1"/>
  <c r="CG238" i="1"/>
  <c r="CG239" i="1"/>
  <c r="CG240" i="1"/>
  <c r="CG241" i="1"/>
  <c r="CG242" i="1"/>
  <c r="CG243" i="1"/>
  <c r="CG244" i="1"/>
  <c r="CG245" i="1"/>
  <c r="CG246" i="1"/>
  <c r="CG247" i="1"/>
  <c r="CG248" i="1"/>
  <c r="CG249" i="1"/>
  <c r="CG250" i="1"/>
  <c r="CG251" i="1"/>
  <c r="CG252" i="1"/>
  <c r="CG253" i="1"/>
  <c r="CG254" i="1"/>
  <c r="CG255" i="1"/>
  <c r="CG256" i="1"/>
  <c r="CG257" i="1"/>
  <c r="CG258" i="1"/>
  <c r="CG259" i="1"/>
  <c r="CG260" i="1"/>
  <c r="CG261" i="1"/>
  <c r="CG262" i="1"/>
  <c r="CG263" i="1"/>
  <c r="CG264" i="1"/>
  <c r="CG265" i="1"/>
  <c r="CG266" i="1"/>
  <c r="CG267" i="1"/>
  <c r="CG268" i="1"/>
  <c r="CG269" i="1"/>
  <c r="CG270" i="1"/>
  <c r="CG271" i="1"/>
  <c r="CG272" i="1"/>
  <c r="CG273" i="1"/>
  <c r="CG274" i="1"/>
  <c r="CG275" i="1"/>
  <c r="CG276" i="1"/>
  <c r="CG277" i="1"/>
  <c r="CG278" i="1"/>
  <c r="CG279" i="1"/>
  <c r="CG280" i="1"/>
  <c r="CG281" i="1"/>
  <c r="CG282" i="1"/>
  <c r="CG283" i="1"/>
  <c r="CG284" i="1"/>
  <c r="CG285" i="1"/>
  <c r="CG286" i="1"/>
  <c r="CG287" i="1"/>
  <c r="CG288" i="1"/>
  <c r="CG289" i="1"/>
  <c r="CG290" i="1"/>
  <c r="CG291" i="1"/>
  <c r="CG292" i="1"/>
  <c r="CG293" i="1"/>
  <c r="CG294" i="1"/>
  <c r="CG295" i="1"/>
  <c r="CG296" i="1"/>
  <c r="CG297" i="1"/>
  <c r="CG298" i="1"/>
  <c r="CG299" i="1"/>
  <c r="CG300" i="1"/>
  <c r="CG301" i="1"/>
  <c r="CG302" i="1"/>
  <c r="CG303" i="1"/>
  <c r="CG304" i="1"/>
  <c r="CG305" i="1"/>
  <c r="CG306" i="1"/>
  <c r="CG307" i="1"/>
  <c r="CG308" i="1"/>
  <c r="CG2" i="1"/>
  <c r="BK273" i="1" l="1"/>
  <c r="CD291" i="1"/>
  <c r="CI291" i="1" s="1"/>
  <c r="CD290" i="1"/>
  <c r="CI290" i="1" s="1"/>
  <c r="CD289" i="1"/>
  <c r="CI289" i="1" s="1"/>
  <c r="CD288" i="1"/>
  <c r="CI288" i="1" s="1"/>
  <c r="CD287" i="1"/>
  <c r="CI287" i="1" s="1"/>
  <c r="AJ58" i="1"/>
  <c r="AK58" i="1"/>
  <c r="AL58" i="1"/>
  <c r="AM58" i="1"/>
  <c r="AJ60" i="1"/>
  <c r="AK60" i="1"/>
  <c r="AL60" i="1"/>
  <c r="AM60" i="1"/>
  <c r="AJ61" i="1"/>
  <c r="AK61" i="1"/>
  <c r="AL61" i="1"/>
  <c r="AM61" i="1"/>
  <c r="AJ62" i="1"/>
  <c r="AK62" i="1"/>
  <c r="AL62" i="1"/>
  <c r="AM62" i="1"/>
  <c r="AJ63" i="1"/>
  <c r="AK63" i="1"/>
  <c r="AL63" i="1"/>
  <c r="AM63" i="1"/>
  <c r="AJ64" i="1"/>
  <c r="AK64" i="1"/>
  <c r="AL64" i="1"/>
  <c r="AM64" i="1"/>
  <c r="AJ65" i="1"/>
  <c r="AK65" i="1"/>
  <c r="AL65" i="1"/>
  <c r="AM65" i="1"/>
  <c r="AJ66" i="1"/>
  <c r="AK66" i="1"/>
  <c r="AL66" i="1"/>
  <c r="AM66" i="1"/>
  <c r="AJ67" i="1"/>
  <c r="AK67" i="1"/>
  <c r="AL67" i="1"/>
  <c r="AM67" i="1"/>
  <c r="AJ68" i="1"/>
  <c r="AK68" i="1"/>
  <c r="AL68" i="1"/>
  <c r="AM68" i="1"/>
  <c r="AJ69" i="1"/>
  <c r="AK69" i="1"/>
  <c r="AL69" i="1"/>
  <c r="AM69" i="1"/>
  <c r="AJ70" i="1"/>
  <c r="AK70" i="1"/>
  <c r="AL70" i="1"/>
  <c r="AM70" i="1"/>
  <c r="AJ71" i="1"/>
  <c r="AK71" i="1"/>
  <c r="AL71" i="1"/>
  <c r="AM71" i="1"/>
  <c r="AJ72" i="1"/>
  <c r="AK72" i="1"/>
  <c r="AL72" i="1"/>
  <c r="AM72" i="1"/>
  <c r="AJ73" i="1"/>
  <c r="AK73" i="1"/>
  <c r="AL73" i="1"/>
  <c r="AM73" i="1"/>
  <c r="AJ74" i="1"/>
  <c r="AK74" i="1"/>
  <c r="AL74" i="1"/>
  <c r="AM74" i="1"/>
  <c r="AJ75" i="1"/>
  <c r="AK75" i="1"/>
  <c r="AL75" i="1"/>
  <c r="AM75" i="1"/>
  <c r="AJ76" i="1"/>
  <c r="AK76" i="1"/>
  <c r="AL76" i="1"/>
  <c r="AM76" i="1"/>
  <c r="AJ77" i="1"/>
  <c r="AK77" i="1"/>
  <c r="AL77" i="1"/>
  <c r="AM77" i="1"/>
  <c r="AJ78" i="1"/>
  <c r="AK78" i="1"/>
  <c r="AL78" i="1"/>
  <c r="AM78" i="1"/>
  <c r="AJ79" i="1"/>
  <c r="AK79" i="1"/>
  <c r="AL79" i="1"/>
  <c r="AM79" i="1"/>
  <c r="AJ80" i="1"/>
  <c r="AK80" i="1"/>
  <c r="AL80" i="1"/>
  <c r="AM80" i="1"/>
  <c r="AJ81" i="1"/>
  <c r="AK81" i="1"/>
  <c r="AL81" i="1"/>
  <c r="AM81" i="1"/>
  <c r="AJ82" i="1"/>
  <c r="AK82" i="1"/>
  <c r="AL82" i="1"/>
  <c r="AM82" i="1"/>
  <c r="AJ83" i="1"/>
  <c r="AK83" i="1"/>
  <c r="AL83" i="1"/>
  <c r="AM83" i="1"/>
  <c r="AJ84" i="1"/>
  <c r="AK84" i="1"/>
  <c r="AL84" i="1"/>
  <c r="AM84" i="1"/>
  <c r="AJ85" i="1"/>
  <c r="AK85" i="1"/>
  <c r="AL85" i="1"/>
  <c r="AM85" i="1"/>
  <c r="AJ86" i="1"/>
  <c r="AK86" i="1"/>
  <c r="AL86" i="1"/>
  <c r="AM86" i="1"/>
  <c r="AJ87" i="1"/>
  <c r="AK87" i="1"/>
  <c r="AL87" i="1"/>
  <c r="AM87" i="1"/>
  <c r="AM59" i="1"/>
  <c r="AL59" i="1"/>
  <c r="AK59" i="1"/>
  <c r="AJ59" i="1"/>
  <c r="CD300" i="1" l="1"/>
  <c r="CI300" i="1" s="1"/>
  <c r="CD301" i="1"/>
  <c r="CI301" i="1" s="1"/>
  <c r="CD248" i="1"/>
  <c r="CD308" i="1" l="1"/>
  <c r="CF308" i="1" s="1"/>
  <c r="CI308" i="1" s="1"/>
  <c r="CD307" i="1"/>
  <c r="CF307" i="1" s="1"/>
  <c r="CI307" i="1" s="1"/>
  <c r="CD306" i="1"/>
  <c r="CF306" i="1" s="1"/>
  <c r="CI306" i="1" s="1"/>
  <c r="CD305" i="1"/>
  <c r="CF305" i="1" s="1"/>
  <c r="CI305" i="1" s="1"/>
  <c r="CD304" i="1"/>
  <c r="CF304" i="1" s="1"/>
  <c r="CI304" i="1" s="1"/>
  <c r="AI266" i="1" l="1"/>
  <c r="CD303" i="1" l="1"/>
  <c r="CD302" i="1"/>
  <c r="CF300" i="1"/>
  <c r="CF301" i="1"/>
  <c r="BZ299" i="1"/>
  <c r="BY299" i="1"/>
  <c r="BV299" i="1"/>
  <c r="BU299" i="1"/>
  <c r="BZ298" i="1"/>
  <c r="BY298" i="1"/>
  <c r="BV298" i="1"/>
  <c r="BU298" i="1"/>
  <c r="BZ297" i="1"/>
  <c r="BY297" i="1"/>
  <c r="BV297" i="1"/>
  <c r="BU297" i="1"/>
  <c r="BZ296" i="1"/>
  <c r="BY296" i="1"/>
  <c r="BV296" i="1"/>
  <c r="BU296" i="1"/>
  <c r="BZ295" i="1"/>
  <c r="BY295" i="1"/>
  <c r="BV295" i="1"/>
  <c r="BU295" i="1"/>
  <c r="BZ294" i="1"/>
  <c r="BY294" i="1"/>
  <c r="BV294" i="1"/>
  <c r="BU294" i="1"/>
  <c r="BZ293" i="1"/>
  <c r="BY293" i="1"/>
  <c r="BV293" i="1"/>
  <c r="BU293" i="1"/>
  <c r="BZ292" i="1"/>
  <c r="BY292" i="1"/>
  <c r="BV292" i="1"/>
  <c r="BU292" i="1"/>
  <c r="CF288" i="1"/>
  <c r="CF289" i="1"/>
  <c r="BZ286" i="1"/>
  <c r="BY286" i="1"/>
  <c r="BV286" i="1"/>
  <c r="BU286" i="1"/>
  <c r="BZ285" i="1"/>
  <c r="BY285" i="1"/>
  <c r="BV285" i="1"/>
  <c r="BU285" i="1"/>
  <c r="BZ284" i="1"/>
  <c r="BY284" i="1"/>
  <c r="BV284" i="1"/>
  <c r="BU284" i="1"/>
  <c r="BZ283" i="1"/>
  <c r="BY283" i="1"/>
  <c r="BV283" i="1"/>
  <c r="BU283" i="1"/>
  <c r="BZ282" i="1"/>
  <c r="BY282" i="1"/>
  <c r="BV282" i="1"/>
  <c r="BU282" i="1"/>
  <c r="BZ281" i="1"/>
  <c r="BY281" i="1"/>
  <c r="BV281" i="1"/>
  <c r="BU281" i="1"/>
  <c r="CD279" i="1"/>
  <c r="CD280" i="1"/>
  <c r="CD282" i="1" l="1"/>
  <c r="CI282" i="1" s="1"/>
  <c r="CD284" i="1"/>
  <c r="CI284" i="1" s="1"/>
  <c r="CD286" i="1"/>
  <c r="CI286" i="1" s="1"/>
  <c r="CD281" i="1"/>
  <c r="CI281" i="1" s="1"/>
  <c r="CD285" i="1"/>
  <c r="CI285" i="1" s="1"/>
  <c r="CD283" i="1"/>
  <c r="CI283" i="1" s="1"/>
  <c r="CD292" i="1"/>
  <c r="CI292" i="1" s="1"/>
  <c r="CF279" i="1"/>
  <c r="CI279" i="1"/>
  <c r="CF280" i="1"/>
  <c r="CI280" i="1"/>
  <c r="CF302" i="1"/>
  <c r="CI302" i="1"/>
  <c r="CF303" i="1"/>
  <c r="CI303" i="1"/>
  <c r="CD294" i="1"/>
  <c r="CD296" i="1"/>
  <c r="CD297" i="1"/>
  <c r="CD293" i="1"/>
  <c r="CD298" i="1"/>
  <c r="CF286" i="1"/>
  <c r="CD295" i="1"/>
  <c r="CD299" i="1"/>
  <c r="CF290" i="1"/>
  <c r="CF291" i="1"/>
  <c r="CF287" i="1"/>
  <c r="CE278" i="1"/>
  <c r="CD278" i="1"/>
  <c r="CF278" i="1" s="1"/>
  <c r="CI278" i="1" s="1"/>
  <c r="CE277" i="1"/>
  <c r="CD277" i="1"/>
  <c r="CF277" i="1" s="1"/>
  <c r="CI277" i="1" s="1"/>
  <c r="CE276" i="1"/>
  <c r="CD276" i="1"/>
  <c r="CF276" i="1" s="1"/>
  <c r="CI276" i="1" s="1"/>
  <c r="CF284" i="1" l="1"/>
  <c r="CF292" i="1"/>
  <c r="CF297" i="1"/>
  <c r="CI297" i="1"/>
  <c r="CF298" i="1"/>
  <c r="CI298" i="1"/>
  <c r="CF299" i="1"/>
  <c r="CI299" i="1"/>
  <c r="CF296" i="1"/>
  <c r="CI296" i="1"/>
  <c r="CF293" i="1"/>
  <c r="CI293" i="1"/>
  <c r="CF295" i="1"/>
  <c r="CI295" i="1"/>
  <c r="CF294" i="1"/>
  <c r="CI294" i="1"/>
  <c r="CF281" i="1"/>
  <c r="CF285" i="1"/>
  <c r="CF283" i="1"/>
  <c r="CF282" i="1"/>
  <c r="CD275" i="1"/>
  <c r="CF275" i="1" s="1"/>
  <c r="CI275" i="1" s="1"/>
  <c r="CD274" i="1"/>
  <c r="CF274" i="1" s="1"/>
  <c r="CI274" i="1" s="1"/>
  <c r="BJ273" i="1"/>
  <c r="CD92" i="1"/>
  <c r="CD273" i="1"/>
  <c r="CF273" i="1" s="1"/>
  <c r="CI273" i="1" s="1"/>
  <c r="CD272" i="1"/>
  <c r="CF272" i="1" s="1"/>
  <c r="CI272" i="1" s="1"/>
  <c r="CD271" i="1"/>
  <c r="CF271" i="1" s="1"/>
  <c r="CI271" i="1" s="1"/>
  <c r="CD270" i="1"/>
  <c r="CF270" i="1" s="1"/>
  <c r="CI270" i="1" s="1"/>
  <c r="CD269" i="1"/>
  <c r="CF269" i="1" s="1"/>
  <c r="CI269" i="1" s="1"/>
  <c r="CD268" i="1"/>
  <c r="CF268" i="1" s="1"/>
  <c r="CI268" i="1" s="1"/>
  <c r="CD267" i="1"/>
  <c r="CF267" i="1" s="1"/>
  <c r="CI267" i="1" s="1"/>
  <c r="CD255" i="1"/>
  <c r="CD266" i="1"/>
  <c r="CF266" i="1" s="1"/>
  <c r="CI266" i="1" s="1"/>
  <c r="BZ265" i="1"/>
  <c r="BY265" i="1"/>
  <c r="BV265" i="1"/>
  <c r="BU265" i="1"/>
  <c r="BZ264" i="1"/>
  <c r="BY264" i="1"/>
  <c r="BV264" i="1"/>
  <c r="BU264" i="1"/>
  <c r="CD264" i="1" l="1"/>
  <c r="CF264" i="1" s="1"/>
  <c r="CI264" i="1" s="1"/>
  <c r="CD265" i="1"/>
  <c r="CF265" i="1" s="1"/>
  <c r="CI265" i="1" s="1"/>
  <c r="CD263" i="1"/>
  <c r="CF263" i="1" s="1"/>
  <c r="CI263" i="1" s="1"/>
  <c r="CD262" i="1"/>
  <c r="CF262" i="1" s="1"/>
  <c r="CI262" i="1" s="1"/>
  <c r="BZ261" i="1"/>
  <c r="BY261" i="1"/>
  <c r="BZ260" i="1"/>
  <c r="BY260" i="1"/>
  <c r="BZ259" i="1"/>
  <c r="BY259" i="1"/>
  <c r="BZ258" i="1"/>
  <c r="BY258" i="1"/>
  <c r="BY257" i="1"/>
  <c r="CB257" i="1"/>
  <c r="BZ257" i="1"/>
  <c r="CD245" i="1"/>
  <c r="CD244" i="1"/>
  <c r="CD243" i="1"/>
  <c r="CD241" i="1"/>
  <c r="CD242" i="1"/>
  <c r="CD240" i="1"/>
  <c r="CD236" i="1"/>
  <c r="CD235" i="1"/>
  <c r="CD233" i="1"/>
  <c r="CD230" i="1"/>
  <c r="CD232" i="1"/>
  <c r="CD229" i="1"/>
  <c r="CD231" i="1"/>
  <c r="CD223" i="1"/>
  <c r="CD222" i="1"/>
  <c r="CD215" i="1"/>
  <c r="CD213" i="1"/>
  <c r="CD214" i="1"/>
  <c r="CD211" i="1"/>
  <c r="CD212" i="1"/>
  <c r="CD208" i="1"/>
  <c r="CD207" i="1"/>
  <c r="CD209" i="1"/>
  <c r="CD210" i="1"/>
  <c r="CD206" i="1"/>
  <c r="CD199" i="1"/>
  <c r="CD200" i="1"/>
  <c r="CD198" i="1"/>
  <c r="CD197" i="1"/>
  <c r="CD196" i="1"/>
  <c r="CD194" i="1"/>
  <c r="CD193" i="1"/>
  <c r="CD192" i="1"/>
  <c r="CD173" i="1"/>
  <c r="CD168" i="1"/>
  <c r="CD159" i="1"/>
  <c r="CD163" i="1"/>
  <c r="CD156" i="1"/>
  <c r="CD160" i="1"/>
  <c r="CD158" i="1"/>
  <c r="CD154" i="1"/>
  <c r="CD157" i="1"/>
  <c r="CD162" i="1"/>
  <c r="CD164" i="1"/>
  <c r="CD161" i="1"/>
  <c r="CD165" i="1"/>
  <c r="CD155" i="1"/>
  <c r="CD151" i="1"/>
  <c r="CD152" i="1"/>
  <c r="CD150" i="1"/>
  <c r="CD153" i="1"/>
  <c r="CD146" i="1"/>
  <c r="CD148" i="1"/>
  <c r="CD147" i="1"/>
  <c r="CD149" i="1"/>
  <c r="CD142" i="1"/>
  <c r="CD143" i="1"/>
  <c r="CD145" i="1"/>
  <c r="CD144" i="1"/>
  <c r="CD138" i="1"/>
  <c r="CD140" i="1"/>
  <c r="CD139" i="1"/>
  <c r="CD141" i="1"/>
  <c r="CD129" i="1"/>
  <c r="CD130" i="1"/>
  <c r="CD131" i="1"/>
  <c r="CD116" i="1"/>
  <c r="CD117" i="1"/>
  <c r="CD115" i="1"/>
  <c r="CD108" i="1"/>
  <c r="CD100" i="1"/>
  <c r="CD105" i="1"/>
  <c r="CD104" i="1"/>
  <c r="CD107" i="1"/>
  <c r="CD102" i="1"/>
  <c r="CD106" i="1"/>
  <c r="CD101" i="1"/>
  <c r="CD103" i="1"/>
  <c r="CD91" i="1"/>
  <c r="CD88" i="1"/>
  <c r="CD82" i="1"/>
  <c r="CD64" i="1"/>
  <c r="CD72" i="1"/>
  <c r="CD59" i="1"/>
  <c r="CD87" i="1"/>
  <c r="CD66" i="1"/>
  <c r="CD77" i="1"/>
  <c r="CD65" i="1"/>
  <c r="CD61" i="1"/>
  <c r="CD67" i="1"/>
  <c r="CD63" i="1"/>
  <c r="CD58" i="1"/>
  <c r="CD74" i="1"/>
  <c r="CD79" i="1"/>
  <c r="CD84" i="1"/>
  <c r="CD69" i="1"/>
  <c r="CD60" i="1"/>
  <c r="CD75" i="1"/>
  <c r="CD62" i="1"/>
  <c r="CD80" i="1"/>
  <c r="CD73" i="1"/>
  <c r="CD83" i="1"/>
  <c r="CD86" i="1"/>
  <c r="CD81" i="1"/>
  <c r="CD76" i="1"/>
  <c r="CD71" i="1"/>
  <c r="CD85" i="1"/>
  <c r="CD78" i="1"/>
  <c r="CD68" i="1"/>
  <c r="CD70" i="1"/>
  <c r="CD50" i="1"/>
  <c r="CD49" i="1"/>
  <c r="CD52" i="1"/>
  <c r="CD53" i="1"/>
  <c r="CD51" i="1"/>
  <c r="CD54" i="1"/>
  <c r="CD43" i="1"/>
  <c r="CD47" i="1"/>
  <c r="CD48" i="1"/>
  <c r="CD45" i="1"/>
  <c r="CD46" i="1"/>
  <c r="CD44" i="1"/>
  <c r="CD42" i="1"/>
  <c r="CD39" i="1"/>
  <c r="CD38" i="1"/>
  <c r="CD41" i="1"/>
  <c r="CD40" i="1"/>
  <c r="CD36" i="1"/>
  <c r="CD37" i="1"/>
  <c r="CD34" i="1"/>
  <c r="CD30" i="1"/>
  <c r="CD32" i="1"/>
  <c r="CD35" i="1"/>
  <c r="CD33" i="1"/>
  <c r="CD31" i="1"/>
  <c r="CD29" i="1"/>
  <c r="CD27" i="1"/>
  <c r="CD28" i="1"/>
  <c r="CD26" i="1"/>
  <c r="CD25" i="1"/>
  <c r="CD24" i="1"/>
  <c r="CD21" i="1"/>
  <c r="CD20" i="1"/>
  <c r="CD18" i="1"/>
  <c r="CD23" i="1"/>
  <c r="CD19" i="1"/>
  <c r="CD22" i="1"/>
  <c r="CD15" i="1"/>
  <c r="CD14" i="1"/>
  <c r="CD16" i="1"/>
  <c r="CD17" i="1"/>
  <c r="CD12" i="1"/>
  <c r="CD13" i="1"/>
  <c r="CD9" i="1"/>
  <c r="CD6" i="1"/>
  <c r="CD5" i="1"/>
  <c r="CD2" i="1"/>
  <c r="CD4" i="1"/>
  <c r="CD3" i="1"/>
  <c r="BZ256" i="1"/>
  <c r="CB256" i="1"/>
  <c r="BY256" i="1"/>
  <c r="CD256" i="1" l="1"/>
  <c r="CF256" i="1" s="1"/>
  <c r="CI256" i="1" s="1"/>
  <c r="CD261" i="1"/>
  <c r="CF261" i="1" s="1"/>
  <c r="CI261" i="1" s="1"/>
  <c r="CD258" i="1"/>
  <c r="CF258" i="1" s="1"/>
  <c r="CI258" i="1" s="1"/>
  <c r="CD259" i="1"/>
  <c r="CF259" i="1" s="1"/>
  <c r="CI259" i="1" s="1"/>
  <c r="CD260" i="1"/>
  <c r="CF260" i="1" s="1"/>
  <c r="CI260" i="1" s="1"/>
  <c r="CD257" i="1"/>
  <c r="CF257" i="1" s="1"/>
  <c r="CI257" i="1" s="1"/>
  <c r="CF255" i="1" l="1"/>
  <c r="CI255" i="1" s="1"/>
  <c r="CD254" i="1"/>
  <c r="CF254" i="1" s="1"/>
  <c r="CI254" i="1" s="1"/>
  <c r="CD237" i="1"/>
  <c r="AD174" i="1" l="1"/>
  <c r="AD175" i="1"/>
  <c r="AD173" i="1"/>
  <c r="AD138" i="1"/>
  <c r="AD140" i="1"/>
  <c r="AD139" i="1"/>
  <c r="AD141" i="1"/>
  <c r="AD98" i="1"/>
  <c r="AD96" i="1"/>
  <c r="AD97" i="1"/>
  <c r="AD9" i="1"/>
  <c r="CH55" i="1" l="1"/>
  <c r="CH57" i="1"/>
  <c r="CH56" i="1"/>
  <c r="CH166" i="1"/>
  <c r="CH171" i="1"/>
  <c r="CH172" i="1"/>
  <c r="CD95" i="1"/>
  <c r="CF95" i="1" s="1"/>
  <c r="CD94" i="1"/>
  <c r="CF94" i="1" s="1"/>
  <c r="CD93" i="1"/>
  <c r="CF93" i="1" s="1"/>
  <c r="CF92" i="1"/>
  <c r="CF91" i="1"/>
  <c r="CI91" i="1" s="1"/>
  <c r="CB90" i="1"/>
  <c r="CA90" i="1"/>
  <c r="BY90" i="1"/>
  <c r="BX90" i="1"/>
  <c r="BW90" i="1"/>
  <c r="BU90" i="1"/>
  <c r="CA89" i="1"/>
  <c r="BZ89" i="1" s="1"/>
  <c r="BY89" i="1"/>
  <c r="BW89" i="1"/>
  <c r="BV89" i="1" s="1"/>
  <c r="BU89" i="1"/>
  <c r="CD89" i="1" l="1"/>
  <c r="CF89" i="1" s="1"/>
  <c r="BZ90" i="1"/>
  <c r="CI95" i="1"/>
  <c r="CI93" i="1"/>
  <c r="CI94" i="1"/>
  <c r="CI92" i="1"/>
  <c r="BV90" i="1"/>
  <c r="CD90" i="1" l="1"/>
  <c r="CF90" i="1" s="1"/>
  <c r="CI89" i="1"/>
  <c r="CI90" i="1" l="1"/>
  <c r="BZ253" i="1" l="1"/>
  <c r="BY253" i="1"/>
  <c r="BV253" i="1"/>
  <c r="BU253" i="1"/>
  <c r="BZ252" i="1"/>
  <c r="BY252" i="1"/>
  <c r="BV252" i="1"/>
  <c r="BU252" i="1"/>
  <c r="BZ251" i="1"/>
  <c r="BY251" i="1"/>
  <c r="BZ250" i="1"/>
  <c r="BY250" i="1"/>
  <c r="BZ249" i="1"/>
  <c r="BY249" i="1"/>
  <c r="CF248" i="1"/>
  <c r="CD247" i="1"/>
  <c r="CF247" i="1" s="1"/>
  <c r="CD246" i="1"/>
  <c r="CF246" i="1" s="1"/>
  <c r="CF245" i="1"/>
  <c r="CF244" i="1"/>
  <c r="CF243" i="1"/>
  <c r="CF242" i="1"/>
  <c r="CF241" i="1"/>
  <c r="CF240" i="1"/>
  <c r="CD239" i="1"/>
  <c r="CF239" i="1" s="1"/>
  <c r="BZ238" i="1"/>
  <c r="BY238" i="1"/>
  <c r="BV238" i="1"/>
  <c r="BU238" i="1"/>
  <c r="CF237" i="1"/>
  <c r="CF236" i="1"/>
  <c r="CF235" i="1"/>
  <c r="CD234" i="1"/>
  <c r="CF234" i="1" s="1"/>
  <c r="CF233" i="1"/>
  <c r="CF232" i="1"/>
  <c r="CF231" i="1"/>
  <c r="CF230" i="1"/>
  <c r="CF229" i="1"/>
  <c r="BZ228" i="1"/>
  <c r="BY228" i="1"/>
  <c r="BZ227" i="1"/>
  <c r="BY227" i="1"/>
  <c r="BZ226" i="1"/>
  <c r="BY226" i="1"/>
  <c r="BZ225" i="1"/>
  <c r="BY225" i="1"/>
  <c r="BV225" i="1"/>
  <c r="BU225" i="1"/>
  <c r="BZ224" i="1"/>
  <c r="BY224" i="1"/>
  <c r="BV224" i="1"/>
  <c r="BU224" i="1"/>
  <c r="CF223" i="1"/>
  <c r="CF222" i="1"/>
  <c r="CD221" i="1"/>
  <c r="CF221" i="1" s="1"/>
  <c r="CD220" i="1"/>
  <c r="CF220" i="1" s="1"/>
  <c r="CD219" i="1"/>
  <c r="CF219" i="1" s="1"/>
  <c r="CD218" i="1"/>
  <c r="CF218" i="1" s="1"/>
  <c r="CD217" i="1"/>
  <c r="CF217" i="1" s="1"/>
  <c r="CD216" i="1"/>
  <c r="CF216" i="1" s="1"/>
  <c r="CF215" i="1"/>
  <c r="CF214" i="1"/>
  <c r="CF213" i="1"/>
  <c r="CF212" i="1"/>
  <c r="CF211" i="1"/>
  <c r="CF210" i="1"/>
  <c r="CF209" i="1"/>
  <c r="CF208" i="1"/>
  <c r="CF207" i="1"/>
  <c r="CF206" i="1"/>
  <c r="CD205" i="1"/>
  <c r="CF205" i="1" s="1"/>
  <c r="CD204" i="1"/>
  <c r="CF204" i="1" s="1"/>
  <c r="CD203" i="1"/>
  <c r="CF203" i="1" s="1"/>
  <c r="CD202" i="1"/>
  <c r="CF202" i="1" s="1"/>
  <c r="CD201" i="1"/>
  <c r="CF201" i="1" s="1"/>
  <c r="CF200" i="1"/>
  <c r="CF199" i="1"/>
  <c r="CF198" i="1"/>
  <c r="CF197" i="1"/>
  <c r="CF196" i="1"/>
  <c r="CD195" i="1"/>
  <c r="CF195" i="1" s="1"/>
  <c r="CF194" i="1"/>
  <c r="CF193" i="1"/>
  <c r="CF192" i="1"/>
  <c r="CA187" i="1"/>
  <c r="BZ187" i="1" s="1"/>
  <c r="BY187" i="1"/>
  <c r="BV187" i="1"/>
  <c r="BU187" i="1"/>
  <c r="BZ186" i="1"/>
  <c r="BY186" i="1"/>
  <c r="BV186" i="1"/>
  <c r="BU186" i="1"/>
  <c r="BZ185" i="1"/>
  <c r="BY185" i="1"/>
  <c r="BW185" i="1"/>
  <c r="BV185" i="1" s="1"/>
  <c r="BU185" i="1"/>
  <c r="BZ184" i="1"/>
  <c r="BY184" i="1"/>
  <c r="BW184" i="1"/>
  <c r="BV184" i="1" s="1"/>
  <c r="BU184" i="1"/>
  <c r="BZ191" i="1"/>
  <c r="BV191" i="1"/>
  <c r="BZ190" i="1"/>
  <c r="BV190" i="1"/>
  <c r="BZ189" i="1"/>
  <c r="BV189" i="1"/>
  <c r="BZ188" i="1"/>
  <c r="BV188" i="1"/>
  <c r="BZ183" i="1"/>
  <c r="BV183" i="1"/>
  <c r="BZ182" i="1"/>
  <c r="BV182" i="1"/>
  <c r="CA181" i="1"/>
  <c r="BZ181" i="1" s="1"/>
  <c r="BV181" i="1"/>
  <c r="BZ180" i="1"/>
  <c r="BV180" i="1"/>
  <c r="BZ179" i="1"/>
  <c r="BV179" i="1"/>
  <c r="BZ178" i="1"/>
  <c r="BV178" i="1"/>
  <c r="BZ177" i="1"/>
  <c r="BW177" i="1"/>
  <c r="BV177" i="1" s="1"/>
  <c r="BZ176" i="1"/>
  <c r="BV176" i="1"/>
  <c r="CI175" i="1"/>
  <c r="CF175" i="1"/>
  <c r="CI174" i="1"/>
  <c r="CF174" i="1"/>
  <c r="AE174" i="1"/>
  <c r="CF173" i="1"/>
  <c r="AE173" i="1"/>
  <c r="CD172" i="1"/>
  <c r="CF172" i="1" s="1"/>
  <c r="CF171" i="1"/>
  <c r="CG171" i="1" s="1"/>
  <c r="BV170" i="1"/>
  <c r="BU170" i="1"/>
  <c r="BZ169" i="1"/>
  <c r="BY169" i="1"/>
  <c r="BV169" i="1"/>
  <c r="BU169" i="1"/>
  <c r="CF168" i="1"/>
  <c r="BZ167" i="1"/>
  <c r="BY167" i="1"/>
  <c r="BV167" i="1"/>
  <c r="BU167" i="1"/>
  <c r="CD166" i="1"/>
  <c r="CF166" i="1" s="1"/>
  <c r="CF165" i="1"/>
  <c r="CF164" i="1"/>
  <c r="CF163" i="1"/>
  <c r="CF162" i="1"/>
  <c r="CF161" i="1"/>
  <c r="CF160" i="1"/>
  <c r="CF159" i="1"/>
  <c r="CF158" i="1"/>
  <c r="CF157" i="1"/>
  <c r="CF156" i="1"/>
  <c r="CF155" i="1"/>
  <c r="CF154" i="1"/>
  <c r="CF153" i="1"/>
  <c r="CF152" i="1"/>
  <c r="CF151" i="1"/>
  <c r="CF150" i="1"/>
  <c r="CF149" i="1"/>
  <c r="CF148" i="1"/>
  <c r="CF147" i="1"/>
  <c r="CF146" i="1"/>
  <c r="CF145" i="1"/>
  <c r="CF144" i="1"/>
  <c r="CF143" i="1"/>
  <c r="CF142" i="1"/>
  <c r="CF141" i="1"/>
  <c r="CF140" i="1"/>
  <c r="CF139" i="1"/>
  <c r="CF138" i="1"/>
  <c r="AE138" i="1"/>
  <c r="CD137" i="1"/>
  <c r="CF137" i="1" s="1"/>
  <c r="CD136" i="1"/>
  <c r="CF136" i="1" s="1"/>
  <c r="CD135" i="1"/>
  <c r="CF135" i="1" s="1"/>
  <c r="CD134" i="1"/>
  <c r="CF134" i="1" s="1"/>
  <c r="CD133" i="1"/>
  <c r="CF133" i="1" s="1"/>
  <c r="CD132" i="1"/>
  <c r="CF132" i="1" s="1"/>
  <c r="CF131" i="1"/>
  <c r="CF130" i="1"/>
  <c r="CF129" i="1"/>
  <c r="CD128" i="1"/>
  <c r="CF128" i="1" s="1"/>
  <c r="CD127" i="1"/>
  <c r="CF127" i="1" s="1"/>
  <c r="CD126" i="1"/>
  <c r="CF126" i="1" s="1"/>
  <c r="CD125" i="1"/>
  <c r="CF125" i="1" s="1"/>
  <c r="CD124" i="1"/>
  <c r="CF124" i="1" s="1"/>
  <c r="CD123" i="1"/>
  <c r="CF123" i="1" s="1"/>
  <c r="CD122" i="1"/>
  <c r="CF122" i="1" s="1"/>
  <c r="CD121" i="1"/>
  <c r="CF121" i="1" s="1"/>
  <c r="CD120" i="1"/>
  <c r="CF120" i="1" s="1"/>
  <c r="CD119" i="1"/>
  <c r="CF119" i="1" s="1"/>
  <c r="CD118" i="1"/>
  <c r="CF118" i="1" s="1"/>
  <c r="CF117" i="1"/>
  <c r="CF116" i="1"/>
  <c r="BK116" i="1"/>
  <c r="BJ116" i="1"/>
  <c r="CF115" i="1"/>
  <c r="BK115" i="1"/>
  <c r="BJ115" i="1"/>
  <c r="CD114" i="1"/>
  <c r="CF114" i="1" s="1"/>
  <c r="BZ113" i="1"/>
  <c r="BY113" i="1"/>
  <c r="BV113" i="1"/>
  <c r="BU113" i="1"/>
  <c r="BZ112" i="1"/>
  <c r="BY112" i="1"/>
  <c r="BV112" i="1"/>
  <c r="BU112" i="1"/>
  <c r="BZ111" i="1"/>
  <c r="BY111" i="1"/>
  <c r="BV111" i="1"/>
  <c r="BU111" i="1"/>
  <c r="BZ110" i="1"/>
  <c r="BY110" i="1"/>
  <c r="BV110" i="1"/>
  <c r="BU110" i="1"/>
  <c r="BZ109" i="1"/>
  <c r="BY109" i="1"/>
  <c r="BV109" i="1"/>
  <c r="BU109" i="1"/>
  <c r="CF108" i="1"/>
  <c r="CF107" i="1"/>
  <c r="CF106" i="1"/>
  <c r="CF105" i="1"/>
  <c r="CF104" i="1"/>
  <c r="CF103" i="1"/>
  <c r="CF102" i="1"/>
  <c r="CF101" i="1"/>
  <c r="CF100" i="1"/>
  <c r="AE100" i="1"/>
  <c r="CF99" i="1"/>
  <c r="CD98" i="1"/>
  <c r="CF98" i="1" s="1"/>
  <c r="CD97" i="1"/>
  <c r="CF97" i="1" s="1"/>
  <c r="CD96" i="1"/>
  <c r="CF96" i="1" s="1"/>
  <c r="AE96" i="1"/>
  <c r="CF88" i="1"/>
  <c r="CF80" i="1"/>
  <c r="CF79" i="1"/>
  <c r="CF78" i="1"/>
  <c r="CF77" i="1"/>
  <c r="CF76" i="1"/>
  <c r="CF75" i="1"/>
  <c r="CF74" i="1"/>
  <c r="CF73" i="1"/>
  <c r="CF72" i="1"/>
  <c r="CF71" i="1"/>
  <c r="CF70" i="1"/>
  <c r="CF69" i="1"/>
  <c r="CF68" i="1"/>
  <c r="CF87" i="1"/>
  <c r="CF86" i="1"/>
  <c r="CF85" i="1"/>
  <c r="CF84" i="1"/>
  <c r="CF83" i="1"/>
  <c r="CF82" i="1"/>
  <c r="CF81" i="1"/>
  <c r="CF67" i="1"/>
  <c r="CF66" i="1"/>
  <c r="CF65" i="1"/>
  <c r="CF64" i="1"/>
  <c r="CF63" i="1"/>
  <c r="CF62" i="1"/>
  <c r="CF61" i="1"/>
  <c r="CF60" i="1"/>
  <c r="CF59" i="1"/>
  <c r="CF58" i="1"/>
  <c r="CD57" i="1"/>
  <c r="CF57" i="1" s="1"/>
  <c r="CD56" i="1"/>
  <c r="CF56" i="1" s="1"/>
  <c r="CD55" i="1"/>
  <c r="CF55" i="1" s="1"/>
  <c r="CF54" i="1"/>
  <c r="CF53" i="1"/>
  <c r="CF52" i="1"/>
  <c r="CF51" i="1"/>
  <c r="CF50" i="1"/>
  <c r="CF49" i="1"/>
  <c r="CF48" i="1"/>
  <c r="CF47" i="1"/>
  <c r="CF46" i="1"/>
  <c r="CF45" i="1"/>
  <c r="CF44" i="1"/>
  <c r="CF43" i="1"/>
  <c r="CF42" i="1"/>
  <c r="CF41" i="1"/>
  <c r="CF40" i="1"/>
  <c r="CF39" i="1"/>
  <c r="CF38" i="1"/>
  <c r="CF37" i="1"/>
  <c r="CF36" i="1"/>
  <c r="CF35" i="1"/>
  <c r="CF34" i="1"/>
  <c r="CF33" i="1"/>
  <c r="CF32" i="1"/>
  <c r="CF31" i="1"/>
  <c r="CF30" i="1"/>
  <c r="CF29" i="1"/>
  <c r="CF28" i="1"/>
  <c r="CF27" i="1"/>
  <c r="CF26" i="1"/>
  <c r="CF25" i="1"/>
  <c r="CF24" i="1"/>
  <c r="CF23" i="1"/>
  <c r="CF22" i="1"/>
  <c r="CF21" i="1"/>
  <c r="CF20" i="1"/>
  <c r="CF19" i="1"/>
  <c r="CF18" i="1"/>
  <c r="CF17" i="1"/>
  <c r="CF16" i="1"/>
  <c r="CF15" i="1"/>
  <c r="CF14" i="1"/>
  <c r="CF13" i="1"/>
  <c r="CF12" i="1"/>
  <c r="BZ11" i="1"/>
  <c r="BV11" i="1"/>
  <c r="BZ10" i="1"/>
  <c r="BV10" i="1"/>
  <c r="CF9" i="1"/>
  <c r="CD8" i="1"/>
  <c r="CF8" i="1" s="1"/>
  <c r="CD7" i="1"/>
  <c r="CF7" i="1" s="1"/>
  <c r="CF6" i="1"/>
  <c r="CF5" i="1"/>
  <c r="CF4" i="1"/>
  <c r="CF3" i="1"/>
  <c r="CF2" i="1"/>
  <c r="CD170" i="1" l="1"/>
  <c r="CF170" i="1" s="1"/>
  <c r="CD251" i="1"/>
  <c r="CF251" i="1" s="1"/>
  <c r="CD11" i="1"/>
  <c r="CF11" i="1" s="1"/>
  <c r="CD178" i="1"/>
  <c r="CF178" i="1" s="1"/>
  <c r="CD182" i="1"/>
  <c r="CF182" i="1" s="1"/>
  <c r="CD190" i="1"/>
  <c r="CF190" i="1" s="1"/>
  <c r="CD249" i="1"/>
  <c r="CF249" i="1" s="1"/>
  <c r="CD186" i="1"/>
  <c r="CF186" i="1" s="1"/>
  <c r="CD180" i="1"/>
  <c r="CF180" i="1" s="1"/>
  <c r="CD188" i="1"/>
  <c r="CF188" i="1" s="1"/>
  <c r="CD238" i="1"/>
  <c r="CF238" i="1" s="1"/>
  <c r="CD176" i="1"/>
  <c r="CF176" i="1" s="1"/>
  <c r="CD253" i="1"/>
  <c r="CF253" i="1" s="1"/>
  <c r="CD184" i="1"/>
  <c r="CF184" i="1" s="1"/>
  <c r="CD177" i="1"/>
  <c r="CF177" i="1" s="1"/>
  <c r="CD110" i="1"/>
  <c r="CF110" i="1" s="1"/>
  <c r="CD112" i="1"/>
  <c r="CF112" i="1" s="1"/>
  <c r="CD228" i="1"/>
  <c r="CF228" i="1" s="1"/>
  <c r="CD189" i="1"/>
  <c r="CF189" i="1" s="1"/>
  <c r="CD169" i="1"/>
  <c r="CF169" i="1" s="1"/>
  <c r="CD181" i="1"/>
  <c r="CF181" i="1" s="1"/>
  <c r="CD252" i="1"/>
  <c r="CF252" i="1" s="1"/>
  <c r="CD167" i="1"/>
  <c r="CF167" i="1" s="1"/>
  <c r="CD185" i="1"/>
  <c r="CF185" i="1" s="1"/>
  <c r="CD187" i="1"/>
  <c r="CF187" i="1" s="1"/>
  <c r="CD225" i="1"/>
  <c r="CF225" i="1" s="1"/>
  <c r="CD10" i="1"/>
  <c r="CF10" i="1" s="1"/>
  <c r="CD179" i="1"/>
  <c r="CF179" i="1" s="1"/>
  <c r="CD183" i="1"/>
  <c r="CF183" i="1" s="1"/>
  <c r="CD191" i="1"/>
  <c r="CF191" i="1" s="1"/>
  <c r="CD250" i="1"/>
  <c r="CF250" i="1" s="1"/>
  <c r="CD109" i="1"/>
  <c r="CF109" i="1" s="1"/>
  <c r="CD111" i="1"/>
  <c r="CF111" i="1" s="1"/>
  <c r="CD113" i="1"/>
  <c r="CF113" i="1" s="1"/>
  <c r="CD226" i="1"/>
  <c r="CF226" i="1" s="1"/>
  <c r="CD224" i="1"/>
  <c r="CF224" i="1" s="1"/>
  <c r="CD227" i="1"/>
  <c r="CF227" i="1" s="1"/>
  <c r="CI8" i="1"/>
  <c r="CI37" i="1"/>
  <c r="CI23" i="1"/>
  <c r="CI210" i="1"/>
  <c r="CI48" i="1"/>
  <c r="CI118" i="1"/>
  <c r="CI195" i="1"/>
  <c r="CI119" i="1"/>
  <c r="CI127" i="1"/>
  <c r="CI204" i="1"/>
  <c r="CI168" i="1"/>
  <c r="CI197" i="1"/>
  <c r="CI64" i="1"/>
  <c r="CI65" i="1"/>
  <c r="CI136" i="1"/>
  <c r="CI4" i="1"/>
  <c r="CI42" i="1"/>
  <c r="CI75" i="1"/>
  <c r="CI222" i="1"/>
  <c r="CI237" i="1"/>
  <c r="CI12" i="1"/>
  <c r="CI36" i="1"/>
  <c r="CI44" i="1"/>
  <c r="CI52" i="1"/>
  <c r="CI68" i="1"/>
  <c r="CI122" i="1"/>
  <c r="CI173" i="1"/>
  <c r="CI29" i="1"/>
  <c r="CI193" i="1"/>
  <c r="CI45" i="1"/>
  <c r="CI71" i="1"/>
  <c r="CI77" i="1"/>
  <c r="CI114" i="1"/>
  <c r="CI60" i="1"/>
  <c r="CI105" i="1"/>
  <c r="CI21" i="1"/>
  <c r="CI40" i="1"/>
  <c r="CI22" i="1"/>
  <c r="CI194" i="1"/>
  <c r="CI199" i="1"/>
  <c r="CI58" i="1"/>
  <c r="CI18" i="1"/>
  <c r="CI80" i="1"/>
  <c r="CI153" i="1"/>
  <c r="CI248" i="1"/>
  <c r="CI242" i="1"/>
  <c r="CI79" i="1"/>
  <c r="CI33" i="1"/>
  <c r="CI203" i="1"/>
  <c r="CI244" i="1"/>
  <c r="CI53" i="1"/>
  <c r="CI24" i="1"/>
  <c r="CI78" i="1"/>
  <c r="CI99" i="1"/>
  <c r="CI132" i="1"/>
  <c r="CI223" i="1"/>
  <c r="CI196" i="1"/>
  <c r="CI201" i="1"/>
  <c r="CI139" i="1"/>
  <c r="CI231" i="1"/>
  <c r="CI124" i="1"/>
  <c r="CI243" i="1"/>
  <c r="CI76" i="1"/>
  <c r="CI212" i="1"/>
  <c r="CI220" i="1"/>
  <c r="CI138" i="1"/>
  <c r="CI163" i="1"/>
  <c r="CI66" i="1"/>
  <c r="CI206" i="1"/>
  <c r="CI57" i="1"/>
  <c r="CI17" i="1"/>
  <c r="CI56" i="1"/>
  <c r="CI135" i="1"/>
  <c r="CI59" i="1"/>
  <c r="CI26" i="1"/>
  <c r="CI81" i="1"/>
  <c r="CI13" i="1"/>
  <c r="CI25" i="1"/>
  <c r="CI9" i="1"/>
  <c r="CI20" i="1"/>
  <c r="CI63" i="1"/>
  <c r="CI14" i="1"/>
  <c r="CI5" i="1"/>
  <c r="CI86" i="1"/>
  <c r="CI28" i="1"/>
  <c r="CI19" i="1"/>
  <c r="CI35" i="1"/>
  <c r="CI151" i="1"/>
  <c r="CI49" i="1"/>
  <c r="CI104" i="1"/>
  <c r="CI152" i="1"/>
  <c r="CI31" i="1"/>
  <c r="CI148" i="1"/>
  <c r="CI51" i="1"/>
  <c r="CI16" i="1"/>
  <c r="CI27" i="1"/>
  <c r="CI43" i="1"/>
  <c r="CI61" i="1"/>
  <c r="CI69" i="1"/>
  <c r="CI73" i="1"/>
  <c r="CI145" i="1"/>
  <c r="CI30" i="1"/>
  <c r="CI72" i="1"/>
  <c r="CI38" i="1"/>
  <c r="CI47" i="1"/>
  <c r="CI54" i="1"/>
  <c r="CI108" i="1"/>
  <c r="CI130" i="1"/>
  <c r="CI144" i="1"/>
  <c r="CI3" i="1"/>
  <c r="CI6" i="1"/>
  <c r="CI67" i="1"/>
  <c r="CI83" i="1"/>
  <c r="CI96" i="1"/>
  <c r="CI102" i="1"/>
  <c r="CI62" i="1"/>
  <c r="CI87" i="1"/>
  <c r="CI88" i="1"/>
  <c r="CI117" i="1"/>
  <c r="CI82" i="1"/>
  <c r="CI85" i="1"/>
  <c r="CI97" i="1"/>
  <c r="CI7" i="1"/>
  <c r="CI34" i="1"/>
  <c r="CI41" i="1"/>
  <c r="CI15" i="1"/>
  <c r="CI32" i="1"/>
  <c r="CI39" i="1"/>
  <c r="CI46" i="1"/>
  <c r="CI50" i="1"/>
  <c r="CI84" i="1"/>
  <c r="CI70" i="1"/>
  <c r="CI74" i="1"/>
  <c r="CI106" i="1"/>
  <c r="CI115" i="1"/>
  <c r="CI103" i="1"/>
  <c r="CI120" i="1"/>
  <c r="CI160" i="1"/>
  <c r="CI165" i="1"/>
  <c r="CI217" i="1"/>
  <c r="CI101" i="1"/>
  <c r="CI121" i="1"/>
  <c r="CI125" i="1"/>
  <c r="CI218" i="1"/>
  <c r="CI172" i="1"/>
  <c r="CI128" i="1"/>
  <c r="CI131" i="1"/>
  <c r="CI157" i="1"/>
  <c r="CI116" i="1"/>
  <c r="CI211" i="1"/>
  <c r="CI100" i="1"/>
  <c r="CI107" i="1"/>
  <c r="CI134" i="1"/>
  <c r="CI141" i="1"/>
  <c r="CI143" i="1"/>
  <c r="CI98" i="1"/>
  <c r="CI129" i="1"/>
  <c r="CI137" i="1"/>
  <c r="CI150" i="1"/>
  <c r="CI158" i="1"/>
  <c r="CI234" i="1"/>
  <c r="CI245" i="1"/>
  <c r="CI200" i="1"/>
  <c r="CI207" i="1"/>
  <c r="CI133" i="1"/>
  <c r="CI240" i="1"/>
  <c r="CI126" i="1"/>
  <c r="CI140" i="1"/>
  <c r="CI161" i="1"/>
  <c r="CI198" i="1"/>
  <c r="CI205" i="1"/>
  <c r="CI123" i="1"/>
  <c r="CI192" i="1"/>
  <c r="CI214" i="1"/>
  <c r="CI235" i="1"/>
  <c r="CI159" i="1"/>
  <c r="CI162" i="1"/>
  <c r="CI166" i="1"/>
  <c r="CI202" i="1"/>
  <c r="CI209" i="1"/>
  <c r="CI221" i="1"/>
  <c r="CI236" i="1"/>
  <c r="CI247" i="1"/>
  <c r="CI142" i="1"/>
  <c r="CI146" i="1"/>
  <c r="CI164" i="1"/>
  <c r="CI215" i="1"/>
  <c r="CI219" i="1"/>
  <c r="CI229" i="1"/>
  <c r="CI156" i="1"/>
  <c r="CI216" i="1"/>
  <c r="CI233" i="1"/>
  <c r="CI241" i="1"/>
  <c r="CI149" i="1"/>
  <c r="CI154" i="1"/>
  <c r="CI239" i="1"/>
  <c r="CI230" i="1"/>
  <c r="CI147" i="1"/>
  <c r="CI246" i="1"/>
  <c r="CI155" i="1"/>
  <c r="CI208" i="1"/>
  <c r="CI213" i="1"/>
  <c r="CI232" i="1"/>
  <c r="CI228" i="1" l="1"/>
  <c r="CI169" i="1"/>
  <c r="CI249" i="1"/>
  <c r="CI183" i="1"/>
  <c r="CI181" i="1"/>
  <c r="CI227" i="1"/>
  <c r="CI178" i="1"/>
  <c r="CI170" i="1"/>
  <c r="CI253" i="1"/>
  <c r="CI226" i="1"/>
  <c r="CI251" i="1"/>
  <c r="CI252" i="1"/>
  <c r="CI182" i="1"/>
  <c r="CI109" i="1"/>
  <c r="CI224" i="1"/>
  <c r="CI179" i="1"/>
  <c r="CI10" i="1"/>
  <c r="CI250" i="1"/>
  <c r="CI110" i="1"/>
  <c r="CI238" i="1"/>
  <c r="CI177" i="1"/>
  <c r="CI185" i="1"/>
  <c r="CI180" i="1"/>
  <c r="CI186" i="1"/>
  <c r="CI176" i="1"/>
  <c r="CI167" i="1"/>
  <c r="CI225" i="1"/>
  <c r="CI188" i="1"/>
  <c r="CI184" i="1"/>
  <c r="CI187" i="1"/>
  <c r="CI189" i="1"/>
  <c r="CI111" i="1"/>
  <c r="CI112" i="1"/>
  <c r="CI191" i="1"/>
  <c r="CI11" i="1"/>
  <c r="CI113" i="1"/>
  <c r="CI190" i="1"/>
</calcChain>
</file>

<file path=xl/sharedStrings.xml><?xml version="1.0" encoding="utf-8"?>
<sst xmlns="http://schemas.openxmlformats.org/spreadsheetml/2006/main" count="5554" uniqueCount="1383">
  <si>
    <t>IDp</t>
  </si>
  <si>
    <t>authors</t>
  </si>
  <si>
    <t>year</t>
  </si>
  <si>
    <t>title</t>
  </si>
  <si>
    <t>#studies</t>
  </si>
  <si>
    <t>IDd</t>
  </si>
  <si>
    <t>study_page</t>
  </si>
  <si>
    <t>sample</t>
  </si>
  <si>
    <t>#levels</t>
  </si>
  <si>
    <t>treatmentID</t>
  </si>
  <si>
    <t>product</t>
  </si>
  <si>
    <t>AR</t>
  </si>
  <si>
    <t>mobile</t>
  </si>
  <si>
    <t>HMD</t>
  </si>
  <si>
    <t>brand</t>
  </si>
  <si>
    <t>country</t>
  </si>
  <si>
    <t>IDES</t>
  </si>
  <si>
    <t>statspage</t>
  </si>
  <si>
    <t>correlation</t>
  </si>
  <si>
    <t>df_T</t>
  </si>
  <si>
    <t>df_F</t>
  </si>
  <si>
    <t>significance</t>
  </si>
  <si>
    <t>ES_Sample</t>
  </si>
  <si>
    <t>ESRAW</t>
  </si>
  <si>
    <t>Note_ESV_calc</t>
  </si>
  <si>
    <t>ES_VAR</t>
  </si>
  <si>
    <t>1</t>
  </si>
  <si>
    <t>Ahmed</t>
  </si>
  <si>
    <t>Immersive Virtual Reality Advertisement: Examining the Effects of Vividness and Interactivity on Consumers' Psychological Responses</t>
  </si>
  <si>
    <t>University of Oklahoma</t>
  </si>
  <si>
    <t>1.1</t>
  </si>
  <si>
    <t>one-factor</t>
  </si>
  <si>
    <t>car</t>
  </si>
  <si>
    <t>NA</t>
  </si>
  <si>
    <t>Peugeot</t>
  </si>
  <si>
    <t>USA</t>
  </si>
  <si>
    <t>1.1.1</t>
  </si>
  <si>
    <t>Interface type</t>
  </si>
  <si>
    <t>VR vs. Video</t>
  </si>
  <si>
    <t>ad attitude</t>
  </si>
  <si>
    <t>bad/good, unpleasant/pleasant, unfavorable/ favorable</t>
  </si>
  <si>
    <t>Cronbach's alpha</t>
  </si>
  <si>
    <t>62-79; 198</t>
  </si>
  <si>
    <t>1.1.2</t>
  </si>
  <si>
    <t>brand attitude</t>
  </si>
  <si>
    <t>1.1.3</t>
  </si>
  <si>
    <t>purchase intentions</t>
  </si>
  <si>
    <t>improbable/highly probable, unlikely/very likely, highly impossible/highly possible</t>
  </si>
  <si>
    <t>1.1.4</t>
  </si>
  <si>
    <t>sharing intentions</t>
  </si>
  <si>
    <t>2</t>
  </si>
  <si>
    <t>Anderson / Laverie</t>
  </si>
  <si>
    <t>2022</t>
  </si>
  <si>
    <t>In the consumers’ eye: A mixed-method approach to understanding how VR-Content influences unbranded product quality perceptions</t>
  </si>
  <si>
    <t>Journal of Retailing and Consumer Services</t>
  </si>
  <si>
    <t>2.2</t>
  </si>
  <si>
    <t>apartment</t>
  </si>
  <si>
    <t>PC</t>
  </si>
  <si>
    <t>unbranded product</t>
  </si>
  <si>
    <t>2.2.5</t>
  </si>
  <si>
    <t>marketing medium</t>
  </si>
  <si>
    <t>VR vs. images</t>
  </si>
  <si>
    <t>Product quality perceptions</t>
  </si>
  <si>
    <t>The [apartment/vacation home/ home] is of high quality. The likely quality of the [apartment/ vacation home/home] is extremely high. The likelihood that the [apartment/ vacation home/home] is functioNAl is very high. The likelihood that the [apartment/ vacation home/home] is reliable is very high. The [apartment/vacation home/ home] must be of very good quality. The [apartment/vacation home/ home] appears to be of very poor quality</t>
  </si>
  <si>
    <t xml:space="preserve">NA </t>
  </si>
  <si>
    <t>2.3</t>
  </si>
  <si>
    <t>home pruchase</t>
  </si>
  <si>
    <t>2.3.6</t>
  </si>
  <si>
    <t>marketing medium content</t>
  </si>
  <si>
    <t>2.4</t>
  </si>
  <si>
    <t>2 (different sample)</t>
  </si>
  <si>
    <t>vacation home rental</t>
  </si>
  <si>
    <t>2.4.7</t>
  </si>
  <si>
    <t>3</t>
  </si>
  <si>
    <t>Arghashi</t>
  </si>
  <si>
    <t>Shopping with augmented reality: How wow-effect changes the equations!</t>
  </si>
  <si>
    <t>Electronic Commerce Reserach and Applications</t>
  </si>
  <si>
    <t>3.5</t>
  </si>
  <si>
    <t>sneakers (lifestyle and running)</t>
  </si>
  <si>
    <t>Nike</t>
  </si>
  <si>
    <t>Turkey</t>
  </si>
  <si>
    <t>3.5.8</t>
  </si>
  <si>
    <t>AR vs. non AR app</t>
  </si>
  <si>
    <t>AR vs. images</t>
  </si>
  <si>
    <t>I will definitely buy products of brand in the near future. I intend to purchase products of the brand in the near future. I expect to purchase products of the brand in the near future</t>
  </si>
  <si>
    <t>4</t>
  </si>
  <si>
    <t>Bogicevic / Liu /Seo / Kandampully /Rudd</t>
  </si>
  <si>
    <t>Virtual reality is so cool! How technology innovativeness shapes consumer responses to service preview modes</t>
  </si>
  <si>
    <t>Intrenational Journal of Hospitality MaNAgement</t>
  </si>
  <si>
    <t>4.6</t>
  </si>
  <si>
    <t>hotel stay</t>
  </si>
  <si>
    <t>interactivity</t>
  </si>
  <si>
    <t>fictive (Aevum Hotels)</t>
  </si>
  <si>
    <t>4.6.9</t>
  </si>
  <si>
    <t>preview mode</t>
  </si>
  <si>
    <t>visit intentions toward the brand</t>
  </si>
  <si>
    <t>I would visit this hotel. In the future, I would very probably visit this hotel. I would patronize this hotel</t>
  </si>
  <si>
    <t>Cronbachs'alpha</t>
  </si>
  <si>
    <t>International Journal of Hospitality and Tourism</t>
  </si>
  <si>
    <t>4.6.10</t>
  </si>
  <si>
    <t>5</t>
  </si>
  <si>
    <t>Bogicevic / Seo / Kandampully / Liu / Rudd</t>
  </si>
  <si>
    <t>2019</t>
  </si>
  <si>
    <t>Virtual reality presence as a preamble of tourism experience: The role of mental imagery</t>
  </si>
  <si>
    <t>Tourism Managament</t>
  </si>
  <si>
    <t>4.6.11</t>
  </si>
  <si>
    <t>Tourism brand experience</t>
  </si>
  <si>
    <t>Aevum Hotels make a strong impression on my visual sense or other senses.
• Aevum Hotels induces feelings and sentiments.
• Aevum Hotels appeals to my senses. • I find Aevum Hotels interesting in a sensory way.
• Aevum Hotels is an emotioNAl brand.
• I have strong emotions for Aevum Hotels.
• Aevum Hotels are action oriented.
• Aevum Hotels create bodily experiences. • I engaged in physical actions and behaviors after previewing Aevum Hotels.
• Aevum Hotels stimulate my curiosity.
• Aevum hotels make me think. • I engaged in a lot of thinking after previewing Aevum Hotels</t>
  </si>
  <si>
    <t>4.6.12</t>
  </si>
  <si>
    <t>7</t>
  </si>
  <si>
    <t>Boostrom</t>
  </si>
  <si>
    <t>2010</t>
  </si>
  <si>
    <t>The effect of 3D virtual environments on consumer perceptions and purchase intent</t>
  </si>
  <si>
    <t>Southern Illinois University Carbondale</t>
  </si>
  <si>
    <t>7.10</t>
  </si>
  <si>
    <t>wine glasses</t>
  </si>
  <si>
    <t>Target</t>
  </si>
  <si>
    <t>7.10.15</t>
  </si>
  <si>
    <t>2D2D vs 3D3D</t>
  </si>
  <si>
    <t>training and shopping in 2D vs. training and shopping in 3D</t>
  </si>
  <si>
    <t>attitude toward product assortment</t>
  </si>
  <si>
    <t>Good/Bad, Pleasant/Unpleasant, and Favorable/Unfavorable.</t>
  </si>
  <si>
    <t>7.10.16</t>
  </si>
  <si>
    <t>attitude towards retailer</t>
  </si>
  <si>
    <t>Good/Bad,
Pleasant/Unpleasant, and Favorable/Unfavorable.</t>
  </si>
  <si>
    <t>7.10.17</t>
  </si>
  <si>
    <t>perceived quality of product assortment</t>
  </si>
  <si>
    <t>―Very little variety‖ to ―Excellent variety,‖ a</t>
  </si>
  <si>
    <t>7.10.18</t>
  </si>
  <si>
    <t>purchase intent</t>
  </si>
  <si>
    <t>71-72</t>
  </si>
  <si>
    <t>8</t>
  </si>
  <si>
    <t>Breves / Dodel</t>
  </si>
  <si>
    <t>2021</t>
  </si>
  <si>
    <t>The influence of cybersickness and the media devices’ mobility on the persuasive effects of 360° commercials</t>
  </si>
  <si>
    <t>Multimedia Tools and Applications</t>
  </si>
  <si>
    <t>8.11</t>
  </si>
  <si>
    <t>cookies</t>
  </si>
  <si>
    <t>Bahlsen</t>
  </si>
  <si>
    <t>Germany</t>
  </si>
  <si>
    <t>8.11.19</t>
  </si>
  <si>
    <t>VR vs. video</t>
  </si>
  <si>
    <t>product evaluation</t>
  </si>
  <si>
    <t>unappealing to appealing, Bad–good Unpleasant–pleasant Negative–positive Unlikeable–likeable</t>
  </si>
  <si>
    <t>8.11.20</t>
  </si>
  <si>
    <t>very low/high purchase interest</t>
  </si>
  <si>
    <t>8.12</t>
  </si>
  <si>
    <t>2x2</t>
  </si>
  <si>
    <t>cream cheese</t>
  </si>
  <si>
    <t>Boursin</t>
  </si>
  <si>
    <t>8.12.21</t>
  </si>
  <si>
    <t>product evaluations</t>
  </si>
  <si>
    <t>8.12.22</t>
  </si>
  <si>
    <t>Definitely not buy it–definitely buy it Definitely do not intend to buy it–definitely intend to buy it Very low purchase intent–high purchase intent Never buy it–definitely buy it Probably not buy it–probably buy it</t>
  </si>
  <si>
    <t>8.12.23</t>
  </si>
  <si>
    <t>8.12.24</t>
  </si>
  <si>
    <t>10</t>
  </si>
  <si>
    <t>Chen / Yao</t>
  </si>
  <si>
    <t>Strategic use of immersive media and NArrative message in virtual marketing: Understanding the roles of telepresence and transportation</t>
  </si>
  <si>
    <t>Psychology &amp; Marketing</t>
  </si>
  <si>
    <t>10.14</t>
  </si>
  <si>
    <t>Student apartment</t>
  </si>
  <si>
    <t>10.14.25</t>
  </si>
  <si>
    <t>Type of medium</t>
  </si>
  <si>
    <t>affective attitude toward appartment</t>
  </si>
  <si>
    <t>Unsafe–safe
Unpeaceful–peaceful Inconvenience–convenient UNAppealing–appealing Bad–good Unpleasant–pleasant Unfavorable–favorable Unlikeable–likable</t>
  </si>
  <si>
    <t>10.14.26</t>
  </si>
  <si>
    <t>cognitive attitude toward appartment</t>
  </si>
  <si>
    <t>This apartment has up‐to‐date equipment
Physical facilities are visually appealing The appearance of the physical facilities is in line with other apartments
This apartment is a good place for the price of rent Living in this apartment is something that I would enjoy</t>
  </si>
  <si>
    <t>10.14.27</t>
  </si>
  <si>
    <t>behavioral intention</t>
  </si>
  <si>
    <t xml:space="preserve">I'm willing to stay at this apartment
I'm willing to visit this apartment A trip to this house would be a lot of fun
</t>
  </si>
  <si>
    <t>11</t>
  </si>
  <si>
    <t>Chiou / Wan / Lee</t>
  </si>
  <si>
    <t>2008</t>
  </si>
  <si>
    <t>Virtual experience vs. brochures in the advertisement of scenic spots: How cognitive preferences and order effects influence advertising effects on consumers</t>
  </si>
  <si>
    <t>Tourism Management</t>
  </si>
  <si>
    <t>11.15</t>
  </si>
  <si>
    <t>Ping-Tung Indigenous People Cultural Park (Cultural site)</t>
  </si>
  <si>
    <t>Name of cultural site given</t>
  </si>
  <si>
    <t>Taiwan</t>
  </si>
  <si>
    <t>11.15.28</t>
  </si>
  <si>
    <t>Advertising mode</t>
  </si>
  <si>
    <t>3D vs. images</t>
  </si>
  <si>
    <t>advertising attitude</t>
  </si>
  <si>
    <t>good/bad, dislike/like, not irritatin/irritating, uninteresting/interesting</t>
  </si>
  <si>
    <t>11.15.29</t>
  </si>
  <si>
    <t>“good/bad”, “favorable/unfavorable,”  “satisfactory/unsatisfactory</t>
  </si>
  <si>
    <t>11.15.30</t>
  </si>
  <si>
    <t>likely/unlikely, probable/improbale, possible/impossible</t>
  </si>
  <si>
    <t>12</t>
  </si>
  <si>
    <t>Choi / Choi</t>
  </si>
  <si>
    <t>2020</t>
  </si>
  <si>
    <t>The Effect of Augmented Reality on Consumer Learning for Search and Experience Products in Mobile Commerce</t>
  </si>
  <si>
    <t>Cyberpsychology, behavior and social networking</t>
  </si>
  <si>
    <t>12.16</t>
  </si>
  <si>
    <t>3x2</t>
  </si>
  <si>
    <t>laptop</t>
  </si>
  <si>
    <t>Korea</t>
  </si>
  <si>
    <t>12.16.31</t>
  </si>
  <si>
    <t>visual information</t>
  </si>
  <si>
    <t>product attitude</t>
  </si>
  <si>
    <t>I feel this product is unappealing/appealing. ATT2 I feel this product is uNAttractive/attractive. ATT3 I feel this product is boring/interesting. ATT4 I feel this product is unpleasant/pleasant. ATT5 I like/dislike this product</t>
  </si>
  <si>
    <t>12.16.32</t>
  </si>
  <si>
    <t>There is a strong likelihood that I will buy this product.
INT2
I will purchase this product.
INT3
I would like to recommend the product to my friends</t>
  </si>
  <si>
    <t>12.16.33</t>
  </si>
  <si>
    <t>12.16.34</t>
  </si>
  <si>
    <t>office chair</t>
  </si>
  <si>
    <t>12.16.35</t>
  </si>
  <si>
    <t>12.16.36</t>
  </si>
  <si>
    <t>12.16.37</t>
  </si>
  <si>
    <t>12.16.38</t>
  </si>
  <si>
    <t>13</t>
  </si>
  <si>
    <t>Choi / Taylor</t>
  </si>
  <si>
    <t>2014</t>
  </si>
  <si>
    <t>How do 3-dimensional images promote products on the Internet?</t>
  </si>
  <si>
    <t>Journal of Business Research</t>
  </si>
  <si>
    <t>13.17</t>
  </si>
  <si>
    <t>2x2x2</t>
  </si>
  <si>
    <t>Lifestyle watch</t>
  </si>
  <si>
    <t>fictive</t>
  </si>
  <si>
    <t>13.17.39</t>
  </si>
  <si>
    <t>site type</t>
  </si>
  <si>
    <t>attitudes toward brand</t>
  </si>
  <si>
    <t>Negative/positive
Unfavorable/favorable Bad/good Dislike/like</t>
  </si>
  <si>
    <t>How do 3-dimensioNAl images promote products on the Internet?</t>
  </si>
  <si>
    <t>13.17.40</t>
  </si>
  <si>
    <t>Unlikely/likely to purchase
Probably not/probably will purchase Impossible/possible to purchase</t>
  </si>
  <si>
    <t>Lifestyle jacket</t>
  </si>
  <si>
    <t>13.17.41</t>
  </si>
  <si>
    <t>13.17.42</t>
  </si>
  <si>
    <t>purchase intetions</t>
  </si>
  <si>
    <t>15</t>
  </si>
  <si>
    <t>De Gauquier / Brengman / Willems / Van Kerrebroeck</t>
  </si>
  <si>
    <t>Leveraging advertising to a higher dimension: experimental research on the impact of virtual reality on brand persoNAlity impressions</t>
  </si>
  <si>
    <t>Virtual Reality</t>
  </si>
  <si>
    <t>15.20</t>
  </si>
  <si>
    <t>outdoor apparel</t>
  </si>
  <si>
    <t>The North Face</t>
  </si>
  <si>
    <t>Belgium</t>
  </si>
  <si>
    <t>15.20.47</t>
  </si>
  <si>
    <t>type of medium</t>
  </si>
  <si>
    <t>brand personality - sincerity</t>
  </si>
  <si>
    <t>down to eart, honest, wholesome</t>
  </si>
  <si>
    <t>244-245</t>
  </si>
  <si>
    <t>15.20.48</t>
  </si>
  <si>
    <t>brand personality - excitement</t>
  </si>
  <si>
    <t>daring, spired, imaginative</t>
  </si>
  <si>
    <t>15.20.49</t>
  </si>
  <si>
    <t>brand personality - competence</t>
  </si>
  <si>
    <t>reliable, intelligent, successful</t>
  </si>
  <si>
    <t>15.20.50</t>
  </si>
  <si>
    <t>brand personality - sophistication</t>
  </si>
  <si>
    <t>upper class, charming</t>
  </si>
  <si>
    <t>correlation coefficient</t>
  </si>
  <si>
    <t>15.20.51</t>
  </si>
  <si>
    <t>brand personality - ruggedness</t>
  </si>
  <si>
    <t>tough, outdoorsy</t>
  </si>
  <si>
    <t>15.20.52</t>
  </si>
  <si>
    <t>like/dislike, favorable/unfavorable, good/bad</t>
  </si>
  <si>
    <t>15.20.53</t>
  </si>
  <si>
    <t>likely/unlikely, probable/not probable</t>
  </si>
  <si>
    <t>17</t>
  </si>
  <si>
    <t>Debbabi / Daassi / Baile</t>
  </si>
  <si>
    <t>Effect of online 3D advertising on consumer responses: the mediating role of telepresence</t>
  </si>
  <si>
    <t>Journal of Marketing Management</t>
  </si>
  <si>
    <t>17.22</t>
  </si>
  <si>
    <t>France</t>
  </si>
  <si>
    <t>17.22.56</t>
  </si>
  <si>
    <t>advertising format</t>
  </si>
  <si>
    <t>belief strength</t>
  </si>
  <si>
    <t>How strongly do you believe that this watch is attractive? Not strongly at all
Extremely strongly 
2. How strongly do you believe that this watch is stylish? Not strongly at all
Extremely strongly 
3. How strongly do you believe that this watch is functioNAl? Not strongly at all
Extremely strongly
4. How strongly do you believe that the quality of this watchband is good? Not strongly at all
Extremely strongly 
5. How strongly do you believe that this watch is water-resistant? Not strongly at all
Extremely strongly 
6. How strongly do you believe that this watch is comfortable</t>
  </si>
  <si>
    <t>17.22.57</t>
  </si>
  <si>
    <t>general attitudes</t>
  </si>
  <si>
    <t>My general appreciation of this watch/coat is: Extremely negative
Extremely positive 
2. I can say, globally, that my feeling towards this watch/coat is: Extremely unfavourable
Extremely favourable</t>
  </si>
  <si>
    <t>17.22.58</t>
  </si>
  <si>
    <t xml:space="preserve">Would you buy the watch/coat from the website? 
2. Would you buy the watch/coat if you saw it in a store? 3. Would you actively seek out the watch/coat in a store to purchase it? </t>
  </si>
  <si>
    <t>coat</t>
  </si>
  <si>
    <t>17.22.59</t>
  </si>
  <si>
    <t>17.22.60</t>
  </si>
  <si>
    <t>17.22.61</t>
  </si>
  <si>
    <t>21</t>
  </si>
  <si>
    <t>Fiore / Kim /Lee</t>
  </si>
  <si>
    <t>2005</t>
  </si>
  <si>
    <t>EFFECT OF IMAGE INTERACTIVITY TECHNOLOGY ON CONSUMER RESPONSES TOWARD THE ONLINE RETAILER</t>
  </si>
  <si>
    <t>Journal of Intreactive Marketing</t>
  </si>
  <si>
    <t>21.27</t>
  </si>
  <si>
    <t>Lifestyle apparel</t>
  </si>
  <si>
    <t>imaginariX.com</t>
  </si>
  <si>
    <t>21.27.73</t>
  </si>
  <si>
    <t>level of image interactivity</t>
  </si>
  <si>
    <t>3D/virtual model vs. images</t>
  </si>
  <si>
    <t>willingness to purchase</t>
  </si>
  <si>
    <t>Assuming you were actually shopping for clothing, how willing would you be to purchase from this online retailer?”</t>
  </si>
  <si>
    <t>pearson</t>
  </si>
  <si>
    <t>21.27.74</t>
  </si>
  <si>
    <t>Four global attitude items tapped how much the respondent liked the online store, how favorable was the overall evaluation of the online store, how good or bad was the online store, and overall how much the online store was liked.</t>
  </si>
  <si>
    <t>21.27.75</t>
  </si>
  <si>
    <t>willingness to patronize retailer</t>
  </si>
  <si>
    <t>“I would visit the online retailer again; In the future, I would probably shop at this online retailer.”</t>
  </si>
  <si>
    <t>23</t>
  </si>
  <si>
    <t>Griffin / Guttentag/ Lee/Giberson/Dimanche</t>
  </si>
  <si>
    <t>IS VR always better for destiNAtion marketing? Comparing different media and styles</t>
  </si>
  <si>
    <t>Journal of Vacation Marketing</t>
  </si>
  <si>
    <t>23.31</t>
  </si>
  <si>
    <t>Destination of South Africa (tourism destination)</t>
  </si>
  <si>
    <t>South African Tourism Board</t>
  </si>
  <si>
    <t>USA/Canada</t>
  </si>
  <si>
    <t>23.31.83</t>
  </si>
  <si>
    <t>affective destination image</t>
  </si>
  <si>
    <t>unpleasent pleasent</t>
  </si>
  <si>
    <t>23.31.84</t>
  </si>
  <si>
    <t>sharing ad information</t>
  </si>
  <si>
    <t xml:space="preserve">rate their intention to share information about the advertisement/product
</t>
  </si>
  <si>
    <t>23.31.85</t>
  </si>
  <si>
    <t>seek further destination information</t>
  </si>
  <si>
    <t xml:space="preserve">rate their intention to seek further information about the destination
</t>
  </si>
  <si>
    <t>23.31.86</t>
  </si>
  <si>
    <t>suggest destnation</t>
  </si>
  <si>
    <t>rate intention to suggest the destination to friends and family</t>
  </si>
  <si>
    <t>23.31.87</t>
  </si>
  <si>
    <t>visit in the next 5 years</t>
  </si>
  <si>
    <t>rate the intention to visit the destination in the next five years</t>
  </si>
  <si>
    <t>23.31.88</t>
  </si>
  <si>
    <t>23.31.89</t>
  </si>
  <si>
    <t>23.31.90</t>
  </si>
  <si>
    <t>23.31.91</t>
  </si>
  <si>
    <t>23.31.92</t>
  </si>
  <si>
    <t>23.32</t>
  </si>
  <si>
    <t>Destination of Australia (tourism destination)</t>
  </si>
  <si>
    <t>Australian Tourism Borad</t>
  </si>
  <si>
    <t>23.32.93</t>
  </si>
  <si>
    <t>23.32.94</t>
  </si>
  <si>
    <t>23.32.95</t>
  </si>
  <si>
    <t>23.32.96</t>
  </si>
  <si>
    <t>23.32.97</t>
  </si>
  <si>
    <t>23.32.98</t>
  </si>
  <si>
    <t>23.32.99</t>
  </si>
  <si>
    <t>23.32.100</t>
  </si>
  <si>
    <t>23.32.101</t>
  </si>
  <si>
    <t>23.32.102</t>
  </si>
  <si>
    <t>23.32.103</t>
  </si>
  <si>
    <t>23.32.104</t>
  </si>
  <si>
    <t>23.32.105</t>
  </si>
  <si>
    <t>23.32.106</t>
  </si>
  <si>
    <t>23.32.107</t>
  </si>
  <si>
    <t>23.32.108</t>
  </si>
  <si>
    <t>23.32.109</t>
  </si>
  <si>
    <t>23.32.110</t>
  </si>
  <si>
    <t>23.32.111</t>
  </si>
  <si>
    <t>23.32.112</t>
  </si>
  <si>
    <t>24</t>
  </si>
  <si>
    <t>Grudzewski / Awdziej / Mazurek /Piotrowska</t>
  </si>
  <si>
    <t>2018</t>
  </si>
  <si>
    <t>Virtual reality in marketing communication – the impact on the message, technology and offer perception – empirical study</t>
  </si>
  <si>
    <t>Economics and Business Review</t>
  </si>
  <si>
    <t>24.33</t>
  </si>
  <si>
    <t>Poland</t>
  </si>
  <si>
    <t>24.33.113</t>
  </si>
  <si>
    <t>Presentation format</t>
  </si>
  <si>
    <t>apartment perceptions</t>
  </si>
  <si>
    <t>30</t>
  </si>
  <si>
    <t>Hu /Wise</t>
  </si>
  <si>
    <t>Perceived Control or Haptic Sensation? Exploring the Effect of Image Interactivity on Consumer Responses to Online Product Displays</t>
  </si>
  <si>
    <t>Journal of Interactive Advertising</t>
  </si>
  <si>
    <t>30.43</t>
  </si>
  <si>
    <t>2x3</t>
  </si>
  <si>
    <t>apparel (t-shirt, scarf &amp; face towel)</t>
  </si>
  <si>
    <t>30.43.145</t>
  </si>
  <si>
    <t>image interactivity</t>
  </si>
  <si>
    <t>Bad/Good, UNAppealing/ Appealing,
Pleasant/Unpleasant (reverse coded),
Attractive/UNAttractive
(reverse coded),
Boring/
Interesting, and Dislike/Like</t>
  </si>
  <si>
    <t>30.43.146</t>
  </si>
  <si>
    <t>Unlikely/ Likely,
Improbable/Probable, Uncertain/Certain,
Definitely/Definitely not</t>
  </si>
  <si>
    <t>30.43.147</t>
  </si>
  <si>
    <t>willingness to pay</t>
  </si>
  <si>
    <t>If you were considering purchasing a [product], how much money (in US dollars) would you be will- ing to pay for the [product] you just saw?</t>
  </si>
  <si>
    <t>31</t>
  </si>
  <si>
    <t>Jahng / Jain / Ramamurthy</t>
  </si>
  <si>
    <t>2002</t>
  </si>
  <si>
    <t>Personality traits and effectiveness of presentation of product information in e-business systems JJ</t>
  </si>
  <si>
    <t>European Journal of Information Systems</t>
  </si>
  <si>
    <t>31.44</t>
  </si>
  <si>
    <t>digital camera</t>
  </si>
  <si>
    <t>31.44.148</t>
  </si>
  <si>
    <t>product information presentation richness</t>
  </si>
  <si>
    <t>purchase actions</t>
  </si>
  <si>
    <t>clicks on the buy button</t>
  </si>
  <si>
    <t>0,47 (percentage)</t>
  </si>
  <si>
    <t>0,79(percentage)</t>
  </si>
  <si>
    <t>34</t>
  </si>
  <si>
    <t>Kang</t>
  </si>
  <si>
    <t>Designing the next generation marketplace</t>
  </si>
  <si>
    <t>University of Wisconsin-Madison</t>
  </si>
  <si>
    <t>34.49</t>
  </si>
  <si>
    <t>41/51</t>
  </si>
  <si>
    <t>office desk and chair</t>
  </si>
  <si>
    <t>products of top selling furniture retailers, but no name stated</t>
  </si>
  <si>
    <t>34.49.157</t>
  </si>
  <si>
    <t>shopping interface</t>
  </si>
  <si>
    <t>hedonic attributes</t>
  </si>
  <si>
    <t>Importance of each attribute as decision criteria: style and visual attractiveness; luxurious appeal</t>
  </si>
  <si>
    <t>34.49.158</t>
  </si>
  <si>
    <t>I would like to irder the product I chose; I would like to purchase these products in the near future; I will purchase the products I choose the next time I need a chair and a desk</t>
  </si>
  <si>
    <t>34.49.159</t>
  </si>
  <si>
    <t>VR vs. videos</t>
  </si>
  <si>
    <t>34.49.160</t>
  </si>
  <si>
    <t>34.49.161</t>
  </si>
  <si>
    <t>34.49.162</t>
  </si>
  <si>
    <t>34.49.163</t>
  </si>
  <si>
    <t>3D vs. videos</t>
  </si>
  <si>
    <t>34.49.164</t>
  </si>
  <si>
    <t>35</t>
  </si>
  <si>
    <t>Keng / Liu</t>
  </si>
  <si>
    <t>2013</t>
  </si>
  <si>
    <t>Can avatar and self-referencing really increase the effects of online 2-D and 3-D advertising?</t>
  </si>
  <si>
    <t>Computers in Human Behavior</t>
  </si>
  <si>
    <t>35.50</t>
  </si>
  <si>
    <t>Fujifilm</t>
  </si>
  <si>
    <t>35.50.165</t>
  </si>
  <si>
    <t>visual complexity</t>
  </si>
  <si>
    <t>advertising attitudes</t>
  </si>
  <si>
    <t>35.50.166</t>
  </si>
  <si>
    <t>brand attitudes</t>
  </si>
  <si>
    <t>35.50.167</t>
  </si>
  <si>
    <t>35.51</t>
  </si>
  <si>
    <t>35.51.168</t>
  </si>
  <si>
    <t>advertising complexity</t>
  </si>
  <si>
    <t>35.51.169</t>
  </si>
  <si>
    <t>35.51.170</t>
  </si>
  <si>
    <t>36</t>
  </si>
  <si>
    <t>Kim / Baek / Yoon</t>
  </si>
  <si>
    <t>The effect of 360-degree rotatable product images on purchase intention</t>
  </si>
  <si>
    <t>36.52</t>
  </si>
  <si>
    <t>flip flops</t>
  </si>
  <si>
    <t>36.52.171</t>
  </si>
  <si>
    <t>presentation format</t>
  </si>
  <si>
    <t>unlikely/likely, impossible/possible, and improbable/probable</t>
  </si>
  <si>
    <t>37</t>
  </si>
  <si>
    <t>Kowalczuk / Siepmann / Adler</t>
  </si>
  <si>
    <t>Cognitive, affective, and behavioral consumer responses to augmented reality in e-commerce: A comparative study</t>
  </si>
  <si>
    <t>37.55</t>
  </si>
  <si>
    <t>Office chair</t>
  </si>
  <si>
    <t>Ikea</t>
  </si>
  <si>
    <t>product liking</t>
  </si>
  <si>
    <t>37.55.174</t>
  </si>
  <si>
    <t>AR vs.images</t>
  </si>
  <si>
    <t>Bad / good
Unpleasant / pleasant Unlikable / likable</t>
  </si>
  <si>
    <t>37.56.175</t>
  </si>
  <si>
    <t>Uncertain / certain
Unlikely / likely
Improbable / probable Impossible / possible</t>
  </si>
  <si>
    <t>38</t>
  </si>
  <si>
    <t>Lee / Li / Edwards</t>
  </si>
  <si>
    <t>2012</t>
  </si>
  <si>
    <t>The effect of 3-D product visualisation on the strength of brand attitude</t>
  </si>
  <si>
    <t>International Journal of Advertising</t>
  </si>
  <si>
    <t>38.57</t>
  </si>
  <si>
    <t>Kodak</t>
  </si>
  <si>
    <t>38.57.176</t>
  </si>
  <si>
    <t>presentation mode</t>
  </si>
  <si>
    <t>39</t>
  </si>
  <si>
    <t>Leung / Lyu / Bai</t>
  </si>
  <si>
    <t>A fad or the future? Examining the effectiveness of virtual reality advertising in the hotel industry</t>
  </si>
  <si>
    <t>International Journal of Hospitality Management</t>
  </si>
  <si>
    <t>39.58</t>
  </si>
  <si>
    <t>stay at luxury hotel</t>
  </si>
  <si>
    <t>Shangri-La Hotel</t>
  </si>
  <si>
    <t>China</t>
  </si>
  <si>
    <t>39.58.177</t>
  </si>
  <si>
    <t>commercial type</t>
  </si>
  <si>
    <t>Ad attitude</t>
  </si>
  <si>
    <t>Pleasant: unpleasant* Like: dislike
Interesting: boring
Enjoyable: unenjoyable</t>
  </si>
  <si>
    <t>39.58.178</t>
  </si>
  <si>
    <t>Favorable: unfavorable Good: bad
Foolish: wise Nice: awful
Attractive: uNAttractive Appealing: uNAppealing</t>
  </si>
  <si>
    <t>39.58.179</t>
  </si>
  <si>
    <t>It is very likely that I will stay in this hotel in the future.
The probability that I will consider staying in this hotel in the future is very high.
I am willing to book this hotel in the future.</t>
  </si>
  <si>
    <t>39.58.180</t>
  </si>
  <si>
    <t>brand attitudes1 (measured one month later)</t>
  </si>
  <si>
    <t>39.58.181</t>
  </si>
  <si>
    <t>purhcase intentions1 (measured one month later)</t>
  </si>
  <si>
    <t>40</t>
  </si>
  <si>
    <t>Li / Daugherty / Biocca</t>
  </si>
  <si>
    <t>Impact of 3-D Advertising on Product Knowledge, Brand Attitude, and Purchase Intention: The Mediating Role of Presence</t>
  </si>
  <si>
    <t>Journal of Advertising</t>
  </si>
  <si>
    <t>40.59</t>
  </si>
  <si>
    <t>Panasonic</t>
  </si>
  <si>
    <t>40.59.182</t>
  </si>
  <si>
    <t>bad/good; uNAppealing/appealing; unpleasant/pleasant, uNAttractive/attractive, boring/interesting, dislike/like</t>
  </si>
  <si>
    <t>40.59.183</t>
  </si>
  <si>
    <t>unlikely/likely, improbable/probable, uncertain/certain, definetly not/definetly</t>
  </si>
  <si>
    <t>40.60</t>
  </si>
  <si>
    <t>lifestyle watch</t>
  </si>
  <si>
    <t>40.60.184</t>
  </si>
  <si>
    <t>Cronbach's alpha (only for overall sample)</t>
  </si>
  <si>
    <t>40.60.185</t>
  </si>
  <si>
    <t>jacket</t>
  </si>
  <si>
    <t>40.60.186</t>
  </si>
  <si>
    <t>40.60.187</t>
  </si>
  <si>
    <t>41</t>
  </si>
  <si>
    <t>Li/Daugherty/Biocca</t>
  </si>
  <si>
    <t>2003</t>
  </si>
  <si>
    <t>The Role of Virtual Experience in Consumer Learning</t>
  </si>
  <si>
    <t>Journal of Consumer Psychology</t>
  </si>
  <si>
    <t>41.61</t>
  </si>
  <si>
    <t>41.61.188</t>
  </si>
  <si>
    <t>visualization</t>
  </si>
  <si>
    <t>good/bad, appealing/not appealing, pleasant/unpleasant, attractive/uNAttractive, intersting/boring</t>
  </si>
  <si>
    <t>bedding material</t>
  </si>
  <si>
    <t>41.61.189</t>
  </si>
  <si>
    <t>41.61.190</t>
  </si>
  <si>
    <t>41.62</t>
  </si>
  <si>
    <t>41.62.191</t>
  </si>
  <si>
    <t>information seeking</t>
  </si>
  <si>
    <t>Desire or intent to seek more information about product attributes</t>
  </si>
  <si>
    <t>number of units of thought</t>
  </si>
  <si>
    <t>41.62.192</t>
  </si>
  <si>
    <t>41.62.193</t>
  </si>
  <si>
    <t>41.63</t>
  </si>
  <si>
    <t>41.63.194</t>
  </si>
  <si>
    <t>3D vs. video</t>
  </si>
  <si>
    <t>41.63.195</t>
  </si>
  <si>
    <t>41.63.196</t>
  </si>
  <si>
    <t>42</t>
  </si>
  <si>
    <t>Li/Meshkova</t>
  </si>
  <si>
    <t>Examining the impact of rich media on consumer willingness to pay in online stores</t>
  </si>
  <si>
    <t>42.64</t>
  </si>
  <si>
    <t>high heels/digital camera</t>
  </si>
  <si>
    <t>Canon (for the camera), no name for the shoes</t>
  </si>
  <si>
    <t>non-western and western</t>
  </si>
  <si>
    <t>42.64.197</t>
  </si>
  <si>
    <t>For me, purchasing this product from any web vendor within the next 30 days would be: (From 1 = A very bad idea to 7 = A very good idea)
How likely is it that you would buy shoes online when they are presented in this way? (From 1 = Very unlikely to 7 = Very likely) If you needed to purchase a similar product in the future, how likely is it that you would return to a web shop which presents its products in this way? (From 1 = Very unlikely to 7 = Very likely)</t>
  </si>
  <si>
    <t>42.64.198</t>
  </si>
  <si>
    <t>WTP</t>
  </si>
  <si>
    <t>double bound dichotomous choice method</t>
  </si>
  <si>
    <t>42.64.199</t>
  </si>
  <si>
    <t>Canon (for the camera), no  name for the shoes</t>
  </si>
  <si>
    <t>42.64.200</t>
  </si>
  <si>
    <t>43</t>
  </si>
  <si>
    <t>Lo / Cheng</t>
  </si>
  <si>
    <t>Does virtual reality attract visitors? The mediating effect of presence on consumer response in virtual reality tourism advertising</t>
  </si>
  <si>
    <t>Information Technology &amp; Tourism</t>
  </si>
  <si>
    <t>43.65</t>
  </si>
  <si>
    <t>stay in treehouse hotel</t>
  </si>
  <si>
    <t>Eat and Travel Weekly, but no brand for the hotel</t>
  </si>
  <si>
    <t>43.65.201</t>
  </si>
  <si>
    <t>attitudes towards hotel</t>
  </si>
  <si>
    <t>bad/good; low quality/high quality; dislike/like</t>
  </si>
  <si>
    <t>43.65.202</t>
  </si>
  <si>
    <t>I would consider booking this hotel It is highly probable that I will book this hotel I am willing to book this hotel</t>
  </si>
  <si>
    <t>43.65.203</t>
  </si>
  <si>
    <t>43.65.204</t>
  </si>
  <si>
    <t>46</t>
  </si>
  <si>
    <t>Merle / Senecal / St-Onge</t>
  </si>
  <si>
    <t>Whether and How Virtual Try-On Influences Consumer Responses to an Apparel Web Site</t>
  </si>
  <si>
    <t>International Journal of Electronic Commerce</t>
  </si>
  <si>
    <t>46.69</t>
  </si>
  <si>
    <t>confidence in apparel fit</t>
  </si>
  <si>
    <t>46.69.211</t>
  </si>
  <si>
    <t>Type of Website</t>
  </si>
  <si>
    <t>virtual try on model vs. images</t>
  </si>
  <si>
    <t>1 The apparel will fit right* CF2 The apparel will look good on me* CF3 The apparel will match my style* CF4 These clothes will mak</t>
  </si>
  <si>
    <t>0-100</t>
  </si>
  <si>
    <t>46.69.212</t>
  </si>
  <si>
    <t>, I could imagine buying apparel from this Web site* PI2 The next time I buy apparel, I will take this Web site into consideration if it is possible to buy products on it*
PI3 I would be very interested in buying apparel on this Web site</t>
  </si>
  <si>
    <t>46.69.213</t>
  </si>
  <si>
    <t>virtual try on model vs. images of general model</t>
  </si>
  <si>
    <t>46.69.214</t>
  </si>
  <si>
    <t>47</t>
  </si>
  <si>
    <t>Mishra / Shukla / RaNA / Dwivedi</t>
  </si>
  <si>
    <t>From “touch” to a “multisensory” experience: The impact of technology interface and product type on consumer responses</t>
  </si>
  <si>
    <t>47.70</t>
  </si>
  <si>
    <t>youtube ad of real brand, but not stated which brand</t>
  </si>
  <si>
    <t>India</t>
  </si>
  <si>
    <t>47.70.215</t>
  </si>
  <si>
    <t>Technology</t>
  </si>
  <si>
    <t>visual appeal</t>
  </si>
  <si>
    <t>The advertisement was visually pleasing. The advertisement was visually appealing</t>
  </si>
  <si>
    <t>391-392</t>
  </si>
  <si>
    <t>&lt;1</t>
  </si>
  <si>
    <t>47.70.216</t>
  </si>
  <si>
    <t>After seeing this advertisement, how likely you may buy the product. After seeing this advertisement, I would buy the produc</t>
  </si>
  <si>
    <t>tourism destination</t>
  </si>
  <si>
    <t>47.70.217</t>
  </si>
  <si>
    <t>47.70.218</t>
  </si>
  <si>
    <t>48</t>
  </si>
  <si>
    <t>Nicholson</t>
  </si>
  <si>
    <t>Virtual Product Experience: An Empirical Examination of Technology and Individual Characteristics on Consumer Psychology and Intentions</t>
  </si>
  <si>
    <t>Washington State University</t>
  </si>
  <si>
    <t>48.71</t>
  </si>
  <si>
    <t>attitude toward website</t>
  </si>
  <si>
    <t>48.71.219</t>
  </si>
  <si>
    <t>product beliefs - shape/size</t>
  </si>
  <si>
    <t>The shape or size of the Kodak digital camera is awkward. The shape or size of the Kodak digital camera is ideal The shape or size of the Kodak digital camera is convenient.</t>
  </si>
  <si>
    <t>Composite reliability</t>
  </si>
  <si>
    <t>48.71.220</t>
  </si>
  <si>
    <t>product beliefs- quality</t>
  </si>
  <si>
    <t>How likely is it that the digital camera would be reliable?
yf How likely is it that the digital camera is of high quality workmanship? How likely is it that the digital camera is dependable?</t>
  </si>
  <si>
    <t>48.71.221</t>
  </si>
  <si>
    <t>The Kodak digital camera is (Good-Bad)
The Kodak digital camera is (Favorable-Unfavorable) The Kodak digital camera is (Likeable-Dislikeable)</t>
  </si>
  <si>
    <t>48.71.221a</t>
  </si>
  <si>
    <t>bad/good, dislike/like, and unfavorable/favorable</t>
  </si>
  <si>
    <t>48.71.222</t>
  </si>
  <si>
    <t>Intentions toward website</t>
  </si>
  <si>
    <t xml:space="preserve">
1. It is very likely that I will return to this site. 2. I will return to this site the next time I need a (product).
</t>
  </si>
  <si>
    <t>48.71.222a</t>
  </si>
  <si>
    <t>purchase/recommendation intentions</t>
  </si>
  <si>
    <t>It is very likely that I will buy the Kodak digital camera.
I will definitely purchase Kodak the next time I need a digital camera. Suppose that a friend called you last night to get your advice in his/her search for a digital camera. Would you recommend him/her to buy from Kodak? (Absolutely Not - Absolutely)</t>
  </si>
  <si>
    <t>48.71.223</t>
  </si>
  <si>
    <t>48.71.224</t>
  </si>
  <si>
    <t>48.71.225</t>
  </si>
  <si>
    <t>48.71.225a</t>
  </si>
  <si>
    <t>48.71.226</t>
  </si>
  <si>
    <t>intentions toward website</t>
  </si>
  <si>
    <t>48.71.226a</t>
  </si>
  <si>
    <t>50</t>
  </si>
  <si>
    <t>Park / Stoel / Lennon</t>
  </si>
  <si>
    <t>Cognitive, affective and coNAtive responses to visual simulation: Theeffectsofrotationinonline product presentation</t>
  </si>
  <si>
    <t>Journal of Consumer Behavior</t>
  </si>
  <si>
    <t>50.73</t>
  </si>
  <si>
    <t>khaki pants</t>
  </si>
  <si>
    <t>50.73.229</t>
  </si>
  <si>
    <t>presentation</t>
  </si>
  <si>
    <t>purchase intention</t>
  </si>
  <si>
    <t>51</t>
  </si>
  <si>
    <t>Pleyers / Poncin</t>
  </si>
  <si>
    <t>Non-immersive virtual reality technologies in real estate: How customer experience drives attitudes toward properties and the service provider</t>
  </si>
  <si>
    <t>51.74</t>
  </si>
  <si>
    <t>51.74.230</t>
  </si>
  <si>
    <t>attitudes toward product</t>
  </si>
  <si>
    <t>Do you like this apartment? � Do you find this apartment beautiful? � Does this apartment make you dream?</t>
  </si>
  <si>
    <t>F(1,230): 4,39</t>
  </si>
  <si>
    <t>51.74.231</t>
  </si>
  <si>
    <t>attitudes toward service provider</t>
  </si>
  <si>
    <t>Do you like this real estate agency? � Does this agency appear to be trustworthy? � Does this agency appear to be innovative? � Would you recommend this agency to other people?</t>
  </si>
  <si>
    <t>F(1,230):37,47</t>
  </si>
  <si>
    <t>51.74.232</t>
  </si>
  <si>
    <t>behavioral intentions</t>
  </si>
  <si>
    <t>Do you wish to visit this apartment for real?</t>
  </si>
  <si>
    <t>F(1,230):2,82</t>
  </si>
  <si>
    <t>52</t>
  </si>
  <si>
    <t>Plotkina / Saurel</t>
  </si>
  <si>
    <t>Me or just like me? The role of virtual try-on and physical appearance in apparel M-retailing</t>
  </si>
  <si>
    <t>52.75</t>
  </si>
  <si>
    <t>2x2x3</t>
  </si>
  <si>
    <t>52.75.233</t>
  </si>
  <si>
    <t>PI1. It is very likely that I would purchase this outfit. PI2. The probability that I would consider buying the product is very high. PI3. If I were going to buy clothes, I would very probably buy this dress.</t>
  </si>
  <si>
    <t>53</t>
  </si>
  <si>
    <t>Poushneh</t>
  </si>
  <si>
    <t>Consumers and Augmented Reality in Shopping and Services: Drivers and Consequences</t>
  </si>
  <si>
    <t>The University of Texas Rio Grande Valley</t>
  </si>
  <si>
    <t>53.76</t>
  </si>
  <si>
    <t>lifestyle sunglasses</t>
  </si>
  <si>
    <t>Ray-Ban</t>
  </si>
  <si>
    <t>53.76.234</t>
  </si>
  <si>
    <t>Interactivity</t>
  </si>
  <si>
    <t>Price-Value-Trade-Off</t>
  </si>
  <si>
    <t>The product offered in the website of Ray-Ban app is reasonably priced. .
The product offered in the website of Ray-Ban is a good value for the money.
At the current price, the product offered in the website of Ray-Ban provides a good value.</t>
  </si>
  <si>
    <t>53.76.235</t>
  </si>
  <si>
    <t>user willingness to buy</t>
  </si>
  <si>
    <t>I intend to buy my eyeglasses/sunglasses via the Ray-Ban website.
I would be willing to buy my eyeglasses/sunglasses via the Ray-Ban website.
In future, I would buy my eyeglasses/sunglasses via the Ray-Ban website.</t>
  </si>
  <si>
    <t>54</t>
  </si>
  <si>
    <t>How close do we feel to virtual product to make a purchase decision? Impact of perceived proximity to virtual product and temporal purchase intention</t>
  </si>
  <si>
    <t>54.77</t>
  </si>
  <si>
    <t>eyeglasses/lifestyle sunglasses</t>
  </si>
  <si>
    <t xml:space="preserve">Warby Parker </t>
  </si>
  <si>
    <t>54.77.236</t>
  </si>
  <si>
    <t>perceived purchase intentions in the near future</t>
  </si>
  <si>
    <t>I would buy the product right now. I will buy the product in near futur</t>
  </si>
  <si>
    <t>55</t>
  </si>
  <si>
    <t>Pozharliev / De Angelis / Rossi</t>
  </si>
  <si>
    <t>The effect of augmented reality versus traditioNAl advertising: a comparison between neurophysiological and self‑reported measures</t>
  </si>
  <si>
    <t>Marketing Letters</t>
  </si>
  <si>
    <t>55.78</t>
  </si>
  <si>
    <t>sofa/office desk/laundry basket</t>
  </si>
  <si>
    <t>Italy</t>
  </si>
  <si>
    <t>55.78.237</t>
  </si>
  <si>
    <t>type of advertising</t>
  </si>
  <si>
    <t>How much would you like to pay for this product?” - using numeric open answer in a constant sum. For each product, we calculated the Z-score among the participants since the three furniture pieces had three different price ranges, in order to be able to average the three obtained values and derive a summary measure of WTP that could take all three products into account.</t>
  </si>
  <si>
    <t>55.79</t>
  </si>
  <si>
    <t>WTB</t>
  </si>
  <si>
    <t>55.79.238</t>
  </si>
  <si>
    <t>There is a strong likelihood that I will buy the product I just saw,” “I would consider buying the product I just saw,” “I will purchase the table bin I just saw”</t>
  </si>
  <si>
    <t>57</t>
  </si>
  <si>
    <t>Schlosser</t>
  </si>
  <si>
    <t>Experiencing Products in the Virtual World: The Role of Goal and Imagery in Influencing Attitudes versus Purchase Intentions</t>
  </si>
  <si>
    <t>Journal of Consumer Research</t>
  </si>
  <si>
    <t>57.81</t>
  </si>
  <si>
    <t>57.81.240</t>
  </si>
  <si>
    <t>object interactivity</t>
  </si>
  <si>
    <t>57.81.241</t>
  </si>
  <si>
    <t>57.81.242</t>
  </si>
  <si>
    <t>57.81.243</t>
  </si>
  <si>
    <t>57.82</t>
  </si>
  <si>
    <t>57.82.244</t>
  </si>
  <si>
    <t>product attitudes</t>
  </si>
  <si>
    <t>57.82.245</t>
  </si>
  <si>
    <t>57.82.246</t>
  </si>
  <si>
    <t>57.82.247</t>
  </si>
  <si>
    <t>57.83</t>
  </si>
  <si>
    <t>57.88.248</t>
  </si>
  <si>
    <t>57.88.249</t>
  </si>
  <si>
    <t>57.88.250</t>
  </si>
  <si>
    <t>57.88.251</t>
  </si>
  <si>
    <t>57.84</t>
  </si>
  <si>
    <t>57.84.252</t>
  </si>
  <si>
    <t>57.84.253</t>
  </si>
  <si>
    <t>57.84.254</t>
  </si>
  <si>
    <t>57.84.255</t>
  </si>
  <si>
    <t>F(1,99):28,07</t>
  </si>
  <si>
    <t>58</t>
  </si>
  <si>
    <t>Skard / Knudsen / Sjastad / Thorbjornsen</t>
  </si>
  <si>
    <t>How virtual reality influences travel intentions: The role of mental imagery and happiness forecasting</t>
  </si>
  <si>
    <t>58.85</t>
  </si>
  <si>
    <t>Norway</t>
  </si>
  <si>
    <t>58.85.256</t>
  </si>
  <si>
    <t>“In general, how would you consider going on an organized daytrip from Bergen, which include destiNAtions you saw in the pictures?” I would consider travelling to this type of destiNAtion next time I go on a trip • I would recommend this type of destiNAtion if a friend calls me to get my advice about a travel destiNAtion in Norway • It is likely that I will travel to this type of destiNAtion in the future</t>
  </si>
  <si>
    <t>58.85.257</t>
  </si>
  <si>
    <t>actual pruchase</t>
  </si>
  <si>
    <t>was coded by the experimenters as “yes” (one or two tickets) or “no”</t>
  </si>
  <si>
    <t>59</t>
  </si>
  <si>
    <t>Smink / van Reijmersdal / van Noort / Neijens</t>
  </si>
  <si>
    <t>Shopping in augmented reality: The effects of spatial presence, persoNAlization and intrusiveness on app and brand responses</t>
  </si>
  <si>
    <t>59.86</t>
  </si>
  <si>
    <t>make-up</t>
  </si>
  <si>
    <t>L'Oreal</t>
  </si>
  <si>
    <t>Netherlands</t>
  </si>
  <si>
    <t>59.86.258</t>
  </si>
  <si>
    <t>type of app</t>
  </si>
  <si>
    <t>In my opinion, Brand X is… - (un) appealing - (un) likeable - bad/good</t>
  </si>
  <si>
    <t>59.86.259</t>
  </si>
  <si>
    <t>After using the app, the chance that I will buy
product from Brand X is:* - (un)likely - (un)certain - small/big
-</t>
  </si>
  <si>
    <t>59.87</t>
  </si>
  <si>
    <t>sofa</t>
  </si>
  <si>
    <t>59.87.260</t>
  </si>
  <si>
    <t>59.87.261</t>
  </si>
  <si>
    <t>60</t>
  </si>
  <si>
    <t>Spielmann / Orth</t>
  </si>
  <si>
    <t>Can Advertisers Overcome Consumer Qualms With Virtual Reality? Increasing OperatioNAl Transparency through Self-Guided 360-Degree Tours</t>
  </si>
  <si>
    <t>Journal of Advertising Research</t>
  </si>
  <si>
    <t>60.88</t>
  </si>
  <si>
    <t>stay at an ice hotel</t>
  </si>
  <si>
    <t>Hotel de Glace</t>
  </si>
  <si>
    <t>60.88.262</t>
  </si>
  <si>
    <t>approach-avoidance</t>
  </si>
  <si>
    <t>“I would enjoy going to this ___.” “I like this environment.” “I would avoid visiting this ___.”a
“This is a place in which I would feel friendly and talkative to a stranger who happens to be next to me.” “This is a place where I would try to avoid people and avoid talking to them.”a “I would like to spend time taking in this ___.” “I want to avoid looking around or exploring ___.”a
“This is the sort of place where I end up spending more money than I origiNAlly set out to spend.</t>
  </si>
  <si>
    <t>60.89</t>
  </si>
  <si>
    <t>The Son Doong Cave, Vietnam (cultural site)</t>
  </si>
  <si>
    <t>Son Doong Cave Vietnam</t>
  </si>
  <si>
    <t>60.89.263</t>
  </si>
  <si>
    <t>click through</t>
  </si>
  <si>
    <t>whether respondets clicked on link for waiting list to visit the cave</t>
  </si>
  <si>
    <t>60.89.264</t>
  </si>
  <si>
    <t>61</t>
  </si>
  <si>
    <t>Spielmann / Mantonakis</t>
  </si>
  <si>
    <t>In virtuo: How user-driven interactivity in virtual tours leads to attitude change</t>
  </si>
  <si>
    <t>61.90</t>
  </si>
  <si>
    <t>1a</t>
  </si>
  <si>
    <t>toruism destination</t>
  </si>
  <si>
    <t>Tourism Bureau of Reims</t>
  </si>
  <si>
    <t>61.90.265</t>
  </si>
  <si>
    <t>attitutde toward advertising piece</t>
  </si>
  <si>
    <t>− The advertising piece seemed attractive − It looks like a nice ad − I like this ad − It looks like a satisfying ad</t>
  </si>
  <si>
    <t>61.91</t>
  </si>
  <si>
    <t>Canada</t>
  </si>
  <si>
    <t>61.91.266</t>
  </si>
  <si>
    <t>attitudes toward object</t>
  </si>
  <si>
    <t>61.92</t>
  </si>
  <si>
    <t>2a</t>
  </si>
  <si>
    <t>Land Rover</t>
  </si>
  <si>
    <t>61.92.267</t>
  </si>
  <si>
    <t>61.93</t>
  </si>
  <si>
    <t>61.93.268</t>
  </si>
  <si>
    <t>61.94</t>
  </si>
  <si>
    <t>3a</t>
  </si>
  <si>
    <t>Serena Kampala Hotel</t>
  </si>
  <si>
    <t>61.94.269</t>
  </si>
  <si>
    <t>61.95</t>
  </si>
  <si>
    <t>61.95.270</t>
  </si>
  <si>
    <t>62</t>
  </si>
  <si>
    <t>Suh / Chang</t>
  </si>
  <si>
    <t>2006</t>
  </si>
  <si>
    <t>User interfaces and consumer perceptions of online stores: The role of telepresence</t>
  </si>
  <si>
    <t>Behavior &amp; Information Technology</t>
  </si>
  <si>
    <t>62.96</t>
  </si>
  <si>
    <t>computer desk</t>
  </si>
  <si>
    <t>62.96.271</t>
  </si>
  <si>
    <t>user interface</t>
  </si>
  <si>
    <t>PA1:
Bad
1
2
3
4
5
6
7
Good
PA2:
UNAppealing
1
2
3
4
5
6
7
Appealing
PA3:
Unpleasant
1
2
3
4
5
6
7
Pleasant
PA4:
UNAttractive
1
2
3
4
5
6
7
Attractive
PA5:
Boring
1
2
3
4
5
6
7
Interesting
PA6:
Dislike
1
2
3
4
5
6
7 Like</t>
  </si>
  <si>
    <t>62.96.272</t>
  </si>
  <si>
    <t>How likely would you be to purchase this product? PI1:
Unlikely
1
PI2:
Improbably
1
PI3:
Uncertain
1
PI4:
Definitely Not
1
2 2 2 2
3 3 3 3
4 4 4 4
5 5 5 5
6 6 6 6
7 Likely 7
Probably
7
Certain
7
Definitely
Construct:</t>
  </si>
  <si>
    <t>62.96.273</t>
  </si>
  <si>
    <t>62.96.274</t>
  </si>
  <si>
    <t>65</t>
  </si>
  <si>
    <t>van Kerrebroecl / Brengman / Willems</t>
  </si>
  <si>
    <t>2017</t>
  </si>
  <si>
    <t>When brands come to life: experimental research on the vividness effect of Virtual Reality in transformatioNAl marketing communications</t>
  </si>
  <si>
    <t>The NorthFace</t>
  </si>
  <si>
    <t>attitude toward ad</t>
  </si>
  <si>
    <t>15.20.280</t>
  </si>
  <si>
    <t>Positive/negative
0.88
0.001
AAD2 Favourable/unfavourable
0.83
0.001
AAD3 Interesting/uninteresting</t>
  </si>
  <si>
    <t>15.20.281</t>
  </si>
  <si>
    <t>Likely/unlikely
0.98
0.001
PI2 Probable/not probable</t>
  </si>
  <si>
    <t>66</t>
  </si>
  <si>
    <t>Verhagen / Vonkeman / van Dolen</t>
  </si>
  <si>
    <t>2016</t>
  </si>
  <si>
    <t>Making Online Products More Tangible:
The Effect of Product Presentation Formats on Product Evaluations</t>
  </si>
  <si>
    <t>Cyberpsychology, Behavior &amp; Social Networking</t>
  </si>
  <si>
    <t>66.100</t>
  </si>
  <si>
    <t>Lifestyle sunglasses</t>
  </si>
  <si>
    <t>66.100.282</t>
  </si>
  <si>
    <t>intreactivity</t>
  </si>
  <si>
    <t xml:space="preserve"> AR vs. images</t>
  </si>
  <si>
    <t>66.100.283</t>
  </si>
  <si>
    <t xml:space="preserve"> 3D vs. images</t>
  </si>
  <si>
    <t>68</t>
  </si>
  <si>
    <t>Watson / Alexander / Salavati</t>
  </si>
  <si>
    <t>The impact of experiential
augmented reality applications on fashion purchase intention</t>
  </si>
  <si>
    <t>International Journal of Retail and Distribution Management</t>
  </si>
  <si>
    <t>68.102</t>
  </si>
  <si>
    <t>leading cosmetics brand</t>
  </si>
  <si>
    <t>Switzerland</t>
  </si>
  <si>
    <t>68.102.288</t>
  </si>
  <si>
    <t>Augmentation</t>
  </si>
  <si>
    <t>I will purchase the cosmetics I interacted with. (2) Given a choice, my friends will choose the cosmetics I interacted with. (3) There is a strong likelihood that I will buy the cosmetics I interacted with. (4) I will recommend the cosmetics I interacted with to my friends</t>
  </si>
  <si>
    <t>69</t>
  </si>
  <si>
    <t>Whang / Song / Choi / Lee</t>
  </si>
  <si>
    <t>The effect of Augmented Reality on purchase intention of beauty products: The roles of consumers’ control</t>
  </si>
  <si>
    <t>69.103</t>
  </si>
  <si>
    <t>lipstick</t>
  </si>
  <si>
    <t>real cosmetic brand</t>
  </si>
  <si>
    <t>69.103.289</t>
  </si>
  <si>
    <t>1. I’m going to buy this lipstick. 2. I consider purchasing this lipstick. 3. I may purchase this lipstick</t>
  </si>
  <si>
    <t>69.104</t>
  </si>
  <si>
    <t>69.104.290</t>
  </si>
  <si>
    <t>2. I’m going to buy this lipstick. 2. I consider purchasing this lipstick. 3. I may purchase this lipstick</t>
  </si>
  <si>
    <t>71</t>
  </si>
  <si>
    <t>Yang / Carlson / Chen</t>
  </si>
  <si>
    <t>How augmented reality affects advertising effectiveness: The mediating effects of curiosity and attention toward the ad</t>
  </si>
  <si>
    <t>71.106</t>
  </si>
  <si>
    <t>shower column</t>
  </si>
  <si>
    <t>Chinese kitchen-and-bath company</t>
  </si>
  <si>
    <t>71.106.292</t>
  </si>
  <si>
    <t>Type of advertisement</t>
  </si>
  <si>
    <t>1. I feel like buying the product now. 2. I would like to buy the product as soon as possible. 3. I would like to buy the product right away</t>
  </si>
  <si>
    <t>71.106.293</t>
  </si>
  <si>
    <t>bad/good, unfavorable/favorable, negative/positive, and unpleasant/pleasant</t>
  </si>
  <si>
    <t>72</t>
  </si>
  <si>
    <t>Yeh / Wang / Li / Lin</t>
  </si>
  <si>
    <t>The effect of information presentation modes on tourists’ responses in Internet marketing: the moderating role of emotions</t>
  </si>
  <si>
    <t>Journal of Travel and Tourism Marketing</t>
  </si>
  <si>
    <t>72.109</t>
  </si>
  <si>
    <t>72.109.296</t>
  </si>
  <si>
    <t>desire to visit</t>
  </si>
  <si>
    <t>The travel information the website provides increases my desire to visit this place. The reports on the website increase my desire to visit this place.</t>
  </si>
  <si>
    <t>72.109.297</t>
  </si>
  <si>
    <t>visit intentions</t>
  </si>
  <si>
    <t>I will visit Tamsui when I am free. I will visit Tamsui with friends.</t>
  </si>
  <si>
    <t>73</t>
  </si>
  <si>
    <t>Yi / Jiang / Benbasat</t>
  </si>
  <si>
    <t>2015</t>
  </si>
  <si>
    <t>Enticing and Engaging Consumers via Online Product Presentations: The Effects of Restricted Interaction Design CHENG</t>
  </si>
  <si>
    <t>Journal of Management Information Systems</t>
  </si>
  <si>
    <t>73.110</t>
  </si>
  <si>
    <t>mobile phone</t>
  </si>
  <si>
    <t>enticement</t>
  </si>
  <si>
    <t>3D full vs. video</t>
  </si>
  <si>
    <t>73.110.298</t>
  </si>
  <si>
    <t>1) The product presentation made me want to know more about the product by trying the real one;
(2) I was interested in trying the real product; (3) I was enticed to explore functions of the actual phone; (4) I was curious about playing with the real phone.
(1)</t>
  </si>
  <si>
    <t>3D restricted vs. video</t>
  </si>
  <si>
    <t>73.110.299</t>
  </si>
  <si>
    <t>74</t>
  </si>
  <si>
    <t>Yim / Chu / Sauer</t>
  </si>
  <si>
    <t>Is Augmented Reality Technology an Effective Tool for E-commerce? An Interactivity and Vividness Perspective</t>
  </si>
  <si>
    <t>Journal of Interactive Marketing</t>
  </si>
  <si>
    <t>74.111</t>
  </si>
  <si>
    <t>74.111.300</t>
  </si>
  <si>
    <t>Uncertain–Certain
Unlikely–Likely
Improbable–Probable Impossible–Possible</t>
  </si>
  <si>
    <t>Tissot</t>
  </si>
  <si>
    <t>74.111.301</t>
  </si>
  <si>
    <t>75</t>
  </si>
  <si>
    <t>Wang / Yeh / Wang / Tseng / Lin / Lin / Xie</t>
  </si>
  <si>
    <t>Investigating online consumers' responses to presentation modes Does product type really matter?</t>
  </si>
  <si>
    <t>Internet Research</t>
  </si>
  <si>
    <t>75.113</t>
  </si>
  <si>
    <t>3x3</t>
  </si>
  <si>
    <t>cat tree</t>
  </si>
  <si>
    <t>75.113.303</t>
  </si>
  <si>
    <t>I think the product is worth buying I would like to buy the product
I have a greater intention to buy the product after learning about it</t>
  </si>
  <si>
    <t>cat sweatshirt</t>
  </si>
  <si>
    <t>75.113.304</t>
  </si>
  <si>
    <t>self-scooping litter</t>
  </si>
  <si>
    <t>75.113.305</t>
  </si>
  <si>
    <t>77</t>
  </si>
  <si>
    <t>Smink / Frowijn / van Reijmersdal / van Noort / Neijens</t>
  </si>
  <si>
    <t>Try online before you buy: How does shopping with augmented reality affect brand responses and personal data disclosure</t>
  </si>
  <si>
    <t>77.116</t>
  </si>
  <si>
    <t>Sephora</t>
  </si>
  <si>
    <t>77.116.311</t>
  </si>
  <si>
    <t>Online product presentation</t>
  </si>
  <si>
    <t>Brand attitude</t>
  </si>
  <si>
    <t>I think the brand Sephora is… bad – good
unattractive – attractive negative – positive</t>
  </si>
  <si>
    <t>77.116.312</t>
  </si>
  <si>
    <t>After trying the lipstick on the website, the chance that I will buy the lipstick is… improbable – probable
0.98
unlikely – likely
0.99
small – big
0.99
To</t>
  </si>
  <si>
    <t>Cronbach'salpha</t>
  </si>
  <si>
    <t>77.116.313</t>
  </si>
  <si>
    <t>77.116.314</t>
  </si>
  <si>
    <t>78</t>
  </si>
  <si>
    <t>Zeng / Cao / Lin / Xiao</t>
  </si>
  <si>
    <t>When online reviews meet virtual reality: Effects on consumer hotel booking</t>
  </si>
  <si>
    <t>Annals of Tourism Research</t>
  </si>
  <si>
    <t>78.117</t>
  </si>
  <si>
    <t>78.117.315</t>
  </si>
  <si>
    <t>VR application</t>
  </si>
  <si>
    <t>“Iam willing to book a room at this hotel immediately”, “It is very likely that I would book a room at this hotel”, and “I would suggest booking this hotel”</t>
  </si>
  <si>
    <t>78.118</t>
  </si>
  <si>
    <t>78.118.316</t>
  </si>
  <si>
    <t>81</t>
  </si>
  <si>
    <t>Flavian/Gurrea/Orus</t>
  </si>
  <si>
    <t>2009</t>
  </si>
  <si>
    <t>The impact of online product presentation on consumers' perceptions: an experimental analysis</t>
  </si>
  <si>
    <t>International Journal of E-Services and Mobile Applications</t>
  </si>
  <si>
    <t>81.123</t>
  </si>
  <si>
    <t>video camera</t>
  </si>
  <si>
    <t>image movement</t>
  </si>
  <si>
    <t>JVC</t>
  </si>
  <si>
    <t>Spain</t>
  </si>
  <si>
    <t>81.123.327</t>
  </si>
  <si>
    <t>online pruchase intentions</t>
  </si>
  <si>
    <t>If I had to buy a video-camera, I would probably use this website
If I had to buy a video-camera, I would probably consider the purchase of a video-camera in Elec- troshop.com
I will probably consider the purchase of a video-camera in Electroshop.com if I need this product</t>
  </si>
  <si>
    <t>82</t>
  </si>
  <si>
    <t>Uhm / Kim / Do / Lee</t>
  </si>
  <si>
    <t>How augmented reality (AR) experience affects purchase intetnion in sport E-commerce: Roles of perceived diagnosticity, psychological distance, and perceived risks</t>
  </si>
  <si>
    <t>82.124</t>
  </si>
  <si>
    <t>Lifestyle sneakers</t>
  </si>
  <si>
    <t>82.124.328</t>
  </si>
  <si>
    <t>AR shopping experiences</t>
  </si>
  <si>
    <t>pruchase intentions</t>
  </si>
  <si>
    <t>83</t>
  </si>
  <si>
    <t>Summerlin / Pwell</t>
  </si>
  <si>
    <t>Effec of Interactivity Level and Price on Online Purchase Intention</t>
  </si>
  <si>
    <t>Journal of Theoretical and Applied Electronic Commerce Research</t>
  </si>
  <si>
    <t>83.125</t>
  </si>
  <si>
    <t>Artifical plant (decoration)</t>
  </si>
  <si>
    <t>UK</t>
  </si>
  <si>
    <t>83.125.329</t>
  </si>
  <si>
    <t>85</t>
  </si>
  <si>
    <t>Kim / Daugherty</t>
  </si>
  <si>
    <t>Effects of 3-D Visualization on Persuasion in Online Shopping Sites: a Moderating Role of Product Knowledge</t>
  </si>
  <si>
    <t>Asia Pacific Advances in Consumer Research</t>
  </si>
  <si>
    <t>85.127</t>
  </si>
  <si>
    <t>Portable Digital Assistant (PDA)</t>
  </si>
  <si>
    <t>HP</t>
  </si>
  <si>
    <t>85.127.332</t>
  </si>
  <si>
    <t>Product visualization type</t>
  </si>
  <si>
    <t>brand attitudes change</t>
  </si>
  <si>
    <t>pleasant/unpleasant, useful/useless, cold/warm, poorly made/well made, friendly/unfriendly, and best/worst --&gt; index of pre and post measure</t>
  </si>
  <si>
    <t>Findings</t>
  </si>
  <si>
    <t>86</t>
  </si>
  <si>
    <t>Alyahya / McLean</t>
  </si>
  <si>
    <t>Examining Tourism Consumers’ Attitudes and the Role of Sensory Information in Virtual Reality Experiences of a Tourist Destination</t>
  </si>
  <si>
    <t>Journal of Travel Research</t>
  </si>
  <si>
    <t>86.128</t>
  </si>
  <si>
    <t>tourism desintation (Egypt)</t>
  </si>
  <si>
    <t>attitude toward destination</t>
  </si>
  <si>
    <t>86.128.333</t>
  </si>
  <si>
    <t>Sensory rich VR experience</t>
  </si>
  <si>
    <t>Unappealing/appealing • Bad/good • Unpleasant/pleasant • Unfavorable/favorable • Unlikeable/likeable</t>
  </si>
  <si>
    <t>87</t>
  </si>
  <si>
    <t>Feng</t>
  </si>
  <si>
    <t>Facilitator or Inhibitor? The Use of 360-Degree Videos for Immersive Brand Storytelling</t>
  </si>
  <si>
    <t>87.129</t>
  </si>
  <si>
    <t>Sports apparel</t>
  </si>
  <si>
    <t>Columbia Sports Wear</t>
  </si>
  <si>
    <t>87.129.334</t>
  </si>
  <si>
    <t>Type of ad</t>
  </si>
  <si>
    <t>“I dislike this video ad”; “This video ad is appealing to me”; “This video ad is attractive to me”; “This video ad is interesting to me”; “I think this video ad is bad”</t>
  </si>
  <si>
    <t>88</t>
  </si>
  <si>
    <t>Verhagen / Vonkeman / Feldberg / Verhagen</t>
  </si>
  <si>
    <t>Present it like it is here: Creating local presence to improve online product experiences</t>
  </si>
  <si>
    <t>88.130</t>
  </si>
  <si>
    <t>product likability</t>
  </si>
  <si>
    <t>88.130.335</t>
  </si>
  <si>
    <t>Presence</t>
  </si>
  <si>
    <t>: I felt excited about the sunglasses
PL2: I felt enthusiasm toward the sunglasses PL3: I felt proud toward the sunglasses PL4: I felt inspired toward the sunglasses</t>
  </si>
  <si>
    <t>88.130.336</t>
  </si>
  <si>
    <t>PI1: It is likely that I will soon buy sunglasses via this web site.
PI2: It is likely that I will purchase sunglasses from this website in the future. PI3: It is likely that I will return to this website
a</t>
  </si>
  <si>
    <t>88.130.337</t>
  </si>
  <si>
    <t>88.130.338</t>
  </si>
  <si>
    <t>90</t>
  </si>
  <si>
    <t>Liu</t>
  </si>
  <si>
    <t>The Effect of On-line Product Presentation
: A Comparative Study between 3D and General Product Presentation</t>
  </si>
  <si>
    <t>International Journal of Industrial Distribution and Business</t>
  </si>
  <si>
    <t>90.132</t>
  </si>
  <si>
    <t>real brand, but not stated which brand</t>
  </si>
  <si>
    <t>90.132.341</t>
  </si>
  <si>
    <t>product presentation</t>
  </si>
  <si>
    <t>91</t>
  </si>
  <si>
    <t>Fritz / Hadi / Stephen</t>
  </si>
  <si>
    <t>From tablet to table : How augmented reality influences food desirability</t>
  </si>
  <si>
    <t>Journal of the Academy of Marketing Science</t>
  </si>
  <si>
    <t>91.133</t>
  </si>
  <si>
    <t>dessert</t>
  </si>
  <si>
    <t>food restaurant in a large international city</t>
  </si>
  <si>
    <t>91.133.342</t>
  </si>
  <si>
    <t>likelihood to order a dessert</t>
  </si>
  <si>
    <t>actual behavior, measured in percentage</t>
  </si>
  <si>
    <t>91.133.344</t>
  </si>
  <si>
    <t>desirability</t>
  </si>
  <si>
    <t>desirability of all desserts on the menu</t>
  </si>
  <si>
    <t>92</t>
  </si>
  <si>
    <t>Yang / Xiong / Mao / Ma</t>
  </si>
  <si>
    <t>2023</t>
  </si>
  <si>
    <t>Virtual Fitting Room Effect: Moderating Role of Body Mass Index</t>
  </si>
  <si>
    <t>Journal of Marketing Research</t>
  </si>
  <si>
    <t>92.134</t>
  </si>
  <si>
    <t>2xcontinous</t>
  </si>
  <si>
    <t>shirt and pants</t>
  </si>
  <si>
    <t>92.134.345</t>
  </si>
  <si>
    <t>product display</t>
  </si>
  <si>
    <t>What’s your overall impression of (the product)? 
Negative … Positive
Undesirable … Desirable
Unfavorable … Favorable
Disliked … Liked</t>
  </si>
  <si>
    <t>92.135</t>
  </si>
  <si>
    <t>2x2 + 1 control</t>
  </si>
  <si>
    <t>jeans</t>
  </si>
  <si>
    <t>92.135.346</t>
  </si>
  <si>
    <t>92.135.347</t>
  </si>
  <si>
    <t>. I feel like buying (this product) now.
2. I would like to buy (this product) as soon as possible.
3. I would like to buy (this product) right away.</t>
  </si>
  <si>
    <t>92.136</t>
  </si>
  <si>
    <t>3xcontinous</t>
  </si>
  <si>
    <t>92.136.348</t>
  </si>
  <si>
    <t>92.137</t>
  </si>
  <si>
    <t>2x2xBMI</t>
  </si>
  <si>
    <t>dress</t>
  </si>
  <si>
    <t>92.137.349</t>
  </si>
  <si>
    <t>product evaliation</t>
  </si>
  <si>
    <t>What’s your overall impression of the dress?
Negative…Positive</t>
  </si>
  <si>
    <t>92.138</t>
  </si>
  <si>
    <t>sweater</t>
  </si>
  <si>
    <t>2,98</t>
  </si>
  <si>
    <t>26</t>
  </si>
  <si>
    <t xml:space="preserve">Heller / Chylinski/de Ruyter / Mahr /  Keeling </t>
  </si>
  <si>
    <t>Let Me Imagine That for You: Transforming the Retail Frontline Through Augmenting Customer Mental Imagery Ability</t>
  </si>
  <si>
    <t>Journal of Retailing</t>
  </si>
  <si>
    <t>26.36</t>
  </si>
  <si>
    <t>26.36.119</t>
  </si>
  <si>
    <t>imagery transformation x embedding</t>
  </si>
  <si>
    <t>WTP/spending</t>
  </si>
  <si>
    <t>price of the chosen product</t>
  </si>
  <si>
    <t>Web Appendix I</t>
  </si>
  <si>
    <t>arm chair</t>
  </si>
  <si>
    <t>26.36.125</t>
  </si>
  <si>
    <t>Wb Appendix I</t>
  </si>
  <si>
    <t>26.38</t>
  </si>
  <si>
    <t>plush toy</t>
  </si>
  <si>
    <t>Amazon</t>
  </si>
  <si>
    <t>26.38.131</t>
  </si>
  <si>
    <t>Type of Application used</t>
  </si>
  <si>
    <t>choice</t>
  </si>
  <si>
    <t>choice between differently priced toys</t>
  </si>
  <si>
    <t>17-18</t>
  </si>
  <si>
    <t>27</t>
  </si>
  <si>
    <t>Hilken / Chylinski / Keeling / Heller / de Ruyter / Mahr</t>
  </si>
  <si>
    <t>How to strategically choose or combine augmented and virtual reality for improved online experiential retailing</t>
  </si>
  <si>
    <t>27.39</t>
  </si>
  <si>
    <t>Cafè location and its products</t>
  </si>
  <si>
    <t>27.40</t>
  </si>
  <si>
    <t>Café location and ist products</t>
  </si>
  <si>
    <t>New European Café Chain</t>
  </si>
  <si>
    <t>27.39.134</t>
  </si>
  <si>
    <t>If you were to go to [X] right now, how likely would it be that you buy something from the menu?</t>
  </si>
  <si>
    <t>single item</t>
  </si>
  <si>
    <t>27.39.135</t>
  </si>
  <si>
    <t>27.40.136</t>
  </si>
  <si>
    <t xml:space="preserve">Please describe your overall feelings towards [X].
bad–good unfavorable–favorable unpleasant–pleasant </t>
  </si>
  <si>
    <t>27.40.137</t>
  </si>
  <si>
    <t>ThreeD</t>
  </si>
  <si>
    <t>academic_field</t>
  </si>
  <si>
    <t>Pub_Status</t>
  </si>
  <si>
    <t>Pub_Ranking</t>
  </si>
  <si>
    <t>journal</t>
  </si>
  <si>
    <t>paper_study#</t>
  </si>
  <si>
    <t>#Exp_Factor</t>
  </si>
  <si>
    <t>fit_uncertainty</t>
  </si>
  <si>
    <t xml:space="preserve">overlay_element </t>
  </si>
  <si>
    <t>mean_age</t>
  </si>
  <si>
    <t>brand_familiarity</t>
  </si>
  <si>
    <t>uncertainty_avoidance</t>
  </si>
  <si>
    <t>IV_label</t>
  </si>
  <si>
    <t>IV_description</t>
  </si>
  <si>
    <t>outcome_variable</t>
  </si>
  <si>
    <t>outcome_variable_items</t>
  </si>
  <si>
    <t>outcome_variable_#items</t>
  </si>
  <si>
    <t>Chi_square</t>
  </si>
  <si>
    <t>M_control</t>
  </si>
  <si>
    <t>SD_control</t>
  </si>
  <si>
    <t>N_control</t>
  </si>
  <si>
    <t>M_treatment</t>
  </si>
  <si>
    <t>SD_treatment</t>
  </si>
  <si>
    <t>SE_treament</t>
  </si>
  <si>
    <t>N_treatment</t>
  </si>
  <si>
    <t>cohens_d</t>
  </si>
  <si>
    <t>SE_control</t>
  </si>
  <si>
    <t>corr_type</t>
  </si>
  <si>
    <t>outcome_variable_reliability08</t>
  </si>
  <si>
    <t>outcome_variable_reliability_type</t>
  </si>
  <si>
    <t>t_value</t>
  </si>
  <si>
    <t>f_value</t>
  </si>
  <si>
    <t>Pub_Type</t>
  </si>
  <si>
    <t>academic_field_text</t>
  </si>
  <si>
    <t>MKT</t>
  </si>
  <si>
    <t>IS</t>
  </si>
  <si>
    <t>dissertation</t>
  </si>
  <si>
    <t>paper</t>
  </si>
  <si>
    <t>Conference Abstract</t>
  </si>
  <si>
    <t>Business/Management</t>
  </si>
  <si>
    <t>outcome_variable_label</t>
  </si>
  <si>
    <t>outcome_variable_scale</t>
  </si>
  <si>
    <t>outcome_variable_reliability</t>
  </si>
  <si>
    <t>shopper_behavior</t>
  </si>
  <si>
    <t>93</t>
  </si>
  <si>
    <t>Martinez-Moles / Jung / Perez-Cabanero / Cervera-Taulet</t>
  </si>
  <si>
    <t>Gathering pre-purchase information for a cruise vacation with virtual reality: the effects of media technology and gender</t>
  </si>
  <si>
    <t>International Journal of Contemporary Hospitality Management</t>
  </si>
  <si>
    <t>cruise ship vacation</t>
  </si>
  <si>
    <t>MSC</t>
  </si>
  <si>
    <t>visualization mode</t>
  </si>
  <si>
    <t>good/bad, appealing/not appealing, pleasant/unpleasant, attractive/unattractive, intersting/boring</t>
  </si>
  <si>
    <t>94</t>
  </si>
  <si>
    <t>Taub/Elmalech/Aharony</t>
  </si>
  <si>
    <t>2025</t>
  </si>
  <si>
    <t>Augmented Impressions: The role of augmented reality in shaping 
perceived product value and enhancing purchase intention</t>
  </si>
  <si>
    <t>coffee-maker</t>
  </si>
  <si>
    <t>robot vacuum cleaner</t>
  </si>
  <si>
    <t>Breville</t>
  </si>
  <si>
    <t>Viomi</t>
  </si>
  <si>
    <t>product value</t>
  </si>
  <si>
    <t>perceived product value; 400-1000</t>
  </si>
  <si>
    <t>perceived product value; 200-800</t>
  </si>
  <si>
    <t>not likely at all/very likely</t>
  </si>
  <si>
    <t>95</t>
  </si>
  <si>
    <t>Zhou/Liang/Mou</t>
  </si>
  <si>
    <t>Capturing “Coolness”: Exploring the Impact of
AR Advertising on Consumers’ New Product
Purchases</t>
  </si>
  <si>
    <t>International Journal of Human-Computer Interaction</t>
  </si>
  <si>
    <t>beverage</t>
  </si>
  <si>
    <t>AR vs. videos</t>
  </si>
  <si>
    <t>new product purchase</t>
  </si>
  <si>
    <t>“In the current situation where 
there is a purchase need, I consider the product advertised to 
be my top priority for purchase,” “If I need to purchase such a 
product, I would prefer to buy the one advertised,” and “I prefer to try the new product introduced in the advertisement 
rather than other similar products.”</t>
  </si>
  <si>
    <t>95.141</t>
  </si>
  <si>
    <t>pasta/soup</t>
  </si>
  <si>
    <t>Panera Bread</t>
  </si>
  <si>
    <t>AR vs. video</t>
  </si>
  <si>
    <t>96</t>
  </si>
  <si>
    <t>Nah/Eschenbrenner/DeWester</t>
  </si>
  <si>
    <t>2011</t>
  </si>
  <si>
    <t>ENHANCING BRAND EQUITY THROUGH FLOW AND
TELEPRESENCE: A COMPARISON OF 2D AND
3D VIRTUAL WORLDS</t>
  </si>
  <si>
    <t>MIS Quarterly</t>
  </si>
  <si>
    <t>hospital</t>
  </si>
  <si>
    <t>brand equity</t>
  </si>
  <si>
    <t>Even if another hospital offers the same quality of services as &lt;hospital brand name&gt;, I would prefer to use
the services of &lt;hospital brand name&gt;.
BE2 If there is another hospital as good as &lt;hospital brand name&gt;, I prefer to go to &lt;hospital brand name&gt;.
BE3 It makes sense to use the services of &lt;hospital brand name&gt; instead of services of any other hospitals even
if they are the same.</t>
  </si>
  <si>
    <t>…I would consider &lt;hospital brand name&gt; the next time I need a hospital service.
INT2 …I would recommend &lt;hospital brand name&gt; if a friend calls me to get my advice in his/her search for a
hospital.
INT3 …it is likely that I will visit &lt;hospital brand name&gt;</t>
  </si>
  <si>
    <t>Omega</t>
  </si>
  <si>
    <t>A8</t>
  </si>
  <si>
    <t>97</t>
  </si>
  <si>
    <t>Zhang/Shao/Quach/Thaichon/Li</t>
  </si>
  <si>
    <t>2024</t>
  </si>
  <si>
    <t xml:space="preserve">Examining the moderating effects of shopping orientation, product 
knowledge and involvement on the effectiveness of Virtual Reality (VR) 
retail environment </t>
  </si>
  <si>
    <t>camping chair</t>
  </si>
  <si>
    <t>Australia/China</t>
  </si>
  <si>
    <t>1. I am going to buy this product. 2. I consider purchasing this product. 3. I may purchase this product.</t>
  </si>
  <si>
    <t>98</t>
  </si>
  <si>
    <t>Lavoye/Petit/Tarkiainen/Sipilä</t>
  </si>
  <si>
    <t>Self-proximity in augmented reality enhances consumer’s responses to 
green products through anticipated warm glow</t>
  </si>
  <si>
    <t>lease rate your feelings towards the sustainable sneakers introduced to you earlier. 
• Dislike/ Like
• Negative/ positive
• Bad/ good
• Bad quality/ Good quality</t>
  </si>
  <si>
    <t>98.145</t>
  </si>
  <si>
    <t>sunglasses</t>
  </si>
  <si>
    <t>sneaker</t>
  </si>
  <si>
    <t>• I would like to buy the sunglasses.
• I would be likely to purchase the sunglasses.
• I would be willing to buy the sunglasses.
• I would likely make the sunglasses one of my first choices in this product category.
• I would exert a great deal of effort to purchase the sunglasses</t>
  </si>
  <si>
    <t>99</t>
  </si>
  <si>
    <t>Zheng/Li</t>
  </si>
  <si>
    <t>The dark side of AR usage on
customers’ online purchase</t>
  </si>
  <si>
    <t>Nankai Business Review International</t>
  </si>
  <si>
    <t>unbranded</t>
  </si>
  <si>
    <t>After looking through all
information, would you like to buy the shoes?”</t>
  </si>
  <si>
    <t>99.147</t>
  </si>
  <si>
    <t>99.148</t>
  </si>
  <si>
    <t>99.149</t>
  </si>
  <si>
    <t>100</t>
  </si>
  <si>
    <t>Naveen/Khan/Saleh/Subudhi</t>
  </si>
  <si>
    <t>The influence of mobile augmented reality on consumer behavior: Insights 
into affective, cognitive, and behavioral responses</t>
  </si>
  <si>
    <t>Tira</t>
  </si>
  <si>
    <t>Rate your intention to purchase</t>
  </si>
  <si>
    <t>101</t>
  </si>
  <si>
    <t>Xu/Zhao/Chen/Cui/he</t>
  </si>
  <si>
    <t>When historically cultural and
creative products meet AR: the
effect of augmented reality–based
product display on consumers’
product evaluation</t>
  </si>
  <si>
    <t>ancient tea cup</t>
  </si>
  <si>
    <t>indicate the extent to which the teacup could
improve the guests’ experience of the hotel’s overall atmosphere</t>
  </si>
  <si>
    <t>102</t>
  </si>
  <si>
    <t>Zhang/Li/Sun/Sun</t>
  </si>
  <si>
    <t>I feel it, I buy it: Deploy AR-based product presentation to generate
satisfying tactile experiences in online retail</t>
  </si>
  <si>
    <t>4x2</t>
  </si>
  <si>
    <t>smartphone case</t>
  </si>
  <si>
    <t>It is very likely that I would
purchase this product.
The probability that I would
purchase this product is
very high.
If I were going to buy
a smartphone case, I would
probably buy this one.</t>
  </si>
  <si>
    <t>Excel</t>
  </si>
  <si>
    <t>102.153</t>
  </si>
  <si>
    <t>artwork (decoration)</t>
  </si>
  <si>
    <t>102.154</t>
  </si>
  <si>
    <t>mug</t>
  </si>
  <si>
    <t>image</t>
  </si>
  <si>
    <t>video</t>
  </si>
  <si>
    <t>vidtext</t>
  </si>
  <si>
    <t>imtext</t>
  </si>
  <si>
    <t>VRHMD</t>
  </si>
  <si>
    <t>attitudes</t>
  </si>
  <si>
    <t>intention</t>
  </si>
  <si>
    <t>behavior</t>
  </si>
  <si>
    <t>MatchOverlay</t>
  </si>
  <si>
    <t>MatchText</t>
  </si>
  <si>
    <t>Design</t>
  </si>
  <si>
    <t>103</t>
  </si>
  <si>
    <t>de Vries / Jager / Tijssen / Zandstra</t>
  </si>
  <si>
    <t>Shopping for Products in a Virtual World: Why Haptics and Visuals are Equally Important in Shaping Consumer Perceptions and Attitudes</t>
  </si>
  <si>
    <t>Food Quality and Preference</t>
  </si>
  <si>
    <t>dairy drink/sausage</t>
  </si>
  <si>
    <t>Optimel/Unox</t>
  </si>
  <si>
    <t>WTA/WTP ratio</t>
  </si>
  <si>
    <t>104</t>
  </si>
  <si>
    <t>Dobrowolski / Pochwatko /Skorko / Bielecki</t>
  </si>
  <si>
    <t>The Effects of Virtual Experience on Attitudes Toward Real Brands</t>
  </si>
  <si>
    <t>Cyberpsychology, behavior , and scoial networking</t>
  </si>
  <si>
    <t>Honda</t>
  </si>
  <si>
    <t>Ford</t>
  </si>
  <si>
    <t>pre-post global attitudes</t>
  </si>
  <si>
    <t>measured before and after VR experience; global attributes: quality, image, safety, economy</t>
  </si>
  <si>
    <t>distribute 100 points across 12 different attributes</t>
  </si>
  <si>
    <t>pre-post experienced attitudes</t>
  </si>
  <si>
    <t>measured before and after VR experience; experience attributes: interior, exterior, drivability, enjoyability</t>
  </si>
  <si>
    <t>pre-post overall brand attitudes</t>
  </si>
  <si>
    <t>measured before and after VR experience; overall brand attitude: bad–good, boring–interesting,
uNAttractive–attractive, unpleasant–pleasant, untrustworthy– trustworthy, repelling–alluring, unconvincing–convincing, and dislike–like</t>
  </si>
  <si>
    <t>measured before and after VR experience; global attribtues: quality, image, safety, economy</t>
  </si>
  <si>
    <t>measured before and after VR experience; overall brand attitudes: bad–good, boring–interesting,
uNAttractive–attractive, unpleasant–pleasant, untrustworthy– trustworthy, repelling–alluring, unconvincing–convincing, and dislike–like</t>
  </si>
  <si>
    <t>105</t>
  </si>
  <si>
    <t>Rauschnabel / Felix / Hinsch</t>
  </si>
  <si>
    <t>Augmented reality marketing: How mobile AR-apps can improve brands through inspiration</t>
  </si>
  <si>
    <t>changes in brand attitude</t>
  </si>
  <si>
    <t>I like [BRAND] (Post – Pre Measures) Overall, I find the brand [BRAND] very good (Post – Pre Measures)</t>
  </si>
  <si>
    <t>106</t>
  </si>
  <si>
    <t>Suh / Lee</t>
  </si>
  <si>
    <t>The Effects of Virtual Reality on Consumer Learning: An Empirical Investigation</t>
  </si>
  <si>
    <t>desktop computer</t>
  </si>
  <si>
    <t>interface</t>
  </si>
  <si>
    <t>107</t>
  </si>
  <si>
    <t>Palacios-Ibanez / Navarro-Martinez / Blasco-Esteban / Contero / Camba</t>
  </si>
  <si>
    <t>On the application of extended reality technologies for the evaluation of product characteristics during the initial stages of the product development process</t>
  </si>
  <si>
    <t>Computers in Industry</t>
  </si>
  <si>
    <t>107.160</t>
  </si>
  <si>
    <t>kitchen chair</t>
  </si>
  <si>
    <t>designer chair</t>
  </si>
  <si>
    <t>presentation media</t>
  </si>
  <si>
    <t>produkt liking</t>
  </si>
  <si>
    <t>like-dislike</t>
  </si>
  <si>
    <t>pruchase decision</t>
  </si>
  <si>
    <t>yes - no</t>
  </si>
  <si>
    <t>108</t>
  </si>
  <si>
    <t>Oh / Yoon / Shyu</t>
  </si>
  <si>
    <t>How Can Virtual Reality Reshape Furniture Retailing?</t>
  </si>
  <si>
    <t>Clothing &amp; Textiles Research Journal</t>
  </si>
  <si>
    <t>sofa/arm chair/coffee table</t>
  </si>
  <si>
    <t>Shopping environment</t>
  </si>
  <si>
    <t>bad/ good, unappealing/appealing, unpleasant/pleasant, unattractive/attractive, bpring/interesting, dislike/like</t>
  </si>
  <si>
    <t>“If the living room set that you chose were available in your area, would you say you would…,</t>
  </si>
  <si>
    <t>109</t>
  </si>
  <si>
    <t>Park / Choi / Kim / Kwon</t>
  </si>
  <si>
    <t>The Influence of Media Type and Length of Time Delay on User Attitude: Effects of Product-Focused Virtual Reality</t>
  </si>
  <si>
    <t>household appliances (fan, clock, humidifier)</t>
  </si>
  <si>
    <t>media type</t>
  </si>
  <si>
    <t>immediate attitude towards product</t>
  </si>
  <si>
    <t>I like/dislike this product, I consider this product (positive -negative), I consider this product (good-bad), I consider this product (favorable-unfavorable)</t>
  </si>
  <si>
    <t>93.139</t>
  </si>
  <si>
    <t>94.140</t>
  </si>
  <si>
    <t>95.142</t>
  </si>
  <si>
    <t>96.143</t>
  </si>
  <si>
    <t>97.144</t>
  </si>
  <si>
    <t>99.150</t>
  </si>
  <si>
    <t>100.151</t>
  </si>
  <si>
    <t>101.152</t>
  </si>
  <si>
    <t>102.155</t>
  </si>
  <si>
    <t>103.156</t>
  </si>
  <si>
    <t>104.157</t>
  </si>
  <si>
    <t>105.158</t>
  </si>
  <si>
    <t>106.159</t>
  </si>
  <si>
    <t>107.161</t>
  </si>
  <si>
    <t>108.162</t>
  </si>
  <si>
    <t>109.163</t>
  </si>
  <si>
    <t>92.138.350</t>
  </si>
  <si>
    <t>93.139.350</t>
  </si>
  <si>
    <t>93.139.351</t>
  </si>
  <si>
    <t>94.140.352</t>
  </si>
  <si>
    <t>94.140.353</t>
  </si>
  <si>
    <t>94.140.354</t>
  </si>
  <si>
    <t>94.140.355</t>
  </si>
  <si>
    <t>94.140.356</t>
  </si>
  <si>
    <t>94.140.357</t>
  </si>
  <si>
    <t>95.141.358</t>
  </si>
  <si>
    <t>95.142.359</t>
  </si>
  <si>
    <t>96.143.360</t>
  </si>
  <si>
    <t>96.143.361</t>
  </si>
  <si>
    <t>97.144.362</t>
  </si>
  <si>
    <t>98.145.363</t>
  </si>
  <si>
    <t>98.146.364</t>
  </si>
  <si>
    <t>99.147.365</t>
  </si>
  <si>
    <t>99.148.366</t>
  </si>
  <si>
    <t>99.149.367</t>
  </si>
  <si>
    <t>99.150.368</t>
  </si>
  <si>
    <t>100.151.369</t>
  </si>
  <si>
    <t>101.152.370</t>
  </si>
  <si>
    <t>101.152.371</t>
  </si>
  <si>
    <t>102.153.372</t>
  </si>
  <si>
    <t>102.154.373</t>
  </si>
  <si>
    <t>102.155.374</t>
  </si>
  <si>
    <t>103.156.375</t>
  </si>
  <si>
    <t>103.156.376</t>
  </si>
  <si>
    <t>104.157.377</t>
  </si>
  <si>
    <t>104.157.378</t>
  </si>
  <si>
    <t>104.157.379</t>
  </si>
  <si>
    <t>104.157.380</t>
  </si>
  <si>
    <t>104.157.381</t>
  </si>
  <si>
    <t>104.157.382</t>
  </si>
  <si>
    <t>105.158.383</t>
  </si>
  <si>
    <t>106.159.384</t>
  </si>
  <si>
    <t>106.159.385</t>
  </si>
  <si>
    <t>106.159.386</t>
  </si>
  <si>
    <t>106.159.387</t>
  </si>
  <si>
    <t>107.160.388</t>
  </si>
  <si>
    <t>107.160.389</t>
  </si>
  <si>
    <t>107.160.390</t>
  </si>
  <si>
    <t>107.160.391</t>
  </si>
  <si>
    <t>107.161.392</t>
  </si>
  <si>
    <t>107.161.393</t>
  </si>
  <si>
    <t>107.161.394</t>
  </si>
  <si>
    <t>107.161.395</t>
  </si>
  <si>
    <t>108.162.396</t>
  </si>
  <si>
    <t>108.162.397</t>
  </si>
  <si>
    <t>109.163.398</t>
  </si>
  <si>
    <t>109.163.399</t>
  </si>
  <si>
    <t>98.146</t>
  </si>
  <si>
    <t>110</t>
  </si>
  <si>
    <t>Finken / Scheurer / Hofstetter / Krishna / von Wangenheim</t>
  </si>
  <si>
    <t>THE PROXIMITY EFFECT IN AUGMENTED REALITY (PEAR)</t>
  </si>
  <si>
    <t>Working Paper</t>
  </si>
  <si>
    <t>working paper</t>
  </si>
  <si>
    <t>110.164</t>
  </si>
  <si>
    <t>2b</t>
  </si>
  <si>
    <t>unbanded</t>
  </si>
  <si>
    <t>110.164.400</t>
  </si>
  <si>
    <t>1: How likely would you be to purchase the "product" shown to you? 1 = Not at all likely / 7 = Very likely
2: The next time I purchase a "product", I could imagine buying the depicted "product". 1 = Strongly disagree / 7 = Strongly agree
3: How likely would you be to actively seek out this "product" in a store to purchase it?</t>
  </si>
  <si>
    <t>111</t>
  </si>
  <si>
    <t>Wyszynski / Weber / Niehaves</t>
  </si>
  <si>
    <t>Individuals with low self-esteem benefit most from interactivity in virtual try-on system</t>
  </si>
  <si>
    <t>Computers in Human Behavior Reports</t>
  </si>
  <si>
    <t>111.165</t>
  </si>
  <si>
    <t>eyeglasses</t>
  </si>
  <si>
    <t>Gucci / Nike / Calvin Klein</t>
  </si>
  <si>
    <t>110.164.401</t>
  </si>
  <si>
    <t>level of interactivity</t>
  </si>
  <si>
    <t>The product presentation made me want to know
more about the glasses by trying the real one.
Menon and So_x0002_man (2002)
I was interested in trying the real glasses.
I was enticed to explore the actual glasses.
I was curious about twiddle with the real glasses.</t>
  </si>
  <si>
    <t>112</t>
  </si>
  <si>
    <t>Zhang / Shao / Quach / Thaichon / Li</t>
  </si>
  <si>
    <t>VR retailing: When and why immersion pays off</t>
  </si>
  <si>
    <t>112.166</t>
  </si>
  <si>
    <t>sneakers</t>
  </si>
  <si>
    <t>111.165.402</t>
  </si>
  <si>
    <t>112.166.403</t>
  </si>
  <si>
    <t>I am going to buy the presented products. PI_2 I consider purchasing the presented products. PI_3 I may purchase the presented products.</t>
  </si>
  <si>
    <t>112.166.404</t>
  </si>
  <si>
    <t>power_distance</t>
  </si>
  <si>
    <t>individualism</t>
  </si>
  <si>
    <t>masculinity</t>
  </si>
  <si>
    <t>long_term_orientation</t>
  </si>
  <si>
    <t>indulgence</t>
  </si>
  <si>
    <t>XRfam</t>
  </si>
  <si>
    <t>NonXR_comparison</t>
  </si>
  <si>
    <t>NonXR_compOverlay</t>
  </si>
  <si>
    <t>VRPC</t>
  </si>
  <si>
    <t>ESRAW_correct</t>
  </si>
  <si>
    <t>ES_VAR_correct</t>
  </si>
  <si>
    <t>hedonic_utilitarian_product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</si>
</sst>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 x14ac:knownFonts="1">
    <font>
      <sz val="11"/>
      <color theme="1"/>
      <name val="Calibri"/>
      <family val="2"/>
      <scheme val="minor"/>
    </font>
    <font>
      <b/>
      <sz val="11"/>
      <name val="Calibri"/>
      <family val="2"/>
      <scheme val="minor"/>
    </font>
    <font>
      <sz val="11"/>
      <name val="Calibri"/>
      <family val="2"/>
      <scheme val="minor"/>
    </font>
    <font>
      <sz val="8"/>
      <name val="Calibri"/>
      <family val="2"/>
      <scheme val="minor"/>
    </font>
    <font>
      <sz val="11"/>
      <color rgb="FFFF0000"/>
      <name val="Calibri"/>
      <family val="2"/>
      <scheme val="minor"/>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10">
    <xf numFmtId="0" fontId="0" fillId="0" borderId="0" xfId="0"/>
    <xf numFmtId="49"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right"/>
    </xf>
    <xf numFmtId="0" fontId="1" fillId="0" borderId="0" xfId="0" applyFont="1" applyFill="1" applyAlignment="1">
      <alignment horizontal="center" vertical="center"/>
    </xf>
    <xf numFmtId="49" fontId="1" fillId="0" borderId="0" xfId="0" applyNumberFormat="1" applyFont="1" applyFill="1" applyAlignment="1">
      <alignment horizontal="center" vertical="center"/>
    </xf>
    <xf numFmtId="2" fontId="1" fillId="0" borderId="0" xfId="0" applyNumberFormat="1" applyFont="1" applyFill="1" applyAlignment="1">
      <alignment horizontal="center" vertical="center"/>
    </xf>
    <xf numFmtId="0" fontId="2" fillId="0" borderId="0" xfId="0" applyFont="1" applyFill="1" applyAlignment="1">
      <alignment horizontal="center" vertical="center"/>
    </xf>
    <xf numFmtId="0" fontId="0" fillId="0" borderId="0" xfId="0" applyFill="1" applyBorder="1" applyAlignment="1">
      <alignment horizontal="center"/>
    </xf>
    <xf numFmtId="0" fontId="0" fillId="0" borderId="0" xfId="0" applyFill="1" applyAlignment="1">
      <alignment horizontal="center"/>
    </xf>
    <xf numFmtId="0" fontId="0" fillId="0" borderId="0" xfId="0" applyFill="1" applyAlignment="1">
      <alignment horizontal="left"/>
    </xf>
    <xf numFmtId="0" fontId="0" fillId="0" borderId="0" xfId="0" applyFill="1"/>
    <xf numFmtId="0" fontId="0" fillId="0" borderId="0" xfId="0" applyFill="1" applyAlignment="1">
      <alignment horizontal="right"/>
    </xf>
    <xf numFmtId="2" fontId="0" fillId="0" borderId="0" xfId="0" applyNumberFormat="1" applyFill="1" applyAlignment="1">
      <alignment horizontal="center"/>
    </xf>
    <xf numFmtId="0" fontId="2" fillId="0" borderId="0" xfId="0" applyFont="1" applyFill="1" applyAlignment="1">
      <alignment horizontal="center"/>
    </xf>
    <xf numFmtId="0" fontId="0" fillId="0" borderId="2" xfId="0" applyFill="1" applyBorder="1" applyAlignment="1">
      <alignment horizontal="center"/>
    </xf>
    <xf numFmtId="49" fontId="0" fillId="0" borderId="0" xfId="0" applyNumberFormat="1" applyFill="1" applyAlignment="1">
      <alignment horizontal="center"/>
    </xf>
    <xf numFmtId="0" fontId="0" fillId="0" borderId="3" xfId="0" applyFill="1" applyBorder="1" applyAlignment="1">
      <alignment horizontal="center"/>
    </xf>
    <xf numFmtId="0" fontId="0" fillId="0" borderId="0" xfId="0" applyFill="1" applyAlignment="1">
      <alignment horizontal="center" vertical="center"/>
    </xf>
    <xf numFmtId="2" fontId="2" fillId="0" borderId="0" xfId="0" applyNumberFormat="1" applyFont="1" applyFill="1" applyAlignment="1">
      <alignment horizontal="center" vertical="center"/>
    </xf>
    <xf numFmtId="0" fontId="0" fillId="0" borderId="4" xfId="0" applyFill="1" applyBorder="1" applyAlignment="1">
      <alignment horizontal="center"/>
    </xf>
    <xf numFmtId="165" fontId="0" fillId="0" borderId="3" xfId="0" applyNumberFormat="1" applyFill="1" applyBorder="1" applyAlignment="1">
      <alignment horizontal="center"/>
    </xf>
    <xf numFmtId="0" fontId="2" fillId="0" borderId="0" xfId="0" applyFont="1" applyFill="1" applyAlignment="1">
      <alignment horizontal="left"/>
    </xf>
    <xf numFmtId="0" fontId="2" fillId="0" borderId="3" xfId="0" applyFont="1" applyFill="1" applyBorder="1" applyAlignment="1">
      <alignment horizontal="center"/>
    </xf>
    <xf numFmtId="0" fontId="2" fillId="0" borderId="0" xfId="0" applyFont="1" applyFill="1" applyBorder="1" applyAlignment="1">
      <alignment horizontal="center"/>
    </xf>
    <xf numFmtId="0" fontId="2" fillId="0" borderId="2" xfId="0" applyFont="1" applyFill="1" applyBorder="1" applyAlignment="1">
      <alignment horizontal="center"/>
    </xf>
    <xf numFmtId="49" fontId="2" fillId="0" borderId="0" xfId="0" applyNumberFormat="1" applyFont="1" applyFill="1" applyBorder="1" applyAlignment="1">
      <alignment horizontal="center"/>
    </xf>
    <xf numFmtId="0" fontId="2" fillId="0" borderId="0" xfId="0" applyFont="1" applyFill="1" applyBorder="1"/>
    <xf numFmtId="0" fontId="2" fillId="0" borderId="0" xfId="0" quotePrefix="1" applyFont="1" applyFill="1" applyBorder="1" applyAlignment="1">
      <alignment horizontal="center" vertical="center"/>
    </xf>
    <xf numFmtId="0" fontId="2" fillId="0" borderId="0" xfId="0" quotePrefix="1" applyFont="1" applyFill="1" applyBorder="1" applyAlignment="1">
      <alignment horizontal="center"/>
    </xf>
    <xf numFmtId="2" fontId="2" fillId="0" borderId="0" xfId="0" applyNumberFormat="1" applyFont="1" applyFill="1" applyBorder="1" applyAlignment="1">
      <alignment horizontal="center"/>
    </xf>
    <xf numFmtId="0" fontId="2" fillId="0" borderId="0" xfId="0" quotePrefix="1" applyFont="1" applyFill="1" applyAlignment="1">
      <alignment horizontal="center" vertical="center"/>
    </xf>
    <xf numFmtId="0" fontId="2" fillId="0" borderId="0" xfId="0" applyFont="1" applyFill="1"/>
    <xf numFmtId="0" fontId="2" fillId="0" borderId="0" xfId="0" applyFont="1" applyFill="1" applyAlignment="1">
      <alignment horizontal="right"/>
    </xf>
    <xf numFmtId="2" fontId="2" fillId="0" borderId="0" xfId="0" applyNumberFormat="1" applyFont="1" applyFill="1" applyAlignment="1">
      <alignment horizontal="center"/>
    </xf>
    <xf numFmtId="49" fontId="2" fillId="0" borderId="2" xfId="0" applyNumberFormat="1" applyFont="1" applyFill="1" applyBorder="1" applyAlignment="1">
      <alignment horizontal="center"/>
    </xf>
    <xf numFmtId="0" fontId="2" fillId="0" borderId="2" xfId="0" applyFont="1" applyFill="1" applyBorder="1"/>
    <xf numFmtId="0" fontId="2" fillId="0" borderId="2" xfId="0" quotePrefix="1" applyFont="1" applyFill="1" applyBorder="1" applyAlignment="1">
      <alignment horizontal="center" vertical="center"/>
    </xf>
    <xf numFmtId="0" fontId="2" fillId="0" borderId="2" xfId="0" quotePrefix="1" applyFont="1" applyFill="1" applyBorder="1" applyAlignment="1">
      <alignment horizontal="center"/>
    </xf>
    <xf numFmtId="2" fontId="2" fillId="0" borderId="2" xfId="0" applyNumberFormat="1" applyFont="1" applyFill="1" applyBorder="1" applyAlignment="1">
      <alignment horizontal="center"/>
    </xf>
    <xf numFmtId="49" fontId="2" fillId="0" borderId="0" xfId="0" applyNumberFormat="1" applyFont="1" applyFill="1" applyAlignment="1">
      <alignment horizontal="center"/>
    </xf>
    <xf numFmtId="49" fontId="2" fillId="0" borderId="0" xfId="0" applyNumberFormat="1" applyFont="1" applyFill="1"/>
    <xf numFmtId="0" fontId="2" fillId="0" borderId="3" xfId="0" quotePrefix="1" applyFont="1" applyFill="1" applyBorder="1" applyAlignment="1">
      <alignment horizontal="center" vertical="center"/>
    </xf>
    <xf numFmtId="0" fontId="2" fillId="0" borderId="3" xfId="0" quotePrefix="1" applyFont="1" applyFill="1" applyBorder="1" applyAlignment="1">
      <alignment horizontal="center"/>
    </xf>
    <xf numFmtId="2" fontId="2" fillId="0" borderId="3" xfId="0" applyNumberFormat="1" applyFont="1" applyFill="1" applyBorder="1" applyAlignment="1">
      <alignment horizontal="center"/>
    </xf>
    <xf numFmtId="49" fontId="2" fillId="0" borderId="0" xfId="0" applyNumberFormat="1" applyFont="1" applyFill="1" applyBorder="1"/>
    <xf numFmtId="49" fontId="2" fillId="0" borderId="2" xfId="0" applyNumberFormat="1" applyFont="1" applyFill="1" applyBorder="1"/>
    <xf numFmtId="49" fontId="2" fillId="0" borderId="3" xfId="0" applyNumberFormat="1" applyFont="1" applyFill="1" applyBorder="1" applyAlignment="1">
      <alignment horizontal="center"/>
    </xf>
    <xf numFmtId="49" fontId="2" fillId="0" borderId="3" xfId="0" applyNumberFormat="1" applyFont="1" applyFill="1" applyBorder="1"/>
    <xf numFmtId="0" fontId="2" fillId="0" borderId="3" xfId="0" applyFont="1" applyFill="1" applyBorder="1"/>
    <xf numFmtId="0" fontId="2" fillId="0" borderId="0" xfId="0" applyFont="1" applyFill="1" applyAlignment="1">
      <alignment wrapText="1"/>
    </xf>
    <xf numFmtId="0" fontId="2" fillId="0" borderId="0" xfId="0" applyFont="1" applyFill="1" applyBorder="1" applyAlignment="1">
      <alignment horizontal="left"/>
    </xf>
    <xf numFmtId="0" fontId="2" fillId="0" borderId="0" xfId="0" applyFont="1" applyFill="1" applyBorder="1" applyAlignment="1">
      <alignment horizontal="right"/>
    </xf>
    <xf numFmtId="2" fontId="2" fillId="0" borderId="0" xfId="0" applyNumberFormat="1" applyFont="1" applyFill="1" applyBorder="1" applyAlignment="1">
      <alignment horizontal="center" vertical="center"/>
    </xf>
    <xf numFmtId="0" fontId="2" fillId="0" borderId="0" xfId="0" applyFont="1" applyFill="1" applyBorder="1" applyAlignment="1">
      <alignment horizontal="center" vertical="center"/>
    </xf>
    <xf numFmtId="17" fontId="2" fillId="0" borderId="0" xfId="0" quotePrefix="1" applyNumberFormat="1" applyFont="1" applyFill="1" applyAlignment="1">
      <alignment horizontal="center" vertical="center"/>
    </xf>
    <xf numFmtId="17" fontId="2" fillId="0" borderId="0" xfId="0" quotePrefix="1" applyNumberFormat="1" applyFont="1" applyFill="1" applyAlignment="1">
      <alignment horizontal="center"/>
    </xf>
    <xf numFmtId="17" fontId="2" fillId="0" borderId="0" xfId="0" quotePrefix="1" applyNumberFormat="1" applyFont="1" applyFill="1" applyBorder="1" applyAlignment="1">
      <alignment horizontal="center" vertical="center"/>
    </xf>
    <xf numFmtId="20" fontId="2" fillId="0" borderId="0" xfId="0" quotePrefix="1" applyNumberFormat="1" applyFont="1" applyFill="1" applyBorder="1" applyAlignment="1">
      <alignment horizontal="center" vertical="center"/>
    </xf>
    <xf numFmtId="49" fontId="2" fillId="0" borderId="4" xfId="0" applyNumberFormat="1" applyFont="1" applyFill="1" applyBorder="1" applyAlignment="1">
      <alignment horizontal="center"/>
    </xf>
    <xf numFmtId="0" fontId="2" fillId="0" borderId="4" xfId="0" applyFont="1" applyFill="1" applyBorder="1" applyAlignment="1">
      <alignment horizontal="center"/>
    </xf>
    <xf numFmtId="0" fontId="2" fillId="0" borderId="4" xfId="0" quotePrefix="1" applyFont="1" applyFill="1" applyBorder="1" applyAlignment="1">
      <alignment horizontal="center" vertical="center"/>
    </xf>
    <xf numFmtId="2" fontId="2" fillId="0" borderId="4" xfId="0" applyNumberFormat="1" applyFont="1" applyFill="1" applyBorder="1" applyAlignment="1">
      <alignment horizontal="center"/>
    </xf>
    <xf numFmtId="0" fontId="2" fillId="0" borderId="2" xfId="0" applyFont="1" applyFill="1" applyBorder="1" applyAlignment="1">
      <alignment horizontal="left"/>
    </xf>
    <xf numFmtId="0" fontId="2" fillId="0" borderId="2" xfId="0" applyFont="1" applyFill="1" applyBorder="1" applyAlignment="1">
      <alignment horizontal="right"/>
    </xf>
    <xf numFmtId="0" fontId="2" fillId="0" borderId="2" xfId="0" applyFont="1" applyFill="1" applyBorder="1" applyAlignment="1">
      <alignment horizontal="center" vertical="center"/>
    </xf>
    <xf numFmtId="165" fontId="2" fillId="0" borderId="0" xfId="0" applyNumberFormat="1" applyFont="1" applyFill="1" applyBorder="1" applyAlignment="1">
      <alignment horizontal="center"/>
    </xf>
    <xf numFmtId="165" fontId="2" fillId="0" borderId="0" xfId="0" applyNumberFormat="1" applyFont="1" applyFill="1" applyBorder="1" applyAlignment="1">
      <alignment horizontal="center" vertical="center"/>
    </xf>
    <xf numFmtId="165" fontId="2" fillId="0" borderId="2" xfId="0" applyNumberFormat="1" applyFont="1" applyFill="1" applyBorder="1" applyAlignment="1">
      <alignment horizontal="center"/>
    </xf>
    <xf numFmtId="2" fontId="2" fillId="0" borderId="0" xfId="0" applyNumberFormat="1" applyFont="1" applyFill="1"/>
    <xf numFmtId="165" fontId="2" fillId="0" borderId="3" xfId="0" applyNumberFormat="1" applyFont="1" applyFill="1" applyBorder="1" applyAlignment="1">
      <alignment horizontal="center"/>
    </xf>
    <xf numFmtId="3" fontId="2" fillId="0" borderId="0" xfId="0" quotePrefix="1" applyNumberFormat="1" applyFont="1" applyFill="1" applyBorder="1" applyAlignment="1">
      <alignment horizontal="center" vertical="center"/>
    </xf>
    <xf numFmtId="10" fontId="2" fillId="0" borderId="0" xfId="0" applyNumberFormat="1" applyFont="1" applyFill="1" applyAlignment="1">
      <alignment horizontal="center"/>
    </xf>
    <xf numFmtId="4" fontId="2" fillId="0" borderId="0" xfId="0" applyNumberFormat="1" applyFont="1" applyFill="1" applyAlignment="1">
      <alignment horizontal="center"/>
    </xf>
    <xf numFmtId="0" fontId="2" fillId="0" borderId="3" xfId="0" applyFont="1" applyFill="1" applyBorder="1" applyAlignment="1">
      <alignment horizontal="center" vertical="center"/>
    </xf>
    <xf numFmtId="0" fontId="2" fillId="0" borderId="0" xfId="0" quotePrefix="1" applyFont="1" applyFill="1" applyAlignment="1">
      <alignment horizontal="center"/>
    </xf>
    <xf numFmtId="0" fontId="0" fillId="0" borderId="1" xfId="0" applyFill="1" applyBorder="1" applyAlignment="1">
      <alignment horizontal="center"/>
    </xf>
    <xf numFmtId="0" fontId="1" fillId="0" borderId="1" xfId="0" applyFont="1" applyFill="1" applyBorder="1" applyAlignment="1">
      <alignment horizontal="center" vertical="center"/>
    </xf>
    <xf numFmtId="0" fontId="0" fillId="0" borderId="1" xfId="0" applyBorder="1" applyAlignment="1">
      <alignment horizontal="center"/>
    </xf>
    <xf numFmtId="0" fontId="2" fillId="0" borderId="1"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0" borderId="7" xfId="0" applyFont="1" applyFill="1" applyBorder="1" applyAlignment="1">
      <alignment horizontal="center"/>
    </xf>
    <xf numFmtId="0" fontId="1" fillId="0" borderId="0" xfId="0" applyFont="1" applyFill="1" applyBorder="1" applyAlignment="1">
      <alignment horizontal="center" vertical="center"/>
    </xf>
    <xf numFmtId="49" fontId="0" fillId="0" borderId="0" xfId="0" applyNumberFormat="1"/>
    <xf numFmtId="49" fontId="0" fillId="0" borderId="2" xfId="0" applyNumberFormat="1" applyBorder="1" applyAlignment="1">
      <alignment horizontal="center"/>
    </xf>
    <xf numFmtId="0" fontId="0" fillId="0" borderId="2" xfId="0" applyBorder="1"/>
    <xf numFmtId="0" fontId="0" fillId="0" borderId="0" xfId="0" quotePrefix="1" applyFill="1" applyAlignment="1">
      <alignment horizontal="center" vertical="center"/>
    </xf>
    <xf numFmtId="0" fontId="0" fillId="0" borderId="0" xfId="0" quotePrefix="1" applyFill="1" applyAlignment="1">
      <alignment horizontal="center"/>
    </xf>
    <xf numFmtId="0" fontId="0" fillId="0" borderId="2" xfId="0" applyBorder="1" applyAlignment="1">
      <alignment horizontal="center"/>
    </xf>
    <xf numFmtId="0" fontId="0" fillId="0" borderId="2" xfId="0" quotePrefix="1" applyFill="1" applyBorder="1" applyAlignment="1">
      <alignment horizontal="center" vertical="center"/>
    </xf>
    <xf numFmtId="0" fontId="0" fillId="0" borderId="2" xfId="0" applyBorder="1" applyAlignment="1">
      <alignment horizontal="center" vertical="center"/>
    </xf>
    <xf numFmtId="2" fontId="0" fillId="0" borderId="2"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quotePrefix="1" applyFill="1" applyBorder="1" applyAlignment="1">
      <alignment horizontal="center"/>
    </xf>
    <xf numFmtId="0" fontId="0" fillId="0" borderId="0" xfId="0" applyBorder="1" applyAlignment="1">
      <alignment horizontal="left"/>
    </xf>
    <xf numFmtId="0" fontId="0" fillId="0" borderId="0" xfId="0" applyBorder="1" applyAlignment="1">
      <alignment horizontal="right"/>
    </xf>
    <xf numFmtId="0" fontId="0" fillId="0" borderId="0" xfId="0" applyAlignment="1"/>
    <xf numFmtId="0" fontId="0" fillId="0" borderId="0" xfId="0" quotePrefix="1" applyAlignment="1">
      <alignment horizontal="center" vertical="center"/>
    </xf>
    <xf numFmtId="0" fontId="0" fillId="0" borderId="0" xfId="0" quotePrefix="1" applyAlignment="1">
      <alignment horizontal="center"/>
    </xf>
    <xf numFmtId="0" fontId="0" fillId="0" borderId="2" xfId="0" applyBorder="1" applyAlignment="1"/>
    <xf numFmtId="0" fontId="0" fillId="0" borderId="2" xfId="0" quotePrefix="1" applyBorder="1" applyAlignment="1">
      <alignment horizontal="center" vertical="center"/>
    </xf>
    <xf numFmtId="0" fontId="0" fillId="0" borderId="5" xfId="0" applyBorder="1" applyAlignment="1">
      <alignment horizontal="center"/>
    </xf>
    <xf numFmtId="0" fontId="0" fillId="0" borderId="8" xfId="0" quotePrefix="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xf>
    <xf numFmtId="2" fontId="0" fillId="0" borderId="3" xfId="0" applyNumberFormat="1" applyBorder="1" applyAlignment="1">
      <alignment horizontal="center"/>
    </xf>
    <xf numFmtId="2" fontId="0" fillId="0" borderId="0" xfId="0" applyNumberFormat="1" applyAlignment="1">
      <alignment horizontal="center" vertical="center"/>
    </xf>
    <xf numFmtId="2" fontId="0" fillId="0" borderId="0" xfId="0" applyNumberFormat="1"/>
    <xf numFmtId="49" fontId="0" fillId="0" borderId="3" xfId="0" applyNumberFormat="1" applyBorder="1" applyAlignment="1">
      <alignment horizontal="center"/>
    </xf>
    <xf numFmtId="0" fontId="0" fillId="0" borderId="3" xfId="0" applyBorder="1" applyAlignment="1"/>
    <xf numFmtId="0" fontId="0" fillId="0" borderId="6" xfId="0" applyBorder="1" applyAlignment="1">
      <alignment horizontal="center"/>
    </xf>
    <xf numFmtId="0" fontId="0" fillId="0" borderId="3" xfId="0" quotePrefix="1" applyBorder="1" applyAlignment="1">
      <alignment horizontal="center" vertical="center"/>
    </xf>
    <xf numFmtId="49" fontId="2" fillId="0" borderId="0" xfId="0" applyNumberFormat="1" applyFont="1"/>
    <xf numFmtId="49" fontId="2" fillId="0" borderId="2" xfId="0" applyNumberFormat="1" applyFont="1" applyBorder="1"/>
    <xf numFmtId="0" fontId="0" fillId="0" borderId="0" xfId="0" applyFill="1" applyBorder="1"/>
    <xf numFmtId="0" fontId="0" fillId="0" borderId="2" xfId="0" applyFill="1" applyBorder="1"/>
    <xf numFmtId="0" fontId="4" fillId="0" borderId="0" xfId="0" applyFont="1" applyFill="1" applyAlignment="1">
      <alignment horizontal="center"/>
    </xf>
    <xf numFmtId="0" fontId="0" fillId="0" borderId="0" xfId="0" applyAlignment="1">
      <alignment vertical="top"/>
    </xf>
    <xf numFmtId="0" fontId="0" fillId="0" borderId="3" xfId="0" applyFill="1" applyBorder="1"/>
    <xf numFmtId="49" fontId="2" fillId="0" borderId="0" xfId="0" applyNumberFormat="1" applyFont="1" applyFill="1" applyBorder="1" applyAlignment="1">
      <alignment vertical="top"/>
    </xf>
    <xf numFmtId="0" fontId="0" fillId="0" borderId="2" xfId="0" applyFill="1" applyBorder="1" applyAlignment="1">
      <alignment vertical="top"/>
    </xf>
    <xf numFmtId="0" fontId="0" fillId="0" borderId="2" xfId="0" applyFill="1" applyBorder="1" applyAlignment="1">
      <alignment horizontal="center" vertical="top"/>
    </xf>
    <xf numFmtId="0" fontId="0" fillId="0" borderId="2" xfId="0" applyBorder="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0" fillId="0" borderId="0" xfId="0" quotePrefix="1" applyAlignment="1">
      <alignment horizontal="center" vertical="top"/>
    </xf>
    <xf numFmtId="2" fontId="0" fillId="0" borderId="0" xfId="0" applyNumberFormat="1" applyAlignment="1">
      <alignment horizontal="center" vertical="top"/>
    </xf>
    <xf numFmtId="0" fontId="0" fillId="0" borderId="0" xfId="0" applyAlignment="1">
      <alignment horizontal="left" vertical="top"/>
    </xf>
    <xf numFmtId="0" fontId="2" fillId="0" borderId="0" xfId="0" applyFont="1" applyFill="1" applyBorder="1" applyAlignment="1">
      <alignment vertical="top"/>
    </xf>
    <xf numFmtId="0" fontId="0" fillId="0" borderId="0" xfId="0" applyAlignment="1">
      <alignment horizontal="right" vertical="top"/>
    </xf>
    <xf numFmtId="49" fontId="0" fillId="0" borderId="0" xfId="0" applyNumberFormat="1" applyBorder="1" applyAlignment="1">
      <alignment horizontal="center" vertical="top"/>
    </xf>
    <xf numFmtId="0" fontId="0" fillId="0" borderId="0" xfId="0" applyBorder="1" applyAlignment="1">
      <alignment vertical="top"/>
    </xf>
    <xf numFmtId="0" fontId="0" fillId="0" borderId="0" xfId="0" applyFill="1" applyBorder="1" applyAlignment="1">
      <alignment vertical="top"/>
    </xf>
    <xf numFmtId="0" fontId="0" fillId="0" borderId="0" xfId="0" applyFill="1" applyBorder="1" applyAlignment="1">
      <alignment horizontal="center" vertical="top"/>
    </xf>
    <xf numFmtId="0" fontId="0" fillId="0" borderId="0" xfId="0" applyBorder="1" applyAlignment="1">
      <alignment horizontal="center" vertical="top"/>
    </xf>
    <xf numFmtId="49" fontId="0" fillId="0" borderId="2" xfId="0" applyNumberFormat="1" applyBorder="1" applyAlignment="1">
      <alignment horizontal="center" vertical="top"/>
    </xf>
    <xf numFmtId="49" fontId="2" fillId="0" borderId="2" xfId="0" applyNumberFormat="1" applyFont="1" applyFill="1" applyBorder="1" applyAlignment="1">
      <alignment vertical="top"/>
    </xf>
    <xf numFmtId="0" fontId="0" fillId="0" borderId="2" xfId="0" applyBorder="1" applyAlignment="1">
      <alignment vertical="top"/>
    </xf>
    <xf numFmtId="0" fontId="0" fillId="0" borderId="5" xfId="0" applyBorder="1" applyAlignment="1">
      <alignment horizontal="center" vertical="top"/>
    </xf>
    <xf numFmtId="2" fontId="0" fillId="0" borderId="2" xfId="0" applyNumberFormat="1" applyBorder="1" applyAlignment="1">
      <alignment horizontal="center" vertical="top"/>
    </xf>
    <xf numFmtId="2" fontId="0" fillId="0" borderId="0" xfId="0" applyNumberFormat="1" applyAlignment="1">
      <alignment vertical="top"/>
    </xf>
    <xf numFmtId="0" fontId="5" fillId="0" borderId="0" xfId="0" applyFont="1" applyAlignment="1">
      <alignment horizontal="center"/>
    </xf>
    <xf numFmtId="0" fontId="5" fillId="0" borderId="3" xfId="0" applyFont="1" applyBorder="1" applyAlignment="1">
      <alignment horizontal="center"/>
    </xf>
    <xf numFmtId="0" fontId="5" fillId="0" borderId="2" xfId="0" applyFont="1" applyBorder="1" applyAlignment="1">
      <alignment horizontal="center"/>
    </xf>
    <xf numFmtId="0" fontId="5" fillId="0" borderId="0" xfId="0" applyFont="1" applyFill="1" applyAlignment="1">
      <alignment horizontal="center"/>
    </xf>
    <xf numFmtId="0" fontId="2" fillId="0" borderId="0" xfId="0" applyFont="1" applyFill="1" applyAlignment="1"/>
    <xf numFmtId="0" fontId="2" fillId="0" borderId="4" xfId="0" quotePrefix="1" applyFont="1" applyFill="1" applyBorder="1" applyAlignment="1">
      <alignment horizontal="center"/>
    </xf>
    <xf numFmtId="49" fontId="0" fillId="0" borderId="0" xfId="0" applyNumberFormat="1" applyFill="1"/>
    <xf numFmtId="49" fontId="0" fillId="0" borderId="2" xfId="0" applyNumberFormat="1" applyFill="1" applyBorder="1"/>
    <xf numFmtId="49" fontId="0" fillId="0" borderId="2" xfId="0" applyNumberFormat="1" applyFill="1" applyBorder="1" applyAlignment="1">
      <alignment horizontal="center"/>
    </xf>
    <xf numFmtId="0" fontId="0" fillId="0" borderId="5" xfId="0" applyFill="1" applyBorder="1" applyAlignment="1">
      <alignment horizontal="center"/>
    </xf>
    <xf numFmtId="2" fontId="0" fillId="0" borderId="2" xfId="0" applyNumberFormat="1" applyFill="1" applyBorder="1" applyAlignment="1">
      <alignment horizontal="center"/>
    </xf>
    <xf numFmtId="15" fontId="0" fillId="0" borderId="0" xfId="0" quotePrefix="1" applyNumberFormat="1" applyFill="1" applyAlignment="1">
      <alignment horizontal="center" vertical="center"/>
    </xf>
    <xf numFmtId="2" fontId="0" fillId="0" borderId="0" xfId="0" applyNumberFormat="1" applyFill="1" applyAlignment="1">
      <alignment horizontal="center" vertical="center"/>
    </xf>
    <xf numFmtId="0" fontId="0" fillId="0" borderId="0" xfId="0" applyFill="1" applyAlignment="1"/>
    <xf numFmtId="0" fontId="0" fillId="0" borderId="2" xfId="0" applyFill="1" applyBorder="1" applyAlignment="1">
      <alignment horizontal="center" vertical="center"/>
    </xf>
    <xf numFmtId="49" fontId="0" fillId="0" borderId="3" xfId="0" applyNumberFormat="1" applyFill="1" applyBorder="1" applyAlignment="1">
      <alignment horizontal="center"/>
    </xf>
    <xf numFmtId="49" fontId="0" fillId="0" borderId="3" xfId="0" applyNumberFormat="1" applyFill="1" applyBorder="1"/>
    <xf numFmtId="0" fontId="0" fillId="0" borderId="6" xfId="0" applyFill="1" applyBorder="1" applyAlignment="1">
      <alignment horizontal="center"/>
    </xf>
    <xf numFmtId="0" fontId="0" fillId="0" borderId="3" xfId="0" quotePrefix="1" applyFill="1" applyBorder="1" applyAlignment="1">
      <alignment horizontal="center" vertical="center"/>
    </xf>
    <xf numFmtId="0" fontId="0" fillId="0" borderId="3" xfId="0" applyFill="1" applyBorder="1" applyAlignment="1">
      <alignment horizontal="center" vertical="center"/>
    </xf>
    <xf numFmtId="2" fontId="0" fillId="0" borderId="3" xfId="0" applyNumberFormat="1" applyFill="1" applyBorder="1" applyAlignment="1">
      <alignment horizontal="center"/>
    </xf>
    <xf numFmtId="0" fontId="6" fillId="0" borderId="0" xfId="0" applyFont="1" applyFill="1" applyAlignment="1">
      <alignment horizontal="center"/>
    </xf>
    <xf numFmtId="0" fontId="2" fillId="0" borderId="2" xfId="0" applyFont="1" applyBorder="1" applyAlignment="1">
      <alignment horizontal="center"/>
    </xf>
    <xf numFmtId="49" fontId="0" fillId="0" borderId="0" xfId="0" applyNumberFormat="1" applyFill="1" applyBorder="1"/>
    <xf numFmtId="49" fontId="0" fillId="0" borderId="0" xfId="0" applyNumberFormat="1" applyBorder="1" applyAlignment="1">
      <alignment horizontal="center"/>
    </xf>
    <xf numFmtId="49" fontId="0" fillId="0" borderId="0" xfId="0" applyNumberFormat="1" applyFill="1" applyBorder="1" applyAlignment="1">
      <alignment horizontal="center"/>
    </xf>
    <xf numFmtId="0" fontId="0" fillId="0" borderId="0" xfId="0" applyBorder="1" applyAlignment="1"/>
    <xf numFmtId="0" fontId="0" fillId="0" borderId="0" xfId="0" applyFont="1" applyFill="1" applyBorder="1" applyAlignment="1">
      <alignment horizontal="center"/>
    </xf>
    <xf numFmtId="0" fontId="0" fillId="0" borderId="0" xfId="0" quotePrefix="1" applyFill="1" applyBorder="1" applyAlignment="1">
      <alignment horizontal="center" vertical="center"/>
    </xf>
    <xf numFmtId="0" fontId="0" fillId="0" borderId="0" xfId="0" quotePrefix="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5" fillId="0" borderId="0" xfId="0" applyFont="1" applyBorder="1" applyAlignment="1">
      <alignment horizontal="center"/>
    </xf>
    <xf numFmtId="0" fontId="5" fillId="0" borderId="0" xfId="0" applyFont="1" applyFill="1" applyBorder="1" applyAlignment="1">
      <alignment horizontal="center"/>
    </xf>
    <xf numFmtId="0" fontId="2" fillId="0" borderId="0" xfId="0" applyFont="1" applyBorder="1" applyAlignment="1">
      <alignment horizontal="center"/>
    </xf>
    <xf numFmtId="2" fontId="0" fillId="0" borderId="0" xfId="0" applyNumberFormat="1" applyFill="1" applyBorder="1" applyAlignment="1">
      <alignment horizontal="center"/>
    </xf>
    <xf numFmtId="2" fontId="0" fillId="0" borderId="0" xfId="0" applyNumberFormat="1" applyBorder="1" applyAlignment="1">
      <alignment horizontal="center"/>
    </xf>
    <xf numFmtId="49" fontId="2" fillId="0" borderId="0" xfId="0" applyNumberFormat="1" applyFont="1" applyFill="1" applyBorder="1" applyAlignment="1"/>
    <xf numFmtId="0" fontId="2" fillId="0" borderId="0" xfId="0" applyFont="1" applyFill="1" applyBorder="1" applyAlignment="1"/>
    <xf numFmtId="49" fontId="2" fillId="0" borderId="2" xfId="0" applyNumberFormat="1" applyFont="1" applyFill="1" applyBorder="1" applyAlignment="1"/>
    <xf numFmtId="0" fontId="2" fillId="0" borderId="2" xfId="0" applyFont="1" applyFill="1" applyBorder="1" applyAlignment="1"/>
    <xf numFmtId="164" fontId="2" fillId="0" borderId="0" xfId="0" applyNumberFormat="1" applyFont="1" applyFill="1" applyAlignment="1"/>
    <xf numFmtId="49" fontId="2" fillId="0" borderId="0" xfId="0" applyNumberFormat="1" applyFont="1" applyFill="1" applyAlignment="1"/>
    <xf numFmtId="49" fontId="2" fillId="0" borderId="3" xfId="0" applyNumberFormat="1" applyFont="1" applyFill="1" applyBorder="1" applyAlignment="1"/>
    <xf numFmtId="0" fontId="2" fillId="0" borderId="3" xfId="0" applyFont="1" applyFill="1" applyBorder="1" applyAlignment="1"/>
    <xf numFmtId="2" fontId="2" fillId="0" borderId="0" xfId="0" applyNumberFormat="1" applyFont="1" applyFill="1" applyAlignment="1"/>
    <xf numFmtId="49" fontId="2" fillId="0" borderId="4" xfId="0" applyNumberFormat="1" applyFont="1" applyFill="1" applyBorder="1" applyAlignment="1"/>
    <xf numFmtId="0" fontId="2" fillId="0" borderId="4" xfId="0" applyFont="1" applyFill="1" applyBorder="1" applyAlignment="1"/>
    <xf numFmtId="15" fontId="0" fillId="0" borderId="0" xfId="0" quotePrefix="1" applyNumberFormat="1" applyFill="1" applyBorder="1" applyAlignment="1">
      <alignment horizontal="center" vertical="center"/>
    </xf>
    <xf numFmtId="0" fontId="0" fillId="0" borderId="0" xfId="0" applyFill="1" applyBorder="1" applyAlignment="1">
      <alignment horizontal="left"/>
    </xf>
    <xf numFmtId="0" fontId="0" fillId="0" borderId="0" xfId="0" applyFill="1" applyBorder="1" applyAlignment="1">
      <alignment horizontal="right"/>
    </xf>
    <xf numFmtId="2" fontId="0" fillId="0" borderId="0" xfId="0" applyNumberFormat="1" applyFill="1" applyBorder="1" applyAlignment="1">
      <alignment horizontal="center" vertical="center"/>
    </xf>
    <xf numFmtId="0" fontId="2" fillId="0" borderId="0" xfId="0" applyFont="1" applyAlignment="1">
      <alignment horizontal="center"/>
    </xf>
    <xf numFmtId="0" fontId="2" fillId="0" borderId="3" xfId="0" applyFont="1" applyBorder="1" applyAlignment="1">
      <alignment horizontal="center"/>
    </xf>
    <xf numFmtId="0" fontId="2" fillId="0" borderId="0" xfId="0" applyFont="1" applyAlignment="1">
      <alignment horizontal="center" vertical="top"/>
    </xf>
    <xf numFmtId="0" fontId="2" fillId="0" borderId="2" xfId="0" applyFont="1" applyBorder="1" applyAlignment="1">
      <alignment horizontal="center" vertical="top"/>
    </xf>
    <xf numFmtId="49" fontId="0" fillId="0" borderId="2" xfId="0" applyNumberFormat="1" applyBorder="1"/>
    <xf numFmtId="0" fontId="0" fillId="0" borderId="3" xfId="0" applyBorder="1" applyAlignment="1">
      <alignment vertical="top"/>
    </xf>
    <xf numFmtId="0" fontId="0" fillId="0" borderId="3" xfId="0" applyFill="1" applyBorder="1" applyAlignment="1"/>
    <xf numFmtId="0" fontId="0" fillId="0" borderId="9" xfId="0" quotePrefix="1" applyFill="1" applyBorder="1" applyAlignment="1">
      <alignment horizontal="center" vertical="center"/>
    </xf>
    <xf numFmtId="0" fontId="0" fillId="0" borderId="9" xfId="0" quotePrefix="1" applyBorder="1" applyAlignment="1">
      <alignment horizontal="center" vertical="top"/>
    </xf>
    <xf numFmtId="0" fontId="2" fillId="0" borderId="3" xfId="0" quotePrefix="1" applyFont="1" applyFill="1" applyBorder="1" applyAlignment="1">
      <alignment horizontal="center" vertical="center" wrapText="1"/>
    </xf>
    <xf numFmtId="0" fontId="5" fillId="0" borderId="2" xfId="0" applyFont="1" applyFill="1" applyBorder="1" applyAlignment="1">
      <alignment horizontal="center"/>
    </xf>
    <xf numFmtId="0" fontId="2" fillId="0" borderId="1" xfId="0" applyFont="1" applyFill="1"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E64A-6BA2-4BC2-807B-24BA5FBA89A5}">
  <dimension ref="A1:CL1476"/>
  <sheetViews>
    <sheetView tabSelected="1" zoomScale="80" zoomScaleNormal="80" workbookViewId="0">
      <pane xSplit="11" ySplit="1" topLeftCell="AC2" activePane="bottomRight" state="frozen"/>
      <selection pane="topRight" activeCell="O1" sqref="O1"/>
      <selection pane="bottomLeft" activeCell="A2" sqref="A2"/>
      <selection pane="bottomRight" activeCell="AD1" sqref="AD1"/>
    </sheetView>
  </sheetViews>
  <sheetFormatPr baseColWidth="10" defaultRowHeight="14.5" x14ac:dyDescent="0.35"/>
  <cols>
    <col min="1" max="1" width="6.81640625" style="1" customWidth="1"/>
    <col min="2" max="2" width="7.7265625" customWidth="1"/>
    <col min="3" max="3" width="7.1796875" style="1" customWidth="1"/>
    <col min="4" max="4" width="10.81640625" customWidth="1"/>
    <col min="5" max="6" width="17.7265625" customWidth="1"/>
    <col min="7" max="7" width="9.81640625" style="2" customWidth="1"/>
    <col min="8" max="10" width="8.453125" style="2" customWidth="1"/>
    <col min="11" max="11" width="8.453125" style="81" customWidth="1"/>
    <col min="12" max="12" width="10.81640625" style="4"/>
    <col min="13" max="13" width="14.1796875" style="4" customWidth="1"/>
    <col min="14" max="14" width="10.81640625" style="4"/>
    <col min="15" max="28" width="10.81640625" style="2"/>
    <col min="29" max="29" width="26.1796875" style="2" customWidth="1"/>
    <col min="30" max="31" width="16.7265625" style="2" customWidth="1"/>
    <col min="32" max="32" width="23.7265625" style="2" customWidth="1"/>
    <col min="33" max="40" width="10.81640625" style="2"/>
    <col min="41" max="41" width="10.81640625" style="3"/>
    <col min="42" max="42" width="14.1796875" style="2" customWidth="1"/>
    <col min="43" max="51" width="10.81640625" style="2"/>
    <col min="52" max="52" width="17.7265625" style="5" customWidth="1"/>
    <col min="53" max="53" width="18.7265625" style="2" customWidth="1"/>
    <col min="54" max="54" width="25.54296875" customWidth="1"/>
    <col min="55" max="55" width="28.26953125" customWidth="1"/>
    <col min="56" max="63" width="10.81640625" style="2"/>
    <col min="65" max="69" width="10.81640625" style="2"/>
    <col min="70" max="71" width="10.81640625" style="6"/>
    <col min="72" max="76" width="10.81640625" style="2"/>
    <col min="77" max="77" width="10.81640625" style="2" customWidth="1"/>
    <col min="78" max="81" width="10.81640625" style="2"/>
    <col min="82" max="82" width="10.81640625" style="3"/>
    <col min="83" max="83" width="21" style="2" customWidth="1"/>
    <col min="84" max="84" width="15.453125" style="4" bestFit="1" customWidth="1"/>
    <col min="85" max="85" width="15.453125" style="4" customWidth="1"/>
    <col min="87" max="87" width="17.453125" style="2" bestFit="1" customWidth="1"/>
  </cols>
  <sheetData>
    <row r="1" spans="1:88" s="10" customFormat="1" x14ac:dyDescent="0.35">
      <c r="A1" s="8" t="s">
        <v>0</v>
      </c>
      <c r="B1" s="7" t="s">
        <v>1</v>
      </c>
      <c r="C1" s="8" t="s">
        <v>2</v>
      </c>
      <c r="D1" s="7" t="s">
        <v>3</v>
      </c>
      <c r="E1" s="7" t="s">
        <v>1076</v>
      </c>
      <c r="F1" s="7" t="s">
        <v>1104</v>
      </c>
      <c r="G1" s="7" t="s">
        <v>1075</v>
      </c>
      <c r="H1" s="7" t="s">
        <v>1074</v>
      </c>
      <c r="I1" s="7" t="s">
        <v>4</v>
      </c>
      <c r="J1" s="86" t="s">
        <v>1105</v>
      </c>
      <c r="K1" s="80" t="s">
        <v>1073</v>
      </c>
      <c r="L1" s="7" t="s">
        <v>5</v>
      </c>
      <c r="M1" s="7" t="s">
        <v>1077</v>
      </c>
      <c r="N1" s="7" t="s">
        <v>6</v>
      </c>
      <c r="O1" s="7" t="s">
        <v>7</v>
      </c>
      <c r="P1" s="7" t="s">
        <v>1078</v>
      </c>
      <c r="Q1" s="7" t="s">
        <v>8</v>
      </c>
      <c r="R1" s="7" t="s">
        <v>9</v>
      </c>
      <c r="S1" s="7" t="s">
        <v>1214</v>
      </c>
      <c r="T1" s="7" t="s">
        <v>1208</v>
      </c>
      <c r="U1" s="7" t="s">
        <v>1379</v>
      </c>
      <c r="V1" s="7" t="s">
        <v>11</v>
      </c>
      <c r="W1" s="7" t="s">
        <v>1072</v>
      </c>
      <c r="X1" s="7" t="s">
        <v>12</v>
      </c>
      <c r="Y1" s="7" t="s">
        <v>13</v>
      </c>
      <c r="Z1" s="7" t="s">
        <v>57</v>
      </c>
      <c r="AA1" s="7" t="s">
        <v>1376</v>
      </c>
      <c r="AB1" s="7" t="s">
        <v>1080</v>
      </c>
      <c r="AC1" s="7" t="s">
        <v>10</v>
      </c>
      <c r="AD1" s="7" t="s">
        <v>1382</v>
      </c>
      <c r="AE1" s="7" t="s">
        <v>1079</v>
      </c>
      <c r="AF1" s="7" t="s">
        <v>14</v>
      </c>
      <c r="AG1" s="7" t="s">
        <v>1082</v>
      </c>
      <c r="AH1" s="7" t="s">
        <v>15</v>
      </c>
      <c r="AI1" s="7" t="s">
        <v>1083</v>
      </c>
      <c r="AJ1" s="7" t="s">
        <v>1371</v>
      </c>
      <c r="AK1" s="7" t="s">
        <v>1372</v>
      </c>
      <c r="AL1" s="7" t="s">
        <v>1373</v>
      </c>
      <c r="AM1" s="7" t="s">
        <v>1374</v>
      </c>
      <c r="AN1" s="7" t="s">
        <v>1375</v>
      </c>
      <c r="AO1" s="9" t="s">
        <v>1081</v>
      </c>
      <c r="AP1" s="7" t="s">
        <v>1115</v>
      </c>
      <c r="AQ1" s="7" t="s">
        <v>1377</v>
      </c>
      <c r="AR1" s="7" t="s">
        <v>1204</v>
      </c>
      <c r="AS1" s="7" t="s">
        <v>1205</v>
      </c>
      <c r="AT1" s="7" t="s">
        <v>1206</v>
      </c>
      <c r="AU1" s="7" t="s">
        <v>1207</v>
      </c>
      <c r="AV1" s="7" t="s">
        <v>1378</v>
      </c>
      <c r="AW1" s="7" t="s">
        <v>1212</v>
      </c>
      <c r="AX1" s="7" t="s">
        <v>1213</v>
      </c>
      <c r="AY1" s="7" t="s">
        <v>16</v>
      </c>
      <c r="AZ1" s="7" t="s">
        <v>1084</v>
      </c>
      <c r="BA1" s="7" t="s">
        <v>1085</v>
      </c>
      <c r="BB1" s="7" t="s">
        <v>1112</v>
      </c>
      <c r="BC1" s="7" t="s">
        <v>1087</v>
      </c>
      <c r="BD1" s="7" t="s">
        <v>1088</v>
      </c>
      <c r="BE1" s="7" t="s">
        <v>1113</v>
      </c>
      <c r="BF1" s="7" t="s">
        <v>1086</v>
      </c>
      <c r="BG1" s="7" t="s">
        <v>1209</v>
      </c>
      <c r="BH1" s="7" t="s">
        <v>1210</v>
      </c>
      <c r="BI1" s="7" t="s">
        <v>1211</v>
      </c>
      <c r="BJ1" s="7" t="s">
        <v>1114</v>
      </c>
      <c r="BK1" s="7" t="s">
        <v>1100</v>
      </c>
      <c r="BL1" s="7" t="s">
        <v>1101</v>
      </c>
      <c r="BM1" s="7" t="s">
        <v>17</v>
      </c>
      <c r="BN1" s="7" t="s">
        <v>18</v>
      </c>
      <c r="BO1" s="7" t="s">
        <v>1099</v>
      </c>
      <c r="BP1" s="7" t="s">
        <v>1102</v>
      </c>
      <c r="BQ1" s="7" t="s">
        <v>19</v>
      </c>
      <c r="BR1" s="7" t="s">
        <v>1103</v>
      </c>
      <c r="BS1" s="7" t="s">
        <v>20</v>
      </c>
      <c r="BT1" s="7" t="s">
        <v>1089</v>
      </c>
      <c r="BU1" s="7" t="s">
        <v>1090</v>
      </c>
      <c r="BV1" s="7" t="s">
        <v>1091</v>
      </c>
      <c r="BW1" s="7" t="s">
        <v>1098</v>
      </c>
      <c r="BX1" s="7" t="s">
        <v>1092</v>
      </c>
      <c r="BY1" s="7" t="s">
        <v>1093</v>
      </c>
      <c r="BZ1" s="7" t="s">
        <v>1094</v>
      </c>
      <c r="CA1" s="7" t="s">
        <v>1095</v>
      </c>
      <c r="CB1" s="7" t="s">
        <v>1096</v>
      </c>
      <c r="CC1" s="7" t="s">
        <v>21</v>
      </c>
      <c r="CD1" s="9" t="s">
        <v>1097</v>
      </c>
      <c r="CE1" s="7" t="s">
        <v>22</v>
      </c>
      <c r="CF1" s="7" t="s">
        <v>23</v>
      </c>
      <c r="CG1" s="7" t="s">
        <v>1380</v>
      </c>
      <c r="CH1" s="7" t="s">
        <v>24</v>
      </c>
      <c r="CI1" s="7" t="s">
        <v>25</v>
      </c>
      <c r="CJ1" s="7" t="s">
        <v>1381</v>
      </c>
    </row>
    <row r="2" spans="1:88" s="35" customFormat="1" x14ac:dyDescent="0.35">
      <c r="A2" s="29" t="s">
        <v>26</v>
      </c>
      <c r="B2" s="30" t="s">
        <v>27</v>
      </c>
      <c r="C2" s="29">
        <v>2018</v>
      </c>
      <c r="D2" s="30" t="s">
        <v>28</v>
      </c>
      <c r="E2" s="30" t="s">
        <v>29</v>
      </c>
      <c r="F2" s="11" t="s">
        <v>1108</v>
      </c>
      <c r="G2" s="27">
        <v>0</v>
      </c>
      <c r="H2" s="27">
        <v>0</v>
      </c>
      <c r="I2" s="27">
        <v>2</v>
      </c>
      <c r="J2" s="11" t="s">
        <v>1106</v>
      </c>
      <c r="K2" s="82">
        <v>0</v>
      </c>
      <c r="L2" s="31" t="s">
        <v>30</v>
      </c>
      <c r="M2" s="31">
        <v>1</v>
      </c>
      <c r="N2" s="31">
        <v>48</v>
      </c>
      <c r="O2" s="27">
        <v>60</v>
      </c>
      <c r="P2" s="27" t="s">
        <v>31</v>
      </c>
      <c r="Q2" s="27">
        <v>2</v>
      </c>
      <c r="R2" s="32">
        <v>1</v>
      </c>
      <c r="S2" s="32">
        <v>0</v>
      </c>
      <c r="T2" s="27">
        <v>1</v>
      </c>
      <c r="U2" s="27">
        <v>0</v>
      </c>
      <c r="V2" s="27">
        <v>0</v>
      </c>
      <c r="W2" s="27">
        <v>0</v>
      </c>
      <c r="X2" s="27">
        <v>0</v>
      </c>
      <c r="Y2" s="27">
        <v>1</v>
      </c>
      <c r="Z2" s="27">
        <v>0</v>
      </c>
      <c r="AA2" s="178">
        <v>1</v>
      </c>
      <c r="AB2" s="27">
        <v>1</v>
      </c>
      <c r="AC2" s="27" t="s">
        <v>32</v>
      </c>
      <c r="AD2" s="11">
        <v>2.4</v>
      </c>
      <c r="AE2" s="27">
        <v>3.1</v>
      </c>
      <c r="AF2" s="27" t="s">
        <v>34</v>
      </c>
      <c r="AG2" s="27">
        <v>0</v>
      </c>
      <c r="AH2" s="27" t="s">
        <v>35</v>
      </c>
      <c r="AI2" s="27">
        <v>46</v>
      </c>
      <c r="AJ2" s="27">
        <v>40</v>
      </c>
      <c r="AK2" s="27">
        <v>60</v>
      </c>
      <c r="AL2" s="27">
        <v>62</v>
      </c>
      <c r="AM2" s="27">
        <v>50</v>
      </c>
      <c r="AN2" s="27">
        <v>68</v>
      </c>
      <c r="AO2" s="33">
        <v>20.87</v>
      </c>
      <c r="AP2" s="27">
        <v>0</v>
      </c>
      <c r="AQ2" s="27">
        <v>1</v>
      </c>
      <c r="AR2" s="27">
        <v>0</v>
      </c>
      <c r="AS2" s="27">
        <v>1</v>
      </c>
      <c r="AT2" s="27">
        <v>0</v>
      </c>
      <c r="AU2" s="27">
        <v>0</v>
      </c>
      <c r="AV2" s="27">
        <v>1</v>
      </c>
      <c r="AW2" s="27">
        <v>1</v>
      </c>
      <c r="AX2" s="27">
        <v>1</v>
      </c>
      <c r="AY2" s="34" t="s">
        <v>36</v>
      </c>
      <c r="AZ2" s="25" t="s">
        <v>37</v>
      </c>
      <c r="BA2" s="17" t="s">
        <v>38</v>
      </c>
      <c r="BB2" s="35" t="s">
        <v>39</v>
      </c>
      <c r="BC2" s="35" t="s">
        <v>40</v>
      </c>
      <c r="BD2" s="17">
        <v>3</v>
      </c>
      <c r="BE2" s="17">
        <v>7</v>
      </c>
      <c r="BF2" s="17">
        <v>1</v>
      </c>
      <c r="BG2" s="17">
        <v>1</v>
      </c>
      <c r="BH2" s="17">
        <v>0</v>
      </c>
      <c r="BI2" s="17">
        <v>0</v>
      </c>
      <c r="BJ2" s="17">
        <v>0.94</v>
      </c>
      <c r="BK2" s="17">
        <v>0.94</v>
      </c>
      <c r="BL2" s="35" t="s">
        <v>41</v>
      </c>
      <c r="BM2" s="17" t="s">
        <v>42</v>
      </c>
      <c r="BN2" s="17"/>
      <c r="BO2" s="17"/>
      <c r="BP2" s="17"/>
      <c r="BQ2" s="17"/>
      <c r="BR2" s="36"/>
      <c r="BS2" s="36"/>
      <c r="BT2" s="17"/>
      <c r="BU2" s="17">
        <v>4.33</v>
      </c>
      <c r="BV2" s="17">
        <v>1.1200000000000001</v>
      </c>
      <c r="BW2" s="17"/>
      <c r="BX2" s="17">
        <v>28</v>
      </c>
      <c r="BY2" s="17">
        <v>5.5</v>
      </c>
      <c r="BZ2" s="17">
        <v>0.98</v>
      </c>
      <c r="CA2" s="17"/>
      <c r="CB2" s="17">
        <v>32</v>
      </c>
      <c r="CC2" s="17">
        <v>1</v>
      </c>
      <c r="CD2" s="37">
        <f>(BY2-BU2)/SQRT((((CB2-1)*BZ2^2)+((BX2-1)*BV2^2))/((CB2+BX2)-2))</f>
        <v>1.1169421457206492</v>
      </c>
      <c r="CE2" s="17">
        <v>60</v>
      </c>
      <c r="CF2" s="22">
        <f t="shared" ref="CF2:CF33" si="0">CD2</f>
        <v>1.1169421457206492</v>
      </c>
      <c r="CG2" s="22">
        <f>(CF2/SQRT(BK2))</f>
        <v>1.1520378599381629</v>
      </c>
      <c r="CI2" s="37">
        <f>((BX2+CB2)/(BX2*CB2))+((CF2^2)/(2*(BX2+CB2)))</f>
        <v>7.7360617021677777E-2</v>
      </c>
      <c r="CJ2" s="37">
        <f>((BX2+CB2)/(BX2*CB2))+((CG2^2)/(2*(BX22+CB2)))</f>
        <v>7.6310702832108973E-2</v>
      </c>
    </row>
    <row r="3" spans="1:88" s="35" customFormat="1" x14ac:dyDescent="0.35">
      <c r="A3" s="29" t="s">
        <v>26</v>
      </c>
      <c r="B3" s="30" t="s">
        <v>27</v>
      </c>
      <c r="C3" s="29">
        <v>2018</v>
      </c>
      <c r="D3" s="30" t="s">
        <v>28</v>
      </c>
      <c r="E3" s="30" t="s">
        <v>29</v>
      </c>
      <c r="F3" s="11" t="s">
        <v>1108</v>
      </c>
      <c r="G3" s="27">
        <v>0</v>
      </c>
      <c r="H3" s="27">
        <v>0</v>
      </c>
      <c r="I3" s="27">
        <v>2</v>
      </c>
      <c r="J3" s="11" t="s">
        <v>1106</v>
      </c>
      <c r="K3" s="82">
        <v>0</v>
      </c>
      <c r="L3" s="31" t="s">
        <v>30</v>
      </c>
      <c r="M3" s="31">
        <v>1</v>
      </c>
      <c r="N3" s="31">
        <v>48</v>
      </c>
      <c r="O3" s="27">
        <v>60</v>
      </c>
      <c r="P3" s="27" t="s">
        <v>31</v>
      </c>
      <c r="Q3" s="27">
        <v>2</v>
      </c>
      <c r="R3" s="32">
        <v>1</v>
      </c>
      <c r="S3" s="32">
        <v>0</v>
      </c>
      <c r="T3" s="27">
        <v>1</v>
      </c>
      <c r="U3" s="27">
        <v>0</v>
      </c>
      <c r="V3" s="27">
        <v>0</v>
      </c>
      <c r="W3" s="27">
        <v>0</v>
      </c>
      <c r="X3" s="27">
        <v>0</v>
      </c>
      <c r="Y3" s="27">
        <v>1</v>
      </c>
      <c r="Z3" s="27">
        <v>0</v>
      </c>
      <c r="AA3" s="178">
        <v>1</v>
      </c>
      <c r="AB3" s="27">
        <v>1</v>
      </c>
      <c r="AC3" s="27" t="s">
        <v>32</v>
      </c>
      <c r="AD3" s="11">
        <v>2.4</v>
      </c>
      <c r="AE3" s="27">
        <v>3.1</v>
      </c>
      <c r="AF3" s="27" t="s">
        <v>34</v>
      </c>
      <c r="AG3" s="27">
        <v>0</v>
      </c>
      <c r="AH3" s="27" t="s">
        <v>35</v>
      </c>
      <c r="AI3" s="27">
        <v>46</v>
      </c>
      <c r="AJ3" s="27">
        <v>40</v>
      </c>
      <c r="AK3" s="27">
        <v>60</v>
      </c>
      <c r="AL3" s="27">
        <v>62</v>
      </c>
      <c r="AM3" s="27">
        <v>50</v>
      </c>
      <c r="AN3" s="27">
        <v>68</v>
      </c>
      <c r="AO3" s="33">
        <v>20.87</v>
      </c>
      <c r="AP3" s="27">
        <v>0</v>
      </c>
      <c r="AQ3" s="27">
        <v>1</v>
      </c>
      <c r="AR3" s="27">
        <v>0</v>
      </c>
      <c r="AS3" s="27">
        <v>1</v>
      </c>
      <c r="AT3" s="27">
        <v>0</v>
      </c>
      <c r="AU3" s="27">
        <v>0</v>
      </c>
      <c r="AV3" s="27">
        <v>1</v>
      </c>
      <c r="AW3" s="27">
        <v>1</v>
      </c>
      <c r="AX3" s="27">
        <v>1</v>
      </c>
      <c r="AY3" s="34" t="s">
        <v>43</v>
      </c>
      <c r="AZ3" s="25" t="s">
        <v>37</v>
      </c>
      <c r="BA3" s="17" t="s">
        <v>38</v>
      </c>
      <c r="BB3" s="35" t="s">
        <v>44</v>
      </c>
      <c r="BC3" s="35" t="s">
        <v>40</v>
      </c>
      <c r="BD3" s="17">
        <v>3</v>
      </c>
      <c r="BE3" s="17">
        <v>7</v>
      </c>
      <c r="BF3" s="17">
        <v>1</v>
      </c>
      <c r="BG3" s="17">
        <v>1</v>
      </c>
      <c r="BH3" s="17">
        <v>0</v>
      </c>
      <c r="BI3" s="17">
        <v>0</v>
      </c>
      <c r="BJ3" s="17">
        <v>0.94</v>
      </c>
      <c r="BK3" s="17">
        <v>0.94</v>
      </c>
      <c r="BL3" s="35" t="s">
        <v>41</v>
      </c>
      <c r="BM3" s="17" t="s">
        <v>42</v>
      </c>
      <c r="BN3" s="17"/>
      <c r="BO3" s="17"/>
      <c r="BP3" s="17"/>
      <c r="BQ3" s="17"/>
      <c r="BR3" s="36"/>
      <c r="BS3" s="36"/>
      <c r="BT3" s="17"/>
      <c r="BU3" s="17">
        <v>4.22</v>
      </c>
      <c r="BV3" s="17">
        <v>1</v>
      </c>
      <c r="BW3" s="17"/>
      <c r="BX3" s="17">
        <v>28</v>
      </c>
      <c r="BY3" s="17">
        <v>4.7</v>
      </c>
      <c r="BZ3" s="17">
        <v>0.98</v>
      </c>
      <c r="CA3" s="17"/>
      <c r="CB3" s="17">
        <v>32</v>
      </c>
      <c r="CC3" s="17">
        <v>0</v>
      </c>
      <c r="CD3" s="37">
        <f>(BY3-BU3)/SQRT((((CB3-1)*BZ3^2)+((BX3-1)*BV3^2))/((CB3+BX3)-2))</f>
        <v>0.48516180948764043</v>
      </c>
      <c r="CE3" s="17">
        <v>60</v>
      </c>
      <c r="CF3" s="22">
        <f t="shared" si="0"/>
        <v>0.48516180948764043</v>
      </c>
      <c r="CG3" s="22">
        <f t="shared" ref="CG3:CG66" si="1">(CF3/SQRT(BK3))</f>
        <v>0.50040619817891341</v>
      </c>
      <c r="CI3" s="37">
        <f t="shared" ref="CI3:CI33" si="2">((BX3+CB3)/(BX3*CB3))+((CF3^2)/(2*(BX3+CB3)))</f>
        <v>6.8925802225830057E-2</v>
      </c>
      <c r="CJ3" s="37">
        <f t="shared" ref="CJ3:CJ66" si="3">((BX3+CB3)/(BX3*CB3))+((CG3^2)/(2*(BX23+CB3)))</f>
        <v>6.8727710807073558E-2</v>
      </c>
    </row>
    <row r="4" spans="1:88" s="35" customFormat="1" x14ac:dyDescent="0.35">
      <c r="A4" s="29" t="s">
        <v>26</v>
      </c>
      <c r="B4" s="30" t="s">
        <v>27</v>
      </c>
      <c r="C4" s="29">
        <v>2018</v>
      </c>
      <c r="D4" s="30" t="s">
        <v>28</v>
      </c>
      <c r="E4" s="30" t="s">
        <v>29</v>
      </c>
      <c r="F4" s="12" t="s">
        <v>1108</v>
      </c>
      <c r="G4" s="27">
        <v>0</v>
      </c>
      <c r="H4" s="27">
        <v>0</v>
      </c>
      <c r="I4" s="27">
        <v>2</v>
      </c>
      <c r="J4" s="11" t="s">
        <v>1106</v>
      </c>
      <c r="K4" s="82">
        <v>0</v>
      </c>
      <c r="L4" s="31" t="s">
        <v>30</v>
      </c>
      <c r="M4" s="31">
        <v>1</v>
      </c>
      <c r="N4" s="31">
        <v>48</v>
      </c>
      <c r="O4" s="27">
        <v>60</v>
      </c>
      <c r="P4" s="27" t="s">
        <v>31</v>
      </c>
      <c r="Q4" s="27">
        <v>2</v>
      </c>
      <c r="R4" s="32">
        <v>1</v>
      </c>
      <c r="S4" s="32">
        <v>0</v>
      </c>
      <c r="T4" s="27">
        <v>1</v>
      </c>
      <c r="U4" s="27">
        <v>0</v>
      </c>
      <c r="V4" s="27">
        <v>0</v>
      </c>
      <c r="W4" s="27">
        <v>0</v>
      </c>
      <c r="X4" s="27">
        <v>0</v>
      </c>
      <c r="Y4" s="27">
        <v>1</v>
      </c>
      <c r="Z4" s="27">
        <v>0</v>
      </c>
      <c r="AA4" s="146">
        <v>1</v>
      </c>
      <c r="AB4" s="17">
        <v>1</v>
      </c>
      <c r="AC4" s="27" t="s">
        <v>32</v>
      </c>
      <c r="AD4" s="12">
        <v>2.4</v>
      </c>
      <c r="AE4" s="27">
        <v>3.1</v>
      </c>
      <c r="AF4" s="27" t="s">
        <v>34</v>
      </c>
      <c r="AG4" s="27">
        <v>0</v>
      </c>
      <c r="AH4" s="27" t="s">
        <v>35</v>
      </c>
      <c r="AI4" s="27">
        <v>46</v>
      </c>
      <c r="AJ4" s="27">
        <v>40</v>
      </c>
      <c r="AK4" s="27">
        <v>60</v>
      </c>
      <c r="AL4" s="27">
        <v>62</v>
      </c>
      <c r="AM4" s="27">
        <v>50</v>
      </c>
      <c r="AN4" s="27">
        <v>68</v>
      </c>
      <c r="AO4" s="33">
        <v>20.87</v>
      </c>
      <c r="AP4" s="27">
        <v>0</v>
      </c>
      <c r="AQ4" s="27">
        <v>1</v>
      </c>
      <c r="AR4" s="27">
        <v>0</v>
      </c>
      <c r="AS4" s="27">
        <v>1</v>
      </c>
      <c r="AT4" s="27">
        <v>0</v>
      </c>
      <c r="AU4" s="27">
        <v>0</v>
      </c>
      <c r="AV4" s="27">
        <v>1</v>
      </c>
      <c r="AW4" s="27">
        <v>1</v>
      </c>
      <c r="AX4" s="27">
        <v>1</v>
      </c>
      <c r="AY4" s="34" t="s">
        <v>45</v>
      </c>
      <c r="AZ4" s="25" t="s">
        <v>37</v>
      </c>
      <c r="BA4" s="17" t="s">
        <v>38</v>
      </c>
      <c r="BB4" s="35" t="s">
        <v>46</v>
      </c>
      <c r="BC4" s="35" t="s">
        <v>47</v>
      </c>
      <c r="BD4" s="17">
        <v>3</v>
      </c>
      <c r="BE4" s="17">
        <v>7</v>
      </c>
      <c r="BF4" s="17">
        <v>0</v>
      </c>
      <c r="BG4" s="17">
        <v>0</v>
      </c>
      <c r="BH4" s="17">
        <v>1</v>
      </c>
      <c r="BI4" s="17">
        <v>0</v>
      </c>
      <c r="BJ4" s="17">
        <v>0.92</v>
      </c>
      <c r="BK4" s="17">
        <v>0.92</v>
      </c>
      <c r="BL4" s="35" t="s">
        <v>41</v>
      </c>
      <c r="BM4" s="17" t="s">
        <v>42</v>
      </c>
      <c r="BN4" s="17"/>
      <c r="BO4" s="17"/>
      <c r="BP4" s="17"/>
      <c r="BQ4" s="17"/>
      <c r="BR4" s="36"/>
      <c r="BS4" s="36"/>
      <c r="BT4" s="17"/>
      <c r="BU4" s="17">
        <v>2.36</v>
      </c>
      <c r="BV4" s="17">
        <v>1.3</v>
      </c>
      <c r="BW4" s="17"/>
      <c r="BX4" s="17">
        <v>28</v>
      </c>
      <c r="BY4" s="17">
        <v>3.22</v>
      </c>
      <c r="BZ4" s="17">
        <v>1.46</v>
      </c>
      <c r="CA4" s="17"/>
      <c r="CB4" s="17">
        <v>32</v>
      </c>
      <c r="CC4" s="17">
        <v>1</v>
      </c>
      <c r="CD4" s="37">
        <f>(BY4-BU4)/SQRT((((CB4-1)*BZ4^2)+((BX4-1)*BV4^2))/((CB4+BX4)-2))</f>
        <v>0.61967960050244786</v>
      </c>
      <c r="CE4" s="17">
        <v>60</v>
      </c>
      <c r="CF4" s="22">
        <f t="shared" si="0"/>
        <v>0.61967960050244786</v>
      </c>
      <c r="CG4" s="22">
        <f t="shared" si="1"/>
        <v>0.6460606440094504</v>
      </c>
      <c r="CI4" s="37">
        <f t="shared" si="2"/>
        <v>7.0164309108276326E-2</v>
      </c>
      <c r="CJ4" s="37">
        <f t="shared" si="3"/>
        <v>6.9257661295263215E-2</v>
      </c>
    </row>
    <row r="5" spans="1:88" s="35" customFormat="1" x14ac:dyDescent="0.35">
      <c r="A5" s="38" t="s">
        <v>26</v>
      </c>
      <c r="B5" s="39" t="s">
        <v>27</v>
      </c>
      <c r="C5" s="38">
        <v>2018</v>
      </c>
      <c r="D5" s="39" t="s">
        <v>28</v>
      </c>
      <c r="E5" s="39" t="s">
        <v>29</v>
      </c>
      <c r="F5" s="18" t="s">
        <v>1108</v>
      </c>
      <c r="G5" s="28">
        <v>0</v>
      </c>
      <c r="H5" s="28">
        <v>0</v>
      </c>
      <c r="I5" s="28">
        <v>2</v>
      </c>
      <c r="J5" s="18" t="s">
        <v>1106</v>
      </c>
      <c r="K5" s="83">
        <v>0</v>
      </c>
      <c r="L5" s="31" t="s">
        <v>30</v>
      </c>
      <c r="M5" s="40">
        <v>1</v>
      </c>
      <c r="N5" s="40">
        <v>48</v>
      </c>
      <c r="O5" s="28">
        <v>60</v>
      </c>
      <c r="P5" s="28" t="s">
        <v>31</v>
      </c>
      <c r="Q5" s="28">
        <v>2</v>
      </c>
      <c r="R5" s="41">
        <v>1</v>
      </c>
      <c r="S5" s="41">
        <v>0</v>
      </c>
      <c r="T5" s="28">
        <v>1</v>
      </c>
      <c r="U5" s="28">
        <v>0</v>
      </c>
      <c r="V5" s="28">
        <v>0</v>
      </c>
      <c r="W5" s="28">
        <v>0</v>
      </c>
      <c r="X5" s="28">
        <v>0</v>
      </c>
      <c r="Y5" s="28">
        <v>1</v>
      </c>
      <c r="Z5" s="27">
        <v>0</v>
      </c>
      <c r="AA5" s="146">
        <v>1</v>
      </c>
      <c r="AB5" s="17">
        <v>1</v>
      </c>
      <c r="AC5" s="28" t="s">
        <v>32</v>
      </c>
      <c r="AD5" s="18">
        <v>2.4</v>
      </c>
      <c r="AE5" s="28">
        <v>3.1</v>
      </c>
      <c r="AF5" s="28" t="s">
        <v>34</v>
      </c>
      <c r="AG5" s="28">
        <v>0</v>
      </c>
      <c r="AH5" s="28" t="s">
        <v>35</v>
      </c>
      <c r="AI5" s="28">
        <v>46</v>
      </c>
      <c r="AJ5" s="28">
        <v>40</v>
      </c>
      <c r="AK5" s="28">
        <v>60</v>
      </c>
      <c r="AL5" s="28">
        <v>62</v>
      </c>
      <c r="AM5" s="28">
        <v>50</v>
      </c>
      <c r="AN5" s="28">
        <v>68</v>
      </c>
      <c r="AO5" s="42">
        <v>20.87</v>
      </c>
      <c r="AP5" s="27">
        <v>0</v>
      </c>
      <c r="AQ5" s="27">
        <v>1</v>
      </c>
      <c r="AR5" s="27">
        <v>0</v>
      </c>
      <c r="AS5" s="27">
        <v>1</v>
      </c>
      <c r="AT5" s="27">
        <v>0</v>
      </c>
      <c r="AU5" s="27">
        <v>0</v>
      </c>
      <c r="AV5" s="27">
        <v>1</v>
      </c>
      <c r="AW5" s="27">
        <v>1</v>
      </c>
      <c r="AX5" s="27">
        <v>1</v>
      </c>
      <c r="AY5" s="34" t="s">
        <v>48</v>
      </c>
      <c r="AZ5" s="25" t="s">
        <v>37</v>
      </c>
      <c r="BA5" s="17" t="s">
        <v>38</v>
      </c>
      <c r="BB5" s="35" t="s">
        <v>49</v>
      </c>
      <c r="BC5" s="35" t="s">
        <v>47</v>
      </c>
      <c r="BD5" s="17">
        <v>3</v>
      </c>
      <c r="BE5" s="17">
        <v>7</v>
      </c>
      <c r="BF5" s="17">
        <v>0</v>
      </c>
      <c r="BG5" s="17">
        <v>0</v>
      </c>
      <c r="BH5" s="17">
        <v>1</v>
      </c>
      <c r="BI5" s="17">
        <v>0</v>
      </c>
      <c r="BJ5" s="17">
        <v>0.92</v>
      </c>
      <c r="BK5" s="17">
        <v>0.92</v>
      </c>
      <c r="BL5" s="35" t="s">
        <v>41</v>
      </c>
      <c r="BM5" s="17" t="s">
        <v>42</v>
      </c>
      <c r="BN5" s="17"/>
      <c r="BO5" s="17"/>
      <c r="BP5" s="17"/>
      <c r="BQ5" s="17"/>
      <c r="BR5" s="36"/>
      <c r="BS5" s="36"/>
      <c r="BT5" s="17"/>
      <c r="BU5" s="17">
        <v>2.39</v>
      </c>
      <c r="BV5" s="17">
        <v>1.3</v>
      </c>
      <c r="BW5" s="17"/>
      <c r="BX5" s="17">
        <v>28</v>
      </c>
      <c r="BY5" s="17">
        <v>3.99</v>
      </c>
      <c r="BZ5" s="17">
        <v>1.8</v>
      </c>
      <c r="CA5" s="17"/>
      <c r="CB5" s="17">
        <v>32</v>
      </c>
      <c r="CC5" s="17">
        <v>1</v>
      </c>
      <c r="CD5" s="37">
        <f>(BY5-BU5)/SQRT((((CB5-1)*BZ5^2)+((BX5-1)*BV5^2))/((CB5+BX5)-2))</f>
        <v>1.0082157204016051</v>
      </c>
      <c r="CE5" s="17">
        <v>60</v>
      </c>
      <c r="CF5" s="22">
        <f t="shared" si="0"/>
        <v>1.0082157204016051</v>
      </c>
      <c r="CG5" s="22">
        <f t="shared" si="1"/>
        <v>1.0511375509133609</v>
      </c>
      <c r="CI5" s="37">
        <f t="shared" si="2"/>
        <v>7.543511020482678E-2</v>
      </c>
      <c r="CJ5" s="37">
        <f t="shared" si="3"/>
        <v>7.3035110719451304E-2</v>
      </c>
    </row>
    <row r="6" spans="1:88" s="35" customFormat="1" x14ac:dyDescent="0.35">
      <c r="A6" s="43" t="s">
        <v>50</v>
      </c>
      <c r="B6" s="44" t="s">
        <v>51</v>
      </c>
      <c r="C6" s="43" t="s">
        <v>52</v>
      </c>
      <c r="D6" s="35" t="s">
        <v>53</v>
      </c>
      <c r="E6" s="35" t="s">
        <v>54</v>
      </c>
      <c r="F6" s="12" t="s">
        <v>1109</v>
      </c>
      <c r="G6" s="17">
        <v>0</v>
      </c>
      <c r="H6" s="17">
        <v>1</v>
      </c>
      <c r="I6" s="17">
        <v>3</v>
      </c>
      <c r="J6" s="11" t="s">
        <v>1106</v>
      </c>
      <c r="K6" s="82">
        <v>1</v>
      </c>
      <c r="L6" s="45" t="s">
        <v>55</v>
      </c>
      <c r="M6" s="45">
        <v>1</v>
      </c>
      <c r="N6" s="45">
        <v>6</v>
      </c>
      <c r="O6" s="26">
        <v>296</v>
      </c>
      <c r="P6" s="26" t="s">
        <v>31</v>
      </c>
      <c r="Q6" s="26">
        <v>2</v>
      </c>
      <c r="R6" s="46">
        <v>1</v>
      </c>
      <c r="S6" s="46">
        <v>0</v>
      </c>
      <c r="T6" s="26">
        <v>0</v>
      </c>
      <c r="U6" s="26">
        <v>1</v>
      </c>
      <c r="V6" s="26">
        <v>0</v>
      </c>
      <c r="W6" s="26">
        <v>0</v>
      </c>
      <c r="X6" s="26">
        <v>0</v>
      </c>
      <c r="Y6" s="26">
        <v>0</v>
      </c>
      <c r="Z6" s="26">
        <v>1</v>
      </c>
      <c r="AA6" s="147">
        <v>1</v>
      </c>
      <c r="AB6" s="26">
        <v>1</v>
      </c>
      <c r="AC6" s="26" t="s">
        <v>56</v>
      </c>
      <c r="AD6" s="20">
        <v>1.9</v>
      </c>
      <c r="AE6" s="26">
        <v>3.1</v>
      </c>
      <c r="AF6" s="26" t="s">
        <v>58</v>
      </c>
      <c r="AG6" s="26">
        <v>0</v>
      </c>
      <c r="AH6" s="26" t="s">
        <v>35</v>
      </c>
      <c r="AI6" s="26">
        <v>46</v>
      </c>
      <c r="AJ6" s="26">
        <v>40</v>
      </c>
      <c r="AK6" s="26">
        <v>60</v>
      </c>
      <c r="AL6" s="26">
        <v>62</v>
      </c>
      <c r="AM6" s="26">
        <v>50</v>
      </c>
      <c r="AN6" s="26">
        <v>68</v>
      </c>
      <c r="AO6" s="47">
        <v>21</v>
      </c>
      <c r="AP6" s="26">
        <v>0</v>
      </c>
      <c r="AQ6" s="26">
        <v>0</v>
      </c>
      <c r="AR6" s="26">
        <v>1</v>
      </c>
      <c r="AS6" s="26">
        <v>0</v>
      </c>
      <c r="AT6" s="26">
        <v>0</v>
      </c>
      <c r="AU6" s="26">
        <v>0</v>
      </c>
      <c r="AV6" s="26">
        <v>0</v>
      </c>
      <c r="AW6" s="26">
        <v>0</v>
      </c>
      <c r="AX6" s="26">
        <v>1</v>
      </c>
      <c r="AY6" s="34" t="s">
        <v>59</v>
      </c>
      <c r="AZ6" s="25" t="s">
        <v>60</v>
      </c>
      <c r="BA6" s="17" t="s">
        <v>61</v>
      </c>
      <c r="BB6" s="35" t="s">
        <v>62</v>
      </c>
      <c r="BC6" s="35" t="s">
        <v>63</v>
      </c>
      <c r="BD6" s="17">
        <v>4</v>
      </c>
      <c r="BE6" s="17">
        <v>5</v>
      </c>
      <c r="BF6" s="17">
        <v>1</v>
      </c>
      <c r="BG6" s="17">
        <v>1</v>
      </c>
      <c r="BH6" s="17">
        <v>0</v>
      </c>
      <c r="BI6" s="17">
        <v>0</v>
      </c>
      <c r="BJ6" s="17">
        <v>0.81</v>
      </c>
      <c r="BK6" s="17">
        <v>0.81</v>
      </c>
      <c r="BL6" s="35" t="s">
        <v>41</v>
      </c>
      <c r="BM6" s="17">
        <v>6</v>
      </c>
      <c r="BN6" s="17"/>
      <c r="BO6" s="17"/>
      <c r="BP6" s="17">
        <v>-1.7829999999999999</v>
      </c>
      <c r="BQ6" s="17">
        <v>295</v>
      </c>
      <c r="BR6" s="36"/>
      <c r="BS6" s="36"/>
      <c r="BT6" s="17"/>
      <c r="BU6" s="17">
        <v>3.29</v>
      </c>
      <c r="BV6" s="17" t="s">
        <v>64</v>
      </c>
      <c r="BW6" s="17"/>
      <c r="BX6" s="17">
        <v>148</v>
      </c>
      <c r="BY6" s="17">
        <v>3.45</v>
      </c>
      <c r="BZ6" s="17" t="s">
        <v>33</v>
      </c>
      <c r="CA6" s="17"/>
      <c r="CB6" s="17">
        <v>148</v>
      </c>
      <c r="CC6" s="17">
        <v>0</v>
      </c>
      <c r="CD6" s="37">
        <f>(BP6*SQRT((CB6+BX6)/(CB6*BX6)))</f>
        <v>-0.20726953988022978</v>
      </c>
      <c r="CE6" s="17">
        <v>296</v>
      </c>
      <c r="CF6" s="22">
        <f t="shared" si="0"/>
        <v>-0.20726953988022978</v>
      </c>
      <c r="CG6" s="22">
        <f t="shared" si="1"/>
        <v>-0.23029948875581085</v>
      </c>
      <c r="CI6" s="37">
        <f t="shared" si="2"/>
        <v>1.3586082199598247E-2</v>
      </c>
      <c r="CJ6" s="37">
        <f t="shared" si="3"/>
        <v>1.3641624273226528E-2</v>
      </c>
    </row>
    <row r="7" spans="1:88" s="35" customFormat="1" x14ac:dyDescent="0.35">
      <c r="A7" s="29" t="s">
        <v>50</v>
      </c>
      <c r="B7" s="48" t="s">
        <v>51</v>
      </c>
      <c r="C7" s="29" t="s">
        <v>52</v>
      </c>
      <c r="D7" s="30" t="s">
        <v>53</v>
      </c>
      <c r="E7" s="30" t="s">
        <v>54</v>
      </c>
      <c r="F7" s="11" t="s">
        <v>1109</v>
      </c>
      <c r="G7" s="27">
        <v>0</v>
      </c>
      <c r="H7" s="27">
        <v>1</v>
      </c>
      <c r="I7" s="27">
        <v>3</v>
      </c>
      <c r="J7" s="11" t="s">
        <v>1106</v>
      </c>
      <c r="K7" s="82">
        <v>1</v>
      </c>
      <c r="L7" s="45" t="s">
        <v>65</v>
      </c>
      <c r="M7" s="45">
        <v>2</v>
      </c>
      <c r="N7" s="45">
        <v>6</v>
      </c>
      <c r="O7" s="26">
        <v>233</v>
      </c>
      <c r="P7" s="26" t="s">
        <v>31</v>
      </c>
      <c r="Q7" s="26">
        <v>2</v>
      </c>
      <c r="R7" s="46">
        <v>1</v>
      </c>
      <c r="S7" s="46">
        <v>0</v>
      </c>
      <c r="T7" s="26">
        <v>0</v>
      </c>
      <c r="U7" s="26">
        <v>1</v>
      </c>
      <c r="V7" s="26">
        <v>0</v>
      </c>
      <c r="W7" s="26">
        <v>0</v>
      </c>
      <c r="X7" s="26">
        <v>0</v>
      </c>
      <c r="Y7" s="26">
        <v>0</v>
      </c>
      <c r="Z7" s="26">
        <v>1</v>
      </c>
      <c r="AA7" s="148">
        <v>0</v>
      </c>
      <c r="AB7" s="26">
        <v>1</v>
      </c>
      <c r="AC7" s="26" t="s">
        <v>66</v>
      </c>
      <c r="AD7" s="20">
        <v>2.2000000000000002</v>
      </c>
      <c r="AE7" s="26">
        <v>3.3</v>
      </c>
      <c r="AF7" s="26" t="s">
        <v>58</v>
      </c>
      <c r="AG7" s="26">
        <v>0</v>
      </c>
      <c r="AH7" s="26" t="s">
        <v>35</v>
      </c>
      <c r="AI7" s="26">
        <v>46</v>
      </c>
      <c r="AJ7" s="26">
        <v>40</v>
      </c>
      <c r="AK7" s="26">
        <v>60</v>
      </c>
      <c r="AL7" s="26">
        <v>62</v>
      </c>
      <c r="AM7" s="26">
        <v>50</v>
      </c>
      <c r="AN7" s="26">
        <v>68</v>
      </c>
      <c r="AO7" s="47">
        <v>43</v>
      </c>
      <c r="AP7" s="26">
        <v>0</v>
      </c>
      <c r="AQ7" s="26">
        <v>0</v>
      </c>
      <c r="AR7" s="26">
        <v>1</v>
      </c>
      <c r="AS7" s="26">
        <v>0</v>
      </c>
      <c r="AT7" s="26">
        <v>0</v>
      </c>
      <c r="AU7" s="26">
        <v>0</v>
      </c>
      <c r="AV7" s="26">
        <v>0</v>
      </c>
      <c r="AW7" s="26">
        <v>0</v>
      </c>
      <c r="AX7" s="26">
        <v>1</v>
      </c>
      <c r="AY7" s="34" t="s">
        <v>67</v>
      </c>
      <c r="AZ7" s="25" t="s">
        <v>68</v>
      </c>
      <c r="BA7" s="17" t="s">
        <v>61</v>
      </c>
      <c r="BB7" s="35" t="s">
        <v>62</v>
      </c>
      <c r="BC7" s="35" t="s">
        <v>63</v>
      </c>
      <c r="BD7" s="17">
        <v>4</v>
      </c>
      <c r="BE7" s="17">
        <v>5</v>
      </c>
      <c r="BF7" s="17">
        <v>1</v>
      </c>
      <c r="BG7" s="17">
        <v>1</v>
      </c>
      <c r="BH7" s="17">
        <v>0</v>
      </c>
      <c r="BI7" s="17">
        <v>0</v>
      </c>
      <c r="BJ7" s="17">
        <v>0.92</v>
      </c>
      <c r="BK7" s="17">
        <v>0.92</v>
      </c>
      <c r="BL7" s="35" t="s">
        <v>41</v>
      </c>
      <c r="BM7" s="17">
        <v>7</v>
      </c>
      <c r="BN7" s="17"/>
      <c r="BO7" s="17"/>
      <c r="BP7" s="17">
        <v>1.796</v>
      </c>
      <c r="BQ7" s="17">
        <v>234</v>
      </c>
      <c r="BR7" s="36"/>
      <c r="BS7" s="36"/>
      <c r="BT7" s="17"/>
      <c r="BU7" s="17">
        <v>3.97</v>
      </c>
      <c r="BV7" s="17" t="s">
        <v>64</v>
      </c>
      <c r="BW7" s="17"/>
      <c r="BX7" s="17">
        <v>117</v>
      </c>
      <c r="BY7" s="17">
        <v>3.77</v>
      </c>
      <c r="BZ7" s="17" t="s">
        <v>33</v>
      </c>
      <c r="CA7" s="17"/>
      <c r="CB7" s="17">
        <v>116</v>
      </c>
      <c r="CC7" s="17">
        <v>0</v>
      </c>
      <c r="CD7" s="37">
        <f>(BP7*SQRT((CB7+BX7)/(CB7*BX7)))</f>
        <v>0.23532191144074568</v>
      </c>
      <c r="CE7" s="17">
        <v>233</v>
      </c>
      <c r="CF7" s="22">
        <f t="shared" si="0"/>
        <v>0.23532191144074568</v>
      </c>
      <c r="CG7" s="22">
        <f t="shared" si="1"/>
        <v>0.2453400523942896</v>
      </c>
      <c r="CI7" s="37">
        <f t="shared" si="2"/>
        <v>1.728653168287651E-2</v>
      </c>
      <c r="CJ7" s="37">
        <f t="shared" si="3"/>
        <v>1.734684028940963E-2</v>
      </c>
    </row>
    <row r="8" spans="1:88" s="35" customFormat="1" ht="27" customHeight="1" x14ac:dyDescent="0.35">
      <c r="A8" s="38" t="s">
        <v>50</v>
      </c>
      <c r="B8" s="49" t="s">
        <v>51</v>
      </c>
      <c r="C8" s="38" t="s">
        <v>52</v>
      </c>
      <c r="D8" s="39" t="s">
        <v>53</v>
      </c>
      <c r="E8" s="39" t="s">
        <v>54</v>
      </c>
      <c r="F8" s="18" t="s">
        <v>1109</v>
      </c>
      <c r="G8" s="28">
        <v>0</v>
      </c>
      <c r="H8" s="28">
        <v>1</v>
      </c>
      <c r="I8" s="28">
        <v>3</v>
      </c>
      <c r="J8" s="18" t="s">
        <v>1106</v>
      </c>
      <c r="K8" s="83">
        <v>1</v>
      </c>
      <c r="L8" s="45" t="s">
        <v>69</v>
      </c>
      <c r="M8" s="207" t="s">
        <v>70</v>
      </c>
      <c r="N8" s="45">
        <v>6</v>
      </c>
      <c r="O8" s="26">
        <v>218</v>
      </c>
      <c r="P8" s="26" t="s">
        <v>31</v>
      </c>
      <c r="Q8" s="26">
        <v>2</v>
      </c>
      <c r="R8" s="46">
        <v>1</v>
      </c>
      <c r="S8" s="46">
        <v>0</v>
      </c>
      <c r="T8" s="26">
        <v>0</v>
      </c>
      <c r="U8" s="26">
        <v>1</v>
      </c>
      <c r="V8" s="26">
        <v>0</v>
      </c>
      <c r="W8" s="26">
        <v>0</v>
      </c>
      <c r="X8" s="26">
        <v>0</v>
      </c>
      <c r="Y8" s="26">
        <v>0</v>
      </c>
      <c r="Z8" s="26">
        <v>1</v>
      </c>
      <c r="AA8" s="148">
        <v>0</v>
      </c>
      <c r="AB8" s="26">
        <v>1</v>
      </c>
      <c r="AC8" s="26" t="s">
        <v>71</v>
      </c>
      <c r="AD8" s="20">
        <v>4.2</v>
      </c>
      <c r="AE8" s="26">
        <v>3.1</v>
      </c>
      <c r="AF8" s="26" t="s">
        <v>58</v>
      </c>
      <c r="AG8" s="26">
        <v>0</v>
      </c>
      <c r="AH8" s="26" t="s">
        <v>35</v>
      </c>
      <c r="AI8" s="26">
        <v>46</v>
      </c>
      <c r="AJ8" s="27">
        <v>40</v>
      </c>
      <c r="AK8" s="27">
        <v>60</v>
      </c>
      <c r="AL8" s="27">
        <v>62</v>
      </c>
      <c r="AM8" s="27">
        <v>50</v>
      </c>
      <c r="AN8" s="27">
        <v>68</v>
      </c>
      <c r="AO8" s="47">
        <v>45</v>
      </c>
      <c r="AP8" s="26">
        <v>0</v>
      </c>
      <c r="AQ8" s="26">
        <v>0</v>
      </c>
      <c r="AR8" s="26">
        <v>1</v>
      </c>
      <c r="AS8" s="26">
        <v>0</v>
      </c>
      <c r="AT8" s="26">
        <v>0</v>
      </c>
      <c r="AU8" s="26">
        <v>0</v>
      </c>
      <c r="AV8" s="26">
        <v>0</v>
      </c>
      <c r="AW8" s="26">
        <v>0</v>
      </c>
      <c r="AX8" s="26">
        <v>1</v>
      </c>
      <c r="AY8" s="34" t="s">
        <v>72</v>
      </c>
      <c r="AZ8" s="25" t="s">
        <v>68</v>
      </c>
      <c r="BA8" s="27" t="s">
        <v>61</v>
      </c>
      <c r="BB8" s="35" t="s">
        <v>62</v>
      </c>
      <c r="BC8" s="35" t="s">
        <v>63</v>
      </c>
      <c r="BD8" s="17">
        <v>4</v>
      </c>
      <c r="BE8" s="17">
        <v>5</v>
      </c>
      <c r="BF8" s="17">
        <v>1</v>
      </c>
      <c r="BG8" s="17">
        <v>1</v>
      </c>
      <c r="BH8" s="17">
        <v>0</v>
      </c>
      <c r="BI8" s="17">
        <v>0</v>
      </c>
      <c r="BJ8" s="17">
        <v>0.89</v>
      </c>
      <c r="BK8" s="17">
        <v>0.89</v>
      </c>
      <c r="BL8" s="35" t="s">
        <v>41</v>
      </c>
      <c r="BM8" s="17">
        <v>7</v>
      </c>
      <c r="BN8" s="17"/>
      <c r="BO8" s="17"/>
      <c r="BP8" s="17">
        <v>-0.126</v>
      </c>
      <c r="BQ8" s="17">
        <v>216</v>
      </c>
      <c r="BR8" s="36"/>
      <c r="BS8" s="36"/>
      <c r="BT8" s="17"/>
      <c r="BU8" s="17">
        <v>4.0199999999999996</v>
      </c>
      <c r="BV8" s="17" t="s">
        <v>64</v>
      </c>
      <c r="BW8" s="17"/>
      <c r="BX8" s="17">
        <v>109</v>
      </c>
      <c r="BY8" s="17">
        <v>4.04</v>
      </c>
      <c r="BZ8" s="17" t="s">
        <v>33</v>
      </c>
      <c r="CA8" s="17"/>
      <c r="CB8" s="17">
        <v>109</v>
      </c>
      <c r="CC8" s="17">
        <v>0</v>
      </c>
      <c r="CD8" s="37">
        <f>(BP8*SQRT((CB8+BX8)/(CB8*BX8)))</f>
        <v>-1.7067593629260629E-2</v>
      </c>
      <c r="CE8" s="17">
        <v>218</v>
      </c>
      <c r="CF8" s="22">
        <f t="shared" si="0"/>
        <v>-1.7067593629260629E-2</v>
      </c>
      <c r="CG8" s="22">
        <f t="shared" si="1"/>
        <v>-1.8091613063826322E-2</v>
      </c>
      <c r="CI8" s="37">
        <f t="shared" si="2"/>
        <v>1.8349291978789664E-2</v>
      </c>
      <c r="CJ8" s="37">
        <f t="shared" si="3"/>
        <v>1.8349640332910547E-2</v>
      </c>
    </row>
    <row r="9" spans="1:88" s="35" customFormat="1" x14ac:dyDescent="0.35">
      <c r="A9" s="50" t="s">
        <v>73</v>
      </c>
      <c r="B9" s="51" t="s">
        <v>74</v>
      </c>
      <c r="C9" s="50" t="s">
        <v>52</v>
      </c>
      <c r="D9" s="52" t="s">
        <v>75</v>
      </c>
      <c r="E9" s="52" t="s">
        <v>76</v>
      </c>
      <c r="F9" s="20" t="s">
        <v>1109</v>
      </c>
      <c r="G9" s="26">
        <v>0</v>
      </c>
      <c r="H9" s="26">
        <v>1</v>
      </c>
      <c r="I9" s="26">
        <v>1</v>
      </c>
      <c r="J9" s="20" t="s">
        <v>1107</v>
      </c>
      <c r="K9" s="84">
        <v>0</v>
      </c>
      <c r="L9" s="45" t="s">
        <v>77</v>
      </c>
      <c r="M9" s="45">
        <v>1</v>
      </c>
      <c r="N9" s="45">
        <v>7</v>
      </c>
      <c r="O9" s="26">
        <v>297</v>
      </c>
      <c r="P9" s="26" t="s">
        <v>31</v>
      </c>
      <c r="Q9" s="26">
        <v>2</v>
      </c>
      <c r="R9" s="46">
        <v>1</v>
      </c>
      <c r="S9" s="46">
        <v>0</v>
      </c>
      <c r="T9" s="26">
        <v>0</v>
      </c>
      <c r="U9" s="26">
        <v>0</v>
      </c>
      <c r="V9" s="26">
        <v>1</v>
      </c>
      <c r="W9" s="26">
        <v>0</v>
      </c>
      <c r="X9" s="26">
        <v>1</v>
      </c>
      <c r="Y9" s="26">
        <v>0</v>
      </c>
      <c r="Z9" s="26">
        <v>0</v>
      </c>
      <c r="AA9" s="148">
        <v>0</v>
      </c>
      <c r="AB9" s="26">
        <v>1</v>
      </c>
      <c r="AC9" s="26" t="s">
        <v>78</v>
      </c>
      <c r="AD9" s="20">
        <f>(3.5+2.4)/2</f>
        <v>2.95</v>
      </c>
      <c r="AE9" s="26">
        <v>2.5</v>
      </c>
      <c r="AF9" s="26" t="s">
        <v>79</v>
      </c>
      <c r="AG9" s="26">
        <v>1</v>
      </c>
      <c r="AH9" s="26" t="s">
        <v>80</v>
      </c>
      <c r="AI9" s="26">
        <v>85</v>
      </c>
      <c r="AJ9" s="26">
        <v>66</v>
      </c>
      <c r="AK9" s="26">
        <v>46</v>
      </c>
      <c r="AL9" s="26">
        <v>45</v>
      </c>
      <c r="AM9" s="26">
        <v>35</v>
      </c>
      <c r="AN9" s="26">
        <v>49</v>
      </c>
      <c r="AO9" s="47">
        <v>30</v>
      </c>
      <c r="AP9" s="26">
        <v>0</v>
      </c>
      <c r="AQ9" s="26">
        <v>0</v>
      </c>
      <c r="AR9" s="26">
        <v>0</v>
      </c>
      <c r="AS9" s="26">
        <v>0</v>
      </c>
      <c r="AT9" s="26">
        <v>0</v>
      </c>
      <c r="AU9" s="26">
        <v>1</v>
      </c>
      <c r="AV9" s="26">
        <v>1</v>
      </c>
      <c r="AW9" s="26">
        <v>1</v>
      </c>
      <c r="AX9" s="26">
        <v>1</v>
      </c>
      <c r="AY9" s="34" t="s">
        <v>81</v>
      </c>
      <c r="AZ9" s="25" t="s">
        <v>82</v>
      </c>
      <c r="BA9" s="17" t="s">
        <v>83</v>
      </c>
      <c r="BB9" s="35" t="s">
        <v>46</v>
      </c>
      <c r="BC9" s="35" t="s">
        <v>84</v>
      </c>
      <c r="BD9" s="17">
        <v>3</v>
      </c>
      <c r="BE9" s="17">
        <v>7</v>
      </c>
      <c r="BF9" s="17">
        <v>0</v>
      </c>
      <c r="BG9" s="17">
        <v>0</v>
      </c>
      <c r="BH9" s="17">
        <v>1</v>
      </c>
      <c r="BI9" s="17">
        <v>0</v>
      </c>
      <c r="BJ9" s="17">
        <v>0.93</v>
      </c>
      <c r="BK9" s="17">
        <v>0.93</v>
      </c>
      <c r="BL9" s="35" t="s">
        <v>41</v>
      </c>
      <c r="BM9" s="17">
        <v>9</v>
      </c>
      <c r="BN9" s="17"/>
      <c r="BO9" s="17"/>
      <c r="BP9" s="17"/>
      <c r="BQ9" s="17"/>
      <c r="BR9" s="36"/>
      <c r="BS9" s="36"/>
      <c r="BT9" s="17"/>
      <c r="BU9" s="17">
        <v>5.13</v>
      </c>
      <c r="BV9" s="17">
        <v>1.39</v>
      </c>
      <c r="BW9" s="17"/>
      <c r="BX9" s="17">
        <v>148</v>
      </c>
      <c r="BY9" s="17">
        <v>4.2300000000000004</v>
      </c>
      <c r="BZ9" s="17">
        <v>1.2</v>
      </c>
      <c r="CA9" s="17"/>
      <c r="CB9" s="17">
        <v>149</v>
      </c>
      <c r="CC9" s="17">
        <v>1</v>
      </c>
      <c r="CD9" s="37">
        <f t="shared" ref="CD9:CD54" si="4">(BY9-BU9)/SQRT((((CB9-1)*BZ9^2)+((BX9-1)*BV9^2))/((CB9+BX9)-2))</f>
        <v>-0.69328967319393997</v>
      </c>
      <c r="CE9" s="17">
        <v>297</v>
      </c>
      <c r="CF9" s="22">
        <f t="shared" si="0"/>
        <v>-0.69328967319393997</v>
      </c>
      <c r="CG9" s="22">
        <f t="shared" si="1"/>
        <v>-0.71890790155755868</v>
      </c>
      <c r="CI9" s="37">
        <f t="shared" si="2"/>
        <v>1.4277342198112672E-2</v>
      </c>
      <c r="CJ9" s="37">
        <f t="shared" si="3"/>
        <v>1.4753809363978399E-2</v>
      </c>
    </row>
    <row r="10" spans="1:88" s="35" customFormat="1" x14ac:dyDescent="0.35">
      <c r="A10" s="29" t="s">
        <v>85</v>
      </c>
      <c r="B10" s="48" t="s">
        <v>86</v>
      </c>
      <c r="C10" s="29" t="s">
        <v>52</v>
      </c>
      <c r="D10" s="30" t="s">
        <v>87</v>
      </c>
      <c r="E10" s="30" t="s">
        <v>88</v>
      </c>
      <c r="F10" s="11" t="s">
        <v>1109</v>
      </c>
      <c r="G10" s="27">
        <v>0</v>
      </c>
      <c r="H10" s="27">
        <v>1</v>
      </c>
      <c r="I10" s="27">
        <v>1</v>
      </c>
      <c r="J10" s="173" t="s">
        <v>1111</v>
      </c>
      <c r="K10" s="82">
        <v>0</v>
      </c>
      <c r="L10" s="31" t="s">
        <v>89</v>
      </c>
      <c r="M10" s="31">
        <v>1</v>
      </c>
      <c r="N10" s="31">
        <v>4</v>
      </c>
      <c r="O10" s="27">
        <v>279</v>
      </c>
      <c r="P10" s="27" t="s">
        <v>31</v>
      </c>
      <c r="Q10" s="27">
        <v>3</v>
      </c>
      <c r="R10" s="32">
        <v>1</v>
      </c>
      <c r="S10" s="32">
        <v>0</v>
      </c>
      <c r="T10" s="27">
        <v>1</v>
      </c>
      <c r="U10" s="27">
        <v>0</v>
      </c>
      <c r="V10" s="27">
        <v>0</v>
      </c>
      <c r="W10" s="27">
        <v>0</v>
      </c>
      <c r="X10" s="27">
        <v>0</v>
      </c>
      <c r="Y10" s="27">
        <v>1</v>
      </c>
      <c r="Z10" s="27">
        <v>0</v>
      </c>
      <c r="AA10" s="178">
        <v>1</v>
      </c>
      <c r="AB10" s="27">
        <v>1</v>
      </c>
      <c r="AC10" s="27" t="s">
        <v>90</v>
      </c>
      <c r="AD10" s="11">
        <v>2.5</v>
      </c>
      <c r="AE10" s="27">
        <v>2.5</v>
      </c>
      <c r="AF10" s="27" t="s">
        <v>92</v>
      </c>
      <c r="AG10" s="27">
        <v>0</v>
      </c>
      <c r="AH10" s="27" t="s">
        <v>35</v>
      </c>
      <c r="AI10" s="27">
        <v>46</v>
      </c>
      <c r="AJ10" s="27">
        <v>40</v>
      </c>
      <c r="AK10" s="27">
        <v>60</v>
      </c>
      <c r="AL10" s="27">
        <v>62</v>
      </c>
      <c r="AM10" s="27">
        <v>50</v>
      </c>
      <c r="AN10" s="27">
        <v>68</v>
      </c>
      <c r="AO10" s="33">
        <v>23.02</v>
      </c>
      <c r="AP10" s="27">
        <v>0</v>
      </c>
      <c r="AQ10" s="27">
        <v>0</v>
      </c>
      <c r="AR10" s="27">
        <v>1</v>
      </c>
      <c r="AS10" s="27">
        <v>0</v>
      </c>
      <c r="AT10" s="27">
        <v>0</v>
      </c>
      <c r="AU10" s="27">
        <v>0</v>
      </c>
      <c r="AV10" s="27">
        <v>1</v>
      </c>
      <c r="AW10" s="27">
        <v>1</v>
      </c>
      <c r="AX10" s="27">
        <v>1</v>
      </c>
      <c r="AY10" s="34" t="s">
        <v>93</v>
      </c>
      <c r="AZ10" s="25" t="s">
        <v>94</v>
      </c>
      <c r="BA10" s="17" t="s">
        <v>61</v>
      </c>
      <c r="BB10" s="35" t="s">
        <v>95</v>
      </c>
      <c r="BC10" s="35" t="s">
        <v>96</v>
      </c>
      <c r="BD10" s="17">
        <v>3</v>
      </c>
      <c r="BE10" s="17">
        <v>7</v>
      </c>
      <c r="BF10" s="17">
        <v>0</v>
      </c>
      <c r="BG10" s="17">
        <v>0</v>
      </c>
      <c r="BH10" s="17">
        <v>1</v>
      </c>
      <c r="BI10" s="17">
        <v>0</v>
      </c>
      <c r="BJ10" s="17">
        <v>0.78</v>
      </c>
      <c r="BK10" s="17">
        <v>0.78</v>
      </c>
      <c r="BL10" s="35" t="s">
        <v>97</v>
      </c>
      <c r="BM10" s="17">
        <v>5</v>
      </c>
      <c r="BN10" s="17"/>
      <c r="BO10" s="17"/>
      <c r="BP10" s="17"/>
      <c r="BQ10" s="17"/>
      <c r="BR10" s="36"/>
      <c r="BS10" s="36"/>
      <c r="BT10" s="17"/>
      <c r="BU10" s="17">
        <v>5.36</v>
      </c>
      <c r="BV10" s="22">
        <f>(BW10*(SQRT(BX10-1)))</f>
        <v>1.311902435396779</v>
      </c>
      <c r="BW10" s="17">
        <v>0.14399999999999999</v>
      </c>
      <c r="BX10" s="17">
        <v>84</v>
      </c>
      <c r="BY10" s="17">
        <v>5.72</v>
      </c>
      <c r="BZ10" s="22">
        <f>(CA10*(SQRT(CB10-1)))</f>
        <v>1.4616429112474771</v>
      </c>
      <c r="CA10" s="17">
        <v>0.14000000000000001</v>
      </c>
      <c r="CB10" s="17">
        <v>110</v>
      </c>
      <c r="CC10" s="17">
        <v>1</v>
      </c>
      <c r="CD10" s="37">
        <f t="shared" si="4"/>
        <v>0.25734881313570024</v>
      </c>
      <c r="CE10" s="17">
        <v>194</v>
      </c>
      <c r="CF10" s="22">
        <f t="shared" si="0"/>
        <v>0.25734881313570024</v>
      </c>
      <c r="CG10" s="22">
        <f t="shared" si="1"/>
        <v>0.29139015087792247</v>
      </c>
      <c r="CI10" s="37">
        <f t="shared" si="2"/>
        <v>2.1166362778202833E-2</v>
      </c>
      <c r="CJ10" s="37">
        <f t="shared" si="3"/>
        <v>2.1288457961287057E-2</v>
      </c>
    </row>
    <row r="11" spans="1:88" s="35" customFormat="1" x14ac:dyDescent="0.35">
      <c r="A11" s="38" t="s">
        <v>85</v>
      </c>
      <c r="B11" s="39" t="s">
        <v>86</v>
      </c>
      <c r="C11" s="38" t="s">
        <v>52</v>
      </c>
      <c r="D11" s="39" t="s">
        <v>87</v>
      </c>
      <c r="E11" s="39" t="s">
        <v>98</v>
      </c>
      <c r="F11" s="18" t="s">
        <v>1109</v>
      </c>
      <c r="G11" s="28">
        <v>0</v>
      </c>
      <c r="H11" s="28">
        <v>1</v>
      </c>
      <c r="I11" s="28">
        <v>1</v>
      </c>
      <c r="J11" s="18" t="s">
        <v>1111</v>
      </c>
      <c r="K11" s="83">
        <v>0</v>
      </c>
      <c r="L11" s="40" t="s">
        <v>89</v>
      </c>
      <c r="M11" s="40">
        <v>1</v>
      </c>
      <c r="N11" s="40">
        <v>4</v>
      </c>
      <c r="O11" s="28">
        <v>279</v>
      </c>
      <c r="P11" s="28" t="s">
        <v>31</v>
      </c>
      <c r="Q11" s="28">
        <v>3</v>
      </c>
      <c r="R11" s="41">
        <v>2</v>
      </c>
      <c r="S11" s="41">
        <v>0</v>
      </c>
      <c r="T11" s="28">
        <v>0</v>
      </c>
      <c r="U11" s="28">
        <v>1</v>
      </c>
      <c r="V11" s="28">
        <v>0</v>
      </c>
      <c r="W11" s="28">
        <v>0</v>
      </c>
      <c r="X11" s="28">
        <v>0</v>
      </c>
      <c r="Y11" s="28">
        <v>0</v>
      </c>
      <c r="Z11" s="28">
        <v>1</v>
      </c>
      <c r="AA11" s="148">
        <v>0</v>
      </c>
      <c r="AB11" s="28">
        <v>1</v>
      </c>
      <c r="AC11" s="28" t="s">
        <v>90</v>
      </c>
      <c r="AD11" s="18">
        <v>2.5</v>
      </c>
      <c r="AE11" s="28">
        <v>2.5</v>
      </c>
      <c r="AF11" s="28" t="s">
        <v>92</v>
      </c>
      <c r="AG11" s="28">
        <v>0</v>
      </c>
      <c r="AH11" s="28" t="s">
        <v>35</v>
      </c>
      <c r="AI11" s="28">
        <v>46</v>
      </c>
      <c r="AJ11" s="28">
        <v>40</v>
      </c>
      <c r="AK11" s="28">
        <v>60</v>
      </c>
      <c r="AL11" s="28">
        <v>62</v>
      </c>
      <c r="AM11" s="28">
        <v>50</v>
      </c>
      <c r="AN11" s="28">
        <v>68</v>
      </c>
      <c r="AO11" s="42">
        <v>23.02</v>
      </c>
      <c r="AP11" s="28">
        <v>0</v>
      </c>
      <c r="AQ11" s="28">
        <v>0</v>
      </c>
      <c r="AR11" s="28">
        <v>1</v>
      </c>
      <c r="AS11" s="28">
        <v>0</v>
      </c>
      <c r="AT11" s="28">
        <v>0</v>
      </c>
      <c r="AU11" s="28">
        <v>0</v>
      </c>
      <c r="AV11" s="28">
        <v>1</v>
      </c>
      <c r="AW11" s="28">
        <v>1</v>
      </c>
      <c r="AX11" s="28">
        <v>1</v>
      </c>
      <c r="AY11" s="34" t="s">
        <v>99</v>
      </c>
      <c r="AZ11" s="25" t="s">
        <v>94</v>
      </c>
      <c r="BA11" s="17" t="s">
        <v>61</v>
      </c>
      <c r="BB11" s="35" t="s">
        <v>95</v>
      </c>
      <c r="BC11" s="35" t="s">
        <v>96</v>
      </c>
      <c r="BD11" s="17">
        <v>3</v>
      </c>
      <c r="BE11" s="17">
        <v>7</v>
      </c>
      <c r="BF11" s="17">
        <v>0</v>
      </c>
      <c r="BG11" s="17">
        <v>0</v>
      </c>
      <c r="BH11" s="17">
        <v>1</v>
      </c>
      <c r="BI11" s="17">
        <v>0</v>
      </c>
      <c r="BJ11" s="17">
        <v>0.78</v>
      </c>
      <c r="BK11" s="17">
        <v>0.78</v>
      </c>
      <c r="BL11" s="35" t="s">
        <v>97</v>
      </c>
      <c r="BM11" s="17">
        <v>5</v>
      </c>
      <c r="BN11" s="17"/>
      <c r="BO11" s="17"/>
      <c r="BP11" s="17"/>
      <c r="BQ11" s="17"/>
      <c r="BR11" s="36"/>
      <c r="BS11" s="36"/>
      <c r="BT11" s="17"/>
      <c r="BU11" s="17">
        <v>5.36</v>
      </c>
      <c r="BV11" s="22">
        <f>(BW11*(SQRT(BX11-1)))</f>
        <v>1.311902435396779</v>
      </c>
      <c r="BW11" s="17">
        <v>0.14399999999999999</v>
      </c>
      <c r="BX11" s="17">
        <v>84</v>
      </c>
      <c r="BY11" s="17">
        <v>5.38</v>
      </c>
      <c r="BZ11" s="22">
        <f>(CA11*(SQRT(CB11-1)))</f>
        <v>1.3564424057069284</v>
      </c>
      <c r="CA11" s="17">
        <v>0.14799999999999999</v>
      </c>
      <c r="CB11" s="17">
        <v>85</v>
      </c>
      <c r="CC11" s="17">
        <v>0</v>
      </c>
      <c r="CD11" s="37">
        <f t="shared" si="4"/>
        <v>1.4986980801923707E-2</v>
      </c>
      <c r="CE11" s="17">
        <v>169</v>
      </c>
      <c r="CF11" s="22">
        <f t="shared" si="0"/>
        <v>1.4986980801923707E-2</v>
      </c>
      <c r="CG11" s="22">
        <f t="shared" si="1"/>
        <v>1.6969414173184171E-2</v>
      </c>
      <c r="CI11" s="37">
        <f t="shared" si="2"/>
        <v>2.3670132312539571E-2</v>
      </c>
      <c r="CJ11" s="37">
        <f t="shared" si="3"/>
        <v>2.3670667624687267E-2</v>
      </c>
    </row>
    <row r="12" spans="1:88" s="35" customFormat="1" ht="17.149999999999999" customHeight="1" x14ac:dyDescent="0.35">
      <c r="A12" s="29" t="s">
        <v>100</v>
      </c>
      <c r="B12" s="48" t="s">
        <v>101</v>
      </c>
      <c r="C12" s="29" t="s">
        <v>102</v>
      </c>
      <c r="D12" s="30" t="s">
        <v>103</v>
      </c>
      <c r="E12" s="30" t="s">
        <v>104</v>
      </c>
      <c r="F12" s="11" t="s">
        <v>1109</v>
      </c>
      <c r="G12" s="27">
        <v>1</v>
      </c>
      <c r="H12" s="27">
        <v>1</v>
      </c>
      <c r="I12" s="27">
        <v>1</v>
      </c>
      <c r="J12" s="11" t="s">
        <v>1111</v>
      </c>
      <c r="K12" s="82">
        <v>0</v>
      </c>
      <c r="L12" s="31" t="s">
        <v>89</v>
      </c>
      <c r="M12" s="31">
        <v>1</v>
      </c>
      <c r="N12" s="31">
        <v>59</v>
      </c>
      <c r="O12" s="27">
        <v>279</v>
      </c>
      <c r="P12" s="27" t="s">
        <v>31</v>
      </c>
      <c r="Q12" s="27">
        <v>3</v>
      </c>
      <c r="R12" s="32">
        <v>1</v>
      </c>
      <c r="S12" s="151">
        <v>0</v>
      </c>
      <c r="T12" s="27">
        <v>1</v>
      </c>
      <c r="U12" s="27">
        <v>0</v>
      </c>
      <c r="V12" s="27">
        <v>0</v>
      </c>
      <c r="W12" s="27">
        <v>0</v>
      </c>
      <c r="X12" s="27">
        <v>0</v>
      </c>
      <c r="Y12" s="27">
        <v>1</v>
      </c>
      <c r="Z12" s="27">
        <v>0</v>
      </c>
      <c r="AA12" s="178">
        <v>1</v>
      </c>
      <c r="AB12" s="27">
        <v>1</v>
      </c>
      <c r="AC12" s="27" t="s">
        <v>90</v>
      </c>
      <c r="AD12" s="11">
        <v>2.5</v>
      </c>
      <c r="AE12" s="27">
        <v>2.5</v>
      </c>
      <c r="AF12" s="27" t="s">
        <v>92</v>
      </c>
      <c r="AG12" s="27">
        <v>0</v>
      </c>
      <c r="AH12" s="27" t="s">
        <v>35</v>
      </c>
      <c r="AI12" s="27">
        <v>46</v>
      </c>
      <c r="AJ12" s="27">
        <v>40</v>
      </c>
      <c r="AK12" s="27">
        <v>60</v>
      </c>
      <c r="AL12" s="27">
        <v>62</v>
      </c>
      <c r="AM12" s="27">
        <v>50</v>
      </c>
      <c r="AN12" s="27">
        <v>68</v>
      </c>
      <c r="AO12" s="33">
        <v>23.02</v>
      </c>
      <c r="AP12" s="27">
        <v>0</v>
      </c>
      <c r="AQ12" s="27">
        <v>0</v>
      </c>
      <c r="AR12" s="27">
        <v>1</v>
      </c>
      <c r="AS12" s="27">
        <v>0</v>
      </c>
      <c r="AT12" s="27">
        <v>0</v>
      </c>
      <c r="AU12" s="27">
        <v>0</v>
      </c>
      <c r="AV12" s="27">
        <v>1</v>
      </c>
      <c r="AW12" s="27">
        <v>1</v>
      </c>
      <c r="AX12" s="27">
        <v>1</v>
      </c>
      <c r="AY12" s="34" t="s">
        <v>105</v>
      </c>
      <c r="AZ12" s="25" t="s">
        <v>94</v>
      </c>
      <c r="BA12" s="17" t="s">
        <v>61</v>
      </c>
      <c r="BB12" s="35" t="s">
        <v>106</v>
      </c>
      <c r="BC12" s="35" t="s">
        <v>107</v>
      </c>
      <c r="BD12" s="17">
        <v>12</v>
      </c>
      <c r="BE12" s="17">
        <v>7</v>
      </c>
      <c r="BF12" s="17">
        <v>1</v>
      </c>
      <c r="BG12" s="17">
        <v>1</v>
      </c>
      <c r="BH12" s="17">
        <v>0</v>
      </c>
      <c r="BI12" s="17">
        <v>0</v>
      </c>
      <c r="BJ12" s="17">
        <v>0.92</v>
      </c>
      <c r="BK12" s="17">
        <v>0.92</v>
      </c>
      <c r="BL12" s="35" t="s">
        <v>97</v>
      </c>
      <c r="BM12" s="17">
        <v>60</v>
      </c>
      <c r="BN12" s="17"/>
      <c r="BO12" s="17"/>
      <c r="BP12" s="17"/>
      <c r="BQ12" s="17"/>
      <c r="BR12" s="36"/>
      <c r="BS12" s="36"/>
      <c r="BT12" s="17"/>
      <c r="BU12" s="17">
        <v>4.47</v>
      </c>
      <c r="BV12" s="22">
        <v>1.03</v>
      </c>
      <c r="BW12" s="17"/>
      <c r="BX12" s="17">
        <v>84</v>
      </c>
      <c r="BY12" s="17">
        <v>5.24</v>
      </c>
      <c r="BZ12" s="22">
        <v>0.92</v>
      </c>
      <c r="CA12" s="17"/>
      <c r="CB12" s="17">
        <v>110</v>
      </c>
      <c r="CC12" s="17">
        <v>1</v>
      </c>
      <c r="CD12" s="37">
        <f t="shared" si="4"/>
        <v>0.79456359522022146</v>
      </c>
      <c r="CE12" s="17">
        <v>194</v>
      </c>
      <c r="CF12" s="22">
        <f t="shared" si="0"/>
        <v>0.79456359522022146</v>
      </c>
      <c r="CG12" s="22">
        <f t="shared" si="1"/>
        <v>0.82838981244213605</v>
      </c>
      <c r="CI12" s="37">
        <f t="shared" si="2"/>
        <v>2.2622813539096984E-2</v>
      </c>
      <c r="CJ12" s="37">
        <f t="shared" si="3"/>
        <v>2.3361980241732777E-2</v>
      </c>
    </row>
    <row r="13" spans="1:88" s="35" customFormat="1" ht="14.15" customHeight="1" x14ac:dyDescent="0.35">
      <c r="A13" s="38" t="s">
        <v>100</v>
      </c>
      <c r="B13" s="49" t="s">
        <v>101</v>
      </c>
      <c r="C13" s="38" t="s">
        <v>102</v>
      </c>
      <c r="D13" s="39" t="s">
        <v>103</v>
      </c>
      <c r="E13" s="39" t="s">
        <v>104</v>
      </c>
      <c r="F13" s="18" t="s">
        <v>1109</v>
      </c>
      <c r="G13" s="28">
        <v>1</v>
      </c>
      <c r="H13" s="28">
        <v>1</v>
      </c>
      <c r="I13" s="28">
        <v>1</v>
      </c>
      <c r="J13" s="18" t="s">
        <v>1111</v>
      </c>
      <c r="K13" s="83">
        <v>0</v>
      </c>
      <c r="L13" s="40" t="s">
        <v>89</v>
      </c>
      <c r="M13" s="40">
        <v>1</v>
      </c>
      <c r="N13" s="40">
        <v>59</v>
      </c>
      <c r="O13" s="28">
        <v>279</v>
      </c>
      <c r="P13" s="28" t="s">
        <v>31</v>
      </c>
      <c r="Q13" s="28">
        <v>3</v>
      </c>
      <c r="R13" s="41">
        <v>1</v>
      </c>
      <c r="S13" s="41">
        <v>0</v>
      </c>
      <c r="T13" s="28">
        <v>0</v>
      </c>
      <c r="U13" s="28">
        <v>1</v>
      </c>
      <c r="V13" s="28">
        <v>0</v>
      </c>
      <c r="W13" s="28">
        <v>0</v>
      </c>
      <c r="X13" s="28">
        <v>0</v>
      </c>
      <c r="Y13" s="28">
        <v>0</v>
      </c>
      <c r="Z13" s="28">
        <v>1</v>
      </c>
      <c r="AA13" s="148">
        <v>0</v>
      </c>
      <c r="AB13" s="28">
        <v>1</v>
      </c>
      <c r="AC13" s="28" t="s">
        <v>90</v>
      </c>
      <c r="AD13" s="18">
        <v>2.5</v>
      </c>
      <c r="AE13" s="28">
        <v>2.5</v>
      </c>
      <c r="AF13" s="28" t="s">
        <v>92</v>
      </c>
      <c r="AG13" s="28">
        <v>0</v>
      </c>
      <c r="AH13" s="28" t="s">
        <v>35</v>
      </c>
      <c r="AI13" s="28">
        <v>46</v>
      </c>
      <c r="AJ13" s="28">
        <v>40</v>
      </c>
      <c r="AK13" s="28">
        <v>60</v>
      </c>
      <c r="AL13" s="28">
        <v>62</v>
      </c>
      <c r="AM13" s="28">
        <v>50</v>
      </c>
      <c r="AN13" s="28">
        <v>68</v>
      </c>
      <c r="AO13" s="42">
        <v>23.02</v>
      </c>
      <c r="AP13" s="28">
        <v>0</v>
      </c>
      <c r="AQ13" s="28">
        <v>0</v>
      </c>
      <c r="AR13" s="28">
        <v>1</v>
      </c>
      <c r="AS13" s="28">
        <v>0</v>
      </c>
      <c r="AT13" s="28">
        <v>0</v>
      </c>
      <c r="AU13" s="28">
        <v>0</v>
      </c>
      <c r="AV13" s="28">
        <v>1</v>
      </c>
      <c r="AW13" s="28">
        <v>1</v>
      </c>
      <c r="AX13" s="28">
        <v>1</v>
      </c>
      <c r="AY13" s="34" t="s">
        <v>108</v>
      </c>
      <c r="AZ13" s="25" t="s">
        <v>94</v>
      </c>
      <c r="BA13" s="17" t="s">
        <v>61</v>
      </c>
      <c r="BB13" s="35" t="s">
        <v>106</v>
      </c>
      <c r="BC13" s="53" t="s">
        <v>107</v>
      </c>
      <c r="BD13" s="17">
        <v>12</v>
      </c>
      <c r="BE13" s="17">
        <v>7</v>
      </c>
      <c r="BF13" s="17">
        <v>1</v>
      </c>
      <c r="BG13" s="17">
        <v>1</v>
      </c>
      <c r="BH13" s="17">
        <v>0</v>
      </c>
      <c r="BI13" s="17">
        <v>0</v>
      </c>
      <c r="BJ13" s="17">
        <v>0.92</v>
      </c>
      <c r="BK13" s="17">
        <v>0.92</v>
      </c>
      <c r="BL13" s="35" t="s">
        <v>97</v>
      </c>
      <c r="BM13" s="17">
        <v>60</v>
      </c>
      <c r="BN13" s="17"/>
      <c r="BO13" s="17"/>
      <c r="BP13" s="17"/>
      <c r="BQ13" s="17"/>
      <c r="BR13" s="36"/>
      <c r="BS13" s="36"/>
      <c r="BT13" s="17"/>
      <c r="BU13" s="17">
        <v>4.47</v>
      </c>
      <c r="BV13" s="17">
        <v>1.03</v>
      </c>
      <c r="BW13" s="17"/>
      <c r="BX13" s="17">
        <v>84</v>
      </c>
      <c r="BY13" s="17">
        <v>4.5599999999999996</v>
      </c>
      <c r="BZ13" s="17">
        <v>0.91</v>
      </c>
      <c r="CA13" s="17"/>
      <c r="CB13" s="17">
        <v>85</v>
      </c>
      <c r="CC13" s="17">
        <v>0</v>
      </c>
      <c r="CD13" s="37">
        <f t="shared" si="4"/>
        <v>9.2640701306496015E-2</v>
      </c>
      <c r="CE13" s="17">
        <v>169</v>
      </c>
      <c r="CF13" s="22">
        <f t="shared" si="0"/>
        <v>9.2640701306496015E-2</v>
      </c>
      <c r="CG13" s="22">
        <f t="shared" si="1"/>
        <v>9.6584607753802482E-2</v>
      </c>
      <c r="CI13" s="37">
        <f t="shared" si="2"/>
        <v>2.3694859205867981E-2</v>
      </c>
      <c r="CJ13" s="37">
        <f t="shared" si="3"/>
        <v>2.3708336897343828E-2</v>
      </c>
    </row>
    <row r="14" spans="1:88" s="35" customFormat="1" x14ac:dyDescent="0.35">
      <c r="A14" s="29" t="s">
        <v>109</v>
      </c>
      <c r="B14" s="48" t="s">
        <v>110</v>
      </c>
      <c r="C14" s="29" t="s">
        <v>111</v>
      </c>
      <c r="D14" s="30" t="s">
        <v>112</v>
      </c>
      <c r="E14" s="30" t="s">
        <v>113</v>
      </c>
      <c r="F14" s="12" t="s">
        <v>1108</v>
      </c>
      <c r="G14" s="27">
        <v>0</v>
      </c>
      <c r="H14" s="27">
        <v>0</v>
      </c>
      <c r="I14" s="27">
        <v>1</v>
      </c>
      <c r="J14" s="11" t="s">
        <v>1106</v>
      </c>
      <c r="K14" s="82">
        <v>0</v>
      </c>
      <c r="L14" s="31" t="s">
        <v>114</v>
      </c>
      <c r="M14" s="31">
        <v>1</v>
      </c>
      <c r="N14" s="31">
        <v>38</v>
      </c>
      <c r="O14" s="27">
        <v>199</v>
      </c>
      <c r="P14" s="27" t="s">
        <v>31</v>
      </c>
      <c r="Q14" s="27">
        <v>3</v>
      </c>
      <c r="R14" s="32">
        <v>1</v>
      </c>
      <c r="S14" s="32">
        <v>0</v>
      </c>
      <c r="T14" s="27">
        <v>0</v>
      </c>
      <c r="U14" s="27">
        <v>1</v>
      </c>
      <c r="V14" s="27">
        <v>0</v>
      </c>
      <c r="W14" s="27">
        <v>0</v>
      </c>
      <c r="X14" s="27">
        <v>0</v>
      </c>
      <c r="Y14" s="27">
        <v>0</v>
      </c>
      <c r="Z14" s="27">
        <v>1</v>
      </c>
      <c r="AA14" s="146">
        <v>1</v>
      </c>
      <c r="AB14" s="17">
        <v>0</v>
      </c>
      <c r="AC14" s="27" t="s">
        <v>115</v>
      </c>
      <c r="AD14" s="12">
        <v>3.4</v>
      </c>
      <c r="AE14" s="27">
        <v>2.2000000000000002</v>
      </c>
      <c r="AF14" s="27" t="s">
        <v>116</v>
      </c>
      <c r="AG14" s="27">
        <v>1</v>
      </c>
      <c r="AH14" s="27" t="s">
        <v>35</v>
      </c>
      <c r="AI14" s="27">
        <v>46</v>
      </c>
      <c r="AJ14" s="27">
        <v>40</v>
      </c>
      <c r="AK14" s="27">
        <v>60</v>
      </c>
      <c r="AL14" s="27">
        <v>62</v>
      </c>
      <c r="AM14" s="27">
        <v>50</v>
      </c>
      <c r="AN14" s="27">
        <v>68</v>
      </c>
      <c r="AO14" s="33">
        <v>22.32</v>
      </c>
      <c r="AP14" s="27">
        <v>0</v>
      </c>
      <c r="AQ14" s="27">
        <v>0</v>
      </c>
      <c r="AR14" s="27">
        <v>0</v>
      </c>
      <c r="AS14" s="27">
        <v>0</v>
      </c>
      <c r="AT14" s="27">
        <v>0</v>
      </c>
      <c r="AU14" s="27">
        <v>1</v>
      </c>
      <c r="AV14" s="27">
        <v>0</v>
      </c>
      <c r="AW14" s="27">
        <v>1</v>
      </c>
      <c r="AX14" s="27">
        <v>1</v>
      </c>
      <c r="AY14" s="34" t="s">
        <v>117</v>
      </c>
      <c r="AZ14" s="25" t="s">
        <v>118</v>
      </c>
      <c r="BA14" s="17" t="s">
        <v>119</v>
      </c>
      <c r="BB14" s="35" t="s">
        <v>120</v>
      </c>
      <c r="BC14" s="35" t="s">
        <v>121</v>
      </c>
      <c r="BD14" s="17">
        <v>3</v>
      </c>
      <c r="BE14" s="17">
        <v>7</v>
      </c>
      <c r="BF14" s="17">
        <v>1</v>
      </c>
      <c r="BG14" s="17">
        <v>1</v>
      </c>
      <c r="BH14" s="17">
        <v>0</v>
      </c>
      <c r="BI14" s="17">
        <v>0</v>
      </c>
      <c r="BJ14" s="17">
        <v>0.88</v>
      </c>
      <c r="BK14" s="17">
        <v>0.88</v>
      </c>
      <c r="BL14" s="35" t="s">
        <v>41</v>
      </c>
      <c r="BM14" s="17">
        <v>71</v>
      </c>
      <c r="BN14" s="17"/>
      <c r="BO14" s="17"/>
      <c r="BP14" s="17"/>
      <c r="BQ14" s="17"/>
      <c r="BR14" s="36"/>
      <c r="BS14" s="36"/>
      <c r="BT14" s="17"/>
      <c r="BU14" s="17">
        <v>5.84</v>
      </c>
      <c r="BV14" s="17">
        <v>0.95</v>
      </c>
      <c r="BW14" s="17"/>
      <c r="BX14" s="17">
        <v>103</v>
      </c>
      <c r="BY14" s="17">
        <v>5.37</v>
      </c>
      <c r="BZ14" s="17">
        <v>1.31</v>
      </c>
      <c r="CA14" s="17"/>
      <c r="CB14" s="17">
        <v>96</v>
      </c>
      <c r="CC14" s="17">
        <v>1</v>
      </c>
      <c r="CD14" s="37">
        <f t="shared" si="4"/>
        <v>-0.41303697948829227</v>
      </c>
      <c r="CE14" s="17">
        <v>199</v>
      </c>
      <c r="CF14" s="22">
        <f t="shared" si="0"/>
        <v>-0.41303697948829227</v>
      </c>
      <c r="CG14" s="22">
        <f t="shared" si="1"/>
        <v>-0.44029889954130741</v>
      </c>
      <c r="CI14" s="37">
        <f t="shared" si="2"/>
        <v>2.0554046607188587E-2</v>
      </c>
      <c r="CJ14" s="37">
        <f t="shared" si="3"/>
        <v>2.0865340106840848E-2</v>
      </c>
    </row>
    <row r="15" spans="1:88" s="35" customFormat="1" x14ac:dyDescent="0.35">
      <c r="A15" s="29" t="s">
        <v>109</v>
      </c>
      <c r="B15" s="48" t="s">
        <v>110</v>
      </c>
      <c r="C15" s="29" t="s">
        <v>111</v>
      </c>
      <c r="D15" s="30" t="s">
        <v>112</v>
      </c>
      <c r="E15" s="30" t="s">
        <v>113</v>
      </c>
      <c r="F15" s="11" t="s">
        <v>1108</v>
      </c>
      <c r="G15" s="27">
        <v>0</v>
      </c>
      <c r="H15" s="27">
        <v>0</v>
      </c>
      <c r="I15" s="27">
        <v>1</v>
      </c>
      <c r="J15" s="11" t="s">
        <v>1106</v>
      </c>
      <c r="K15" s="82">
        <v>0</v>
      </c>
      <c r="L15" s="31" t="s">
        <v>114</v>
      </c>
      <c r="M15" s="31">
        <v>1</v>
      </c>
      <c r="N15" s="31">
        <v>38</v>
      </c>
      <c r="O15" s="27">
        <v>199</v>
      </c>
      <c r="P15" s="27" t="s">
        <v>31</v>
      </c>
      <c r="Q15" s="27">
        <v>3</v>
      </c>
      <c r="R15" s="32">
        <v>1</v>
      </c>
      <c r="S15" s="32">
        <v>0</v>
      </c>
      <c r="T15" s="27">
        <v>0</v>
      </c>
      <c r="U15" s="27">
        <v>1</v>
      </c>
      <c r="V15" s="27">
        <v>0</v>
      </c>
      <c r="W15" s="27">
        <v>0</v>
      </c>
      <c r="X15" s="27">
        <v>0</v>
      </c>
      <c r="Y15" s="27">
        <v>0</v>
      </c>
      <c r="Z15" s="27">
        <v>1</v>
      </c>
      <c r="AA15" s="178">
        <v>1</v>
      </c>
      <c r="AB15" s="27">
        <v>0</v>
      </c>
      <c r="AC15" s="27" t="s">
        <v>115</v>
      </c>
      <c r="AD15" s="11">
        <v>3.4</v>
      </c>
      <c r="AE15" s="27">
        <v>2.2000000000000002</v>
      </c>
      <c r="AF15" s="27" t="s">
        <v>116</v>
      </c>
      <c r="AG15" s="27">
        <v>1</v>
      </c>
      <c r="AH15" s="27" t="s">
        <v>35</v>
      </c>
      <c r="AI15" s="27">
        <v>46</v>
      </c>
      <c r="AJ15" s="27">
        <v>40</v>
      </c>
      <c r="AK15" s="27">
        <v>60</v>
      </c>
      <c r="AL15" s="27">
        <v>62</v>
      </c>
      <c r="AM15" s="27">
        <v>50</v>
      </c>
      <c r="AN15" s="27">
        <v>68</v>
      </c>
      <c r="AO15" s="33">
        <v>22.32</v>
      </c>
      <c r="AP15" s="27">
        <v>0</v>
      </c>
      <c r="AQ15" s="27">
        <v>0</v>
      </c>
      <c r="AR15" s="27">
        <v>0</v>
      </c>
      <c r="AS15" s="27">
        <v>0</v>
      </c>
      <c r="AT15" s="27">
        <v>0</v>
      </c>
      <c r="AU15" s="27">
        <v>1</v>
      </c>
      <c r="AV15" s="27">
        <v>0</v>
      </c>
      <c r="AW15" s="27">
        <v>1</v>
      </c>
      <c r="AX15" s="27">
        <v>1</v>
      </c>
      <c r="AY15" s="34" t="s">
        <v>122</v>
      </c>
      <c r="AZ15" s="25" t="s">
        <v>118</v>
      </c>
      <c r="BA15" s="17" t="s">
        <v>119</v>
      </c>
      <c r="BB15" s="35" t="s">
        <v>123</v>
      </c>
      <c r="BC15" s="35" t="s">
        <v>124</v>
      </c>
      <c r="BD15" s="17">
        <v>4</v>
      </c>
      <c r="BE15" s="17">
        <v>7</v>
      </c>
      <c r="BF15" s="17">
        <v>1</v>
      </c>
      <c r="BG15" s="17">
        <v>1</v>
      </c>
      <c r="BH15" s="17">
        <v>0</v>
      </c>
      <c r="BI15" s="17">
        <v>0</v>
      </c>
      <c r="BJ15" s="17">
        <v>0.95</v>
      </c>
      <c r="BK15" s="17">
        <v>0.95</v>
      </c>
      <c r="BL15" s="35" t="s">
        <v>41</v>
      </c>
      <c r="BM15" s="17">
        <v>71</v>
      </c>
      <c r="BN15" s="17"/>
      <c r="BO15" s="17"/>
      <c r="BP15" s="17"/>
      <c r="BQ15" s="17"/>
      <c r="BR15" s="36"/>
      <c r="BS15" s="36"/>
      <c r="BT15" s="17"/>
      <c r="BU15" s="17">
        <v>5.86</v>
      </c>
      <c r="BV15" s="17">
        <v>1.26</v>
      </c>
      <c r="BW15" s="17"/>
      <c r="BX15" s="17">
        <v>103</v>
      </c>
      <c r="BY15" s="17">
        <v>6.3</v>
      </c>
      <c r="BZ15" s="17">
        <v>1.02</v>
      </c>
      <c r="CA15" s="17"/>
      <c r="CB15" s="17">
        <v>96</v>
      </c>
      <c r="CC15" s="17">
        <v>1</v>
      </c>
      <c r="CD15" s="37">
        <f t="shared" si="4"/>
        <v>0.38243207632532794</v>
      </c>
      <c r="CE15" s="17">
        <v>199</v>
      </c>
      <c r="CF15" s="22">
        <f t="shared" si="0"/>
        <v>0.38243207632532794</v>
      </c>
      <c r="CG15" s="22">
        <f t="shared" si="1"/>
        <v>0.39236703145276386</v>
      </c>
      <c r="CI15" s="37">
        <f t="shared" si="2"/>
        <v>2.0492877628740573E-2</v>
      </c>
      <c r="CJ15" s="37">
        <f t="shared" si="3"/>
        <v>2.0713007154297979E-2</v>
      </c>
    </row>
    <row r="16" spans="1:88" s="35" customFormat="1" x14ac:dyDescent="0.35">
      <c r="A16" s="43" t="s">
        <v>109</v>
      </c>
      <c r="B16" s="44" t="s">
        <v>110</v>
      </c>
      <c r="C16" s="43" t="s">
        <v>111</v>
      </c>
      <c r="D16" s="35" t="s">
        <v>112</v>
      </c>
      <c r="E16" s="35" t="s">
        <v>113</v>
      </c>
      <c r="F16" s="12" t="s">
        <v>1108</v>
      </c>
      <c r="G16" s="17">
        <v>0</v>
      </c>
      <c r="H16" s="17">
        <v>0</v>
      </c>
      <c r="I16" s="17">
        <v>1</v>
      </c>
      <c r="J16" s="11" t="s">
        <v>1106</v>
      </c>
      <c r="K16" s="82">
        <v>0</v>
      </c>
      <c r="L16" s="31" t="s">
        <v>114</v>
      </c>
      <c r="M16" s="31">
        <v>1</v>
      </c>
      <c r="N16" s="31">
        <v>38</v>
      </c>
      <c r="O16" s="27">
        <v>199</v>
      </c>
      <c r="P16" s="27" t="s">
        <v>31</v>
      </c>
      <c r="Q16" s="27">
        <v>3</v>
      </c>
      <c r="R16" s="32">
        <v>1</v>
      </c>
      <c r="S16" s="32">
        <v>0</v>
      </c>
      <c r="T16" s="27">
        <v>0</v>
      </c>
      <c r="U16" s="27">
        <v>1</v>
      </c>
      <c r="V16" s="27">
        <v>0</v>
      </c>
      <c r="W16" s="27">
        <v>0</v>
      </c>
      <c r="X16" s="27">
        <v>0</v>
      </c>
      <c r="Y16" s="27">
        <v>0</v>
      </c>
      <c r="Z16" s="27">
        <v>1</v>
      </c>
      <c r="AA16" s="146">
        <v>1</v>
      </c>
      <c r="AB16" s="17">
        <v>0</v>
      </c>
      <c r="AC16" s="27" t="s">
        <v>115</v>
      </c>
      <c r="AD16" s="12">
        <v>3.4</v>
      </c>
      <c r="AE16" s="27">
        <v>2.2000000000000002</v>
      </c>
      <c r="AF16" s="27" t="s">
        <v>116</v>
      </c>
      <c r="AG16" s="27">
        <v>1</v>
      </c>
      <c r="AH16" s="27" t="s">
        <v>35</v>
      </c>
      <c r="AI16" s="27">
        <v>46</v>
      </c>
      <c r="AJ16" s="27">
        <v>40</v>
      </c>
      <c r="AK16" s="27">
        <v>60</v>
      </c>
      <c r="AL16" s="27">
        <v>62</v>
      </c>
      <c r="AM16" s="27">
        <v>50</v>
      </c>
      <c r="AN16" s="27">
        <v>68</v>
      </c>
      <c r="AO16" s="33">
        <v>22.32</v>
      </c>
      <c r="AP16" s="27">
        <v>0</v>
      </c>
      <c r="AQ16" s="27">
        <v>0</v>
      </c>
      <c r="AR16" s="27">
        <v>0</v>
      </c>
      <c r="AS16" s="27">
        <v>0</v>
      </c>
      <c r="AT16" s="27">
        <v>0</v>
      </c>
      <c r="AU16" s="27">
        <v>1</v>
      </c>
      <c r="AV16" s="27">
        <v>0</v>
      </c>
      <c r="AW16" s="27">
        <v>1</v>
      </c>
      <c r="AX16" s="27">
        <v>1</v>
      </c>
      <c r="AY16" s="34" t="s">
        <v>125</v>
      </c>
      <c r="AZ16" s="25" t="s">
        <v>118</v>
      </c>
      <c r="BA16" s="17" t="s">
        <v>119</v>
      </c>
      <c r="BB16" s="35" t="s">
        <v>126</v>
      </c>
      <c r="BC16" s="35" t="s">
        <v>127</v>
      </c>
      <c r="BD16" s="17">
        <v>4</v>
      </c>
      <c r="BE16" s="17">
        <v>7</v>
      </c>
      <c r="BF16" s="17">
        <v>1</v>
      </c>
      <c r="BG16" s="17">
        <v>1</v>
      </c>
      <c r="BH16" s="17">
        <v>0</v>
      </c>
      <c r="BI16" s="17">
        <v>0</v>
      </c>
      <c r="BJ16" s="17">
        <v>0.82</v>
      </c>
      <c r="BK16" s="17">
        <v>0.82</v>
      </c>
      <c r="BL16" s="35" t="s">
        <v>41</v>
      </c>
      <c r="BM16" s="17">
        <v>71</v>
      </c>
      <c r="BN16" s="17"/>
      <c r="BO16" s="17"/>
      <c r="BP16" s="17"/>
      <c r="BQ16" s="17"/>
      <c r="BR16" s="36"/>
      <c r="BS16" s="36"/>
      <c r="BT16" s="17"/>
      <c r="BU16" s="17">
        <v>5.77</v>
      </c>
      <c r="BV16" s="17">
        <v>0.98</v>
      </c>
      <c r="BW16" s="17"/>
      <c r="BX16" s="17">
        <v>103</v>
      </c>
      <c r="BY16" s="17">
        <v>5.2</v>
      </c>
      <c r="BZ16" s="17">
        <v>1.07</v>
      </c>
      <c r="CA16" s="17"/>
      <c r="CB16" s="17">
        <v>96</v>
      </c>
      <c r="CC16" s="17">
        <v>1</v>
      </c>
      <c r="CD16" s="37">
        <f t="shared" si="4"/>
        <v>-0.55642944384250137</v>
      </c>
      <c r="CE16" s="17">
        <v>199</v>
      </c>
      <c r="CF16" s="22">
        <f t="shared" si="0"/>
        <v>-0.55642944384250137</v>
      </c>
      <c r="CG16" s="22">
        <f t="shared" si="1"/>
        <v>-0.61447352636505559</v>
      </c>
      <c r="CI16" s="37">
        <f t="shared" si="2"/>
        <v>2.0903328465354577E-2</v>
      </c>
      <c r="CJ16" s="37">
        <f t="shared" si="3"/>
        <v>2.1566540846024898E-2</v>
      </c>
    </row>
    <row r="17" spans="1:88" s="35" customFormat="1" x14ac:dyDescent="0.35">
      <c r="A17" s="38" t="s">
        <v>109</v>
      </c>
      <c r="B17" s="49" t="s">
        <v>110</v>
      </c>
      <c r="C17" s="38" t="s">
        <v>111</v>
      </c>
      <c r="D17" s="39" t="s">
        <v>112</v>
      </c>
      <c r="E17" s="39" t="s">
        <v>113</v>
      </c>
      <c r="F17" s="18" t="s">
        <v>1108</v>
      </c>
      <c r="G17" s="28">
        <v>0</v>
      </c>
      <c r="H17" s="28">
        <v>0</v>
      </c>
      <c r="I17" s="28">
        <v>1</v>
      </c>
      <c r="J17" s="18" t="s">
        <v>1106</v>
      </c>
      <c r="K17" s="83">
        <v>0</v>
      </c>
      <c r="L17" s="40" t="s">
        <v>114</v>
      </c>
      <c r="M17" s="40">
        <v>1</v>
      </c>
      <c r="N17" s="40">
        <v>38</v>
      </c>
      <c r="O17" s="28">
        <v>199</v>
      </c>
      <c r="P17" s="28" t="s">
        <v>31</v>
      </c>
      <c r="Q17" s="28">
        <v>3</v>
      </c>
      <c r="R17" s="41">
        <v>1</v>
      </c>
      <c r="S17" s="41">
        <v>0</v>
      </c>
      <c r="T17" s="28">
        <v>0</v>
      </c>
      <c r="U17" s="28">
        <v>1</v>
      </c>
      <c r="V17" s="28">
        <v>0</v>
      </c>
      <c r="W17" s="28">
        <v>0</v>
      </c>
      <c r="X17" s="28">
        <v>0</v>
      </c>
      <c r="Y17" s="28">
        <v>0</v>
      </c>
      <c r="Z17" s="28">
        <v>1</v>
      </c>
      <c r="AA17" s="148">
        <v>1</v>
      </c>
      <c r="AB17" s="28">
        <v>0</v>
      </c>
      <c r="AC17" s="28" t="s">
        <v>115</v>
      </c>
      <c r="AD17" s="18">
        <v>3.4</v>
      </c>
      <c r="AE17" s="28">
        <v>2.2000000000000002</v>
      </c>
      <c r="AF17" s="28" t="s">
        <v>116</v>
      </c>
      <c r="AG17" s="28">
        <v>1</v>
      </c>
      <c r="AH17" s="28" t="s">
        <v>35</v>
      </c>
      <c r="AI17" s="28">
        <v>46</v>
      </c>
      <c r="AJ17" s="28">
        <v>40</v>
      </c>
      <c r="AK17" s="28">
        <v>60</v>
      </c>
      <c r="AL17" s="28">
        <v>62</v>
      </c>
      <c r="AM17" s="28">
        <v>50</v>
      </c>
      <c r="AN17" s="28">
        <v>68</v>
      </c>
      <c r="AO17" s="42">
        <v>22.32</v>
      </c>
      <c r="AP17" s="28">
        <v>0</v>
      </c>
      <c r="AQ17" s="28">
        <v>0</v>
      </c>
      <c r="AR17" s="28">
        <v>0</v>
      </c>
      <c r="AS17" s="28">
        <v>0</v>
      </c>
      <c r="AT17" s="28">
        <v>0</v>
      </c>
      <c r="AU17" s="28">
        <v>1</v>
      </c>
      <c r="AV17" s="28">
        <v>0</v>
      </c>
      <c r="AW17" s="28">
        <v>1</v>
      </c>
      <c r="AX17" s="28">
        <v>1</v>
      </c>
      <c r="AY17" s="34" t="s">
        <v>128</v>
      </c>
      <c r="AZ17" s="25" t="s">
        <v>118</v>
      </c>
      <c r="BA17" s="17" t="s">
        <v>119</v>
      </c>
      <c r="BB17" s="35" t="s">
        <v>129</v>
      </c>
      <c r="BD17" s="17">
        <v>4</v>
      </c>
      <c r="BE17" s="17">
        <v>7</v>
      </c>
      <c r="BF17" s="17">
        <v>0</v>
      </c>
      <c r="BG17" s="17">
        <v>0</v>
      </c>
      <c r="BH17" s="17">
        <v>1</v>
      </c>
      <c r="BI17" s="17">
        <v>0</v>
      </c>
      <c r="BJ17" s="17">
        <v>0.72</v>
      </c>
      <c r="BK17" s="17">
        <v>0.72</v>
      </c>
      <c r="BL17" s="35" t="s">
        <v>41</v>
      </c>
      <c r="BM17" s="17" t="s">
        <v>130</v>
      </c>
      <c r="BN17" s="17"/>
      <c r="BO17" s="17"/>
      <c r="BP17" s="17"/>
      <c r="BQ17" s="17"/>
      <c r="BR17" s="36"/>
      <c r="BS17" s="36"/>
      <c r="BT17" s="17"/>
      <c r="BU17" s="17">
        <v>5.72</v>
      </c>
      <c r="BV17" s="17">
        <v>1.04</v>
      </c>
      <c r="BW17" s="17"/>
      <c r="BX17" s="17">
        <v>103</v>
      </c>
      <c r="BY17" s="17">
        <v>5.1100000000000003</v>
      </c>
      <c r="BZ17" s="17">
        <v>1.1100000000000001</v>
      </c>
      <c r="CA17" s="17"/>
      <c r="CB17" s="17">
        <v>96</v>
      </c>
      <c r="CC17" s="17">
        <v>1</v>
      </c>
      <c r="CD17" s="37">
        <f t="shared" si="4"/>
        <v>-0.56779790869875635</v>
      </c>
      <c r="CE17" s="17">
        <v>199</v>
      </c>
      <c r="CF17" s="22">
        <f t="shared" si="0"/>
        <v>-0.56779790869875635</v>
      </c>
      <c r="CG17" s="22">
        <f t="shared" si="1"/>
        <v>-0.66915625264071799</v>
      </c>
      <c r="CI17" s="37">
        <f t="shared" si="2"/>
        <v>2.0935440875273686E-2</v>
      </c>
      <c r="CJ17" s="37">
        <f t="shared" si="3"/>
        <v>2.183445067749307E-2</v>
      </c>
    </row>
    <row r="18" spans="1:88" s="35" customFormat="1" x14ac:dyDescent="0.35">
      <c r="A18" s="29" t="s">
        <v>131</v>
      </c>
      <c r="B18" s="48" t="s">
        <v>132</v>
      </c>
      <c r="C18" s="29" t="s">
        <v>133</v>
      </c>
      <c r="D18" s="30" t="s">
        <v>134</v>
      </c>
      <c r="E18" s="30" t="s">
        <v>135</v>
      </c>
      <c r="F18" s="11" t="s">
        <v>1109</v>
      </c>
      <c r="G18" s="27">
        <v>0</v>
      </c>
      <c r="H18" s="27">
        <v>1</v>
      </c>
      <c r="I18" s="27">
        <v>2</v>
      </c>
      <c r="J18" s="11" t="s">
        <v>1107</v>
      </c>
      <c r="K18" s="82">
        <v>0</v>
      </c>
      <c r="L18" s="31" t="s">
        <v>136</v>
      </c>
      <c r="M18" s="31">
        <v>1</v>
      </c>
      <c r="N18" s="31">
        <v>27307</v>
      </c>
      <c r="O18" s="27">
        <v>62</v>
      </c>
      <c r="P18" s="27" t="s">
        <v>31</v>
      </c>
      <c r="Q18" s="27">
        <v>2</v>
      </c>
      <c r="R18" s="32">
        <v>1</v>
      </c>
      <c r="S18" s="151">
        <v>0</v>
      </c>
      <c r="T18" s="27">
        <v>1</v>
      </c>
      <c r="U18" s="27">
        <v>0</v>
      </c>
      <c r="V18" s="27">
        <v>0</v>
      </c>
      <c r="W18" s="27">
        <v>0</v>
      </c>
      <c r="X18" s="27">
        <v>0</v>
      </c>
      <c r="Y18" s="27">
        <v>1</v>
      </c>
      <c r="Z18" s="27">
        <v>0</v>
      </c>
      <c r="AA18" s="178">
        <v>0</v>
      </c>
      <c r="AB18" s="27">
        <v>0</v>
      </c>
      <c r="AC18" s="27" t="s">
        <v>137</v>
      </c>
      <c r="AD18" s="11">
        <v>3.9</v>
      </c>
      <c r="AE18" s="27">
        <v>2.2000000000000002</v>
      </c>
      <c r="AF18" s="27" t="s">
        <v>138</v>
      </c>
      <c r="AG18" s="27">
        <v>1</v>
      </c>
      <c r="AH18" s="27" t="s">
        <v>139</v>
      </c>
      <c r="AI18" s="27">
        <v>65</v>
      </c>
      <c r="AJ18" s="27">
        <v>35</v>
      </c>
      <c r="AK18" s="27">
        <v>79</v>
      </c>
      <c r="AL18" s="27">
        <v>66</v>
      </c>
      <c r="AM18" s="27">
        <v>57</v>
      </c>
      <c r="AN18" s="27">
        <v>40</v>
      </c>
      <c r="AO18" s="33">
        <v>25.9</v>
      </c>
      <c r="AP18" s="27">
        <v>0</v>
      </c>
      <c r="AQ18" s="27">
        <v>1</v>
      </c>
      <c r="AR18" s="27">
        <v>0</v>
      </c>
      <c r="AS18" s="27">
        <v>1</v>
      </c>
      <c r="AT18" s="27">
        <v>0</v>
      </c>
      <c r="AU18" s="27">
        <v>0</v>
      </c>
      <c r="AV18" s="27">
        <v>0</v>
      </c>
      <c r="AW18" s="27">
        <v>1</v>
      </c>
      <c r="AX18" s="27">
        <v>1</v>
      </c>
      <c r="AY18" s="34" t="s">
        <v>140</v>
      </c>
      <c r="AZ18" s="25" t="s">
        <v>94</v>
      </c>
      <c r="BA18" s="17" t="s">
        <v>141</v>
      </c>
      <c r="BB18" s="35" t="s">
        <v>142</v>
      </c>
      <c r="BC18" s="35" t="s">
        <v>143</v>
      </c>
      <c r="BD18" s="17">
        <v>5</v>
      </c>
      <c r="BE18" s="17">
        <v>7</v>
      </c>
      <c r="BF18" s="17">
        <v>1</v>
      </c>
      <c r="BG18" s="17">
        <v>1</v>
      </c>
      <c r="BH18" s="17">
        <v>0</v>
      </c>
      <c r="BI18" s="17">
        <v>0</v>
      </c>
      <c r="BJ18" s="17">
        <v>0.94</v>
      </c>
      <c r="BK18" s="17">
        <v>0.94</v>
      </c>
      <c r="BL18" s="35" t="s">
        <v>97</v>
      </c>
      <c r="BM18" s="17">
        <v>27309</v>
      </c>
      <c r="BN18" s="17"/>
      <c r="BO18" s="17"/>
      <c r="BP18" s="17"/>
      <c r="BQ18" s="17"/>
      <c r="BR18" s="36"/>
      <c r="BS18" s="36"/>
      <c r="BT18" s="17"/>
      <c r="BU18" s="17">
        <v>5.12</v>
      </c>
      <c r="BV18" s="17">
        <v>1.1599999999999999</v>
      </c>
      <c r="BW18" s="17"/>
      <c r="BX18" s="17">
        <v>31</v>
      </c>
      <c r="BY18" s="17">
        <v>5.66</v>
      </c>
      <c r="BZ18" s="17">
        <v>0.88</v>
      </c>
      <c r="CA18" s="17"/>
      <c r="CB18" s="17">
        <v>31</v>
      </c>
      <c r="CC18" s="17">
        <v>1</v>
      </c>
      <c r="CD18" s="37">
        <f t="shared" si="4"/>
        <v>0.52449436567292274</v>
      </c>
      <c r="CE18" s="17">
        <v>62</v>
      </c>
      <c r="CF18" s="22">
        <f t="shared" si="0"/>
        <v>0.52449436567292274</v>
      </c>
      <c r="CG18" s="22">
        <f t="shared" si="1"/>
        <v>0.54097463229808129</v>
      </c>
      <c r="CI18" s="37">
        <f t="shared" si="2"/>
        <v>6.6734631771150327E-2</v>
      </c>
      <c r="CJ18" s="37">
        <f t="shared" si="3"/>
        <v>6.6300601915124185E-2</v>
      </c>
    </row>
    <row r="19" spans="1:88" s="35" customFormat="1" x14ac:dyDescent="0.35">
      <c r="A19" s="29" t="s">
        <v>131</v>
      </c>
      <c r="B19" s="48" t="s">
        <v>132</v>
      </c>
      <c r="C19" s="29" t="s">
        <v>133</v>
      </c>
      <c r="D19" s="30" t="s">
        <v>134</v>
      </c>
      <c r="E19" s="30" t="s">
        <v>135</v>
      </c>
      <c r="F19" s="12" t="s">
        <v>1109</v>
      </c>
      <c r="G19" s="27">
        <v>0</v>
      </c>
      <c r="H19" s="27">
        <v>1</v>
      </c>
      <c r="I19" s="27">
        <v>2</v>
      </c>
      <c r="J19" s="11" t="s">
        <v>1107</v>
      </c>
      <c r="K19" s="82">
        <v>0</v>
      </c>
      <c r="L19" s="40" t="s">
        <v>136</v>
      </c>
      <c r="M19" s="40">
        <v>1</v>
      </c>
      <c r="N19" s="40">
        <v>27307</v>
      </c>
      <c r="O19" s="28">
        <v>62</v>
      </c>
      <c r="P19" s="28" t="s">
        <v>31</v>
      </c>
      <c r="Q19" s="28">
        <v>2</v>
      </c>
      <c r="R19" s="41">
        <v>1</v>
      </c>
      <c r="S19" s="41">
        <v>0</v>
      </c>
      <c r="T19" s="28">
        <v>1</v>
      </c>
      <c r="U19" s="28">
        <v>0</v>
      </c>
      <c r="V19" s="28">
        <v>0</v>
      </c>
      <c r="W19" s="28">
        <v>0</v>
      </c>
      <c r="X19" s="28">
        <v>0</v>
      </c>
      <c r="Y19" s="28">
        <v>1</v>
      </c>
      <c r="Z19" s="28">
        <v>0</v>
      </c>
      <c r="AA19" s="148">
        <v>0</v>
      </c>
      <c r="AB19" s="28">
        <v>0</v>
      </c>
      <c r="AC19" s="28" t="s">
        <v>137</v>
      </c>
      <c r="AD19" s="18">
        <v>3.9</v>
      </c>
      <c r="AE19" s="28">
        <v>2.2000000000000002</v>
      </c>
      <c r="AF19" s="28" t="s">
        <v>138</v>
      </c>
      <c r="AG19" s="28">
        <v>1</v>
      </c>
      <c r="AH19" s="28" t="s">
        <v>139</v>
      </c>
      <c r="AI19" s="28">
        <v>65</v>
      </c>
      <c r="AJ19" s="28">
        <v>35</v>
      </c>
      <c r="AK19" s="28">
        <v>79</v>
      </c>
      <c r="AL19" s="28">
        <v>66</v>
      </c>
      <c r="AM19" s="28">
        <v>57</v>
      </c>
      <c r="AN19" s="28">
        <v>40</v>
      </c>
      <c r="AO19" s="42">
        <v>25.9</v>
      </c>
      <c r="AP19" s="28">
        <v>0</v>
      </c>
      <c r="AQ19" s="28">
        <v>1</v>
      </c>
      <c r="AR19" s="28">
        <v>0</v>
      </c>
      <c r="AS19" s="28">
        <v>1</v>
      </c>
      <c r="AT19" s="28">
        <v>0</v>
      </c>
      <c r="AU19" s="28">
        <v>0</v>
      </c>
      <c r="AV19" s="28">
        <v>0</v>
      </c>
      <c r="AW19" s="28">
        <v>1</v>
      </c>
      <c r="AX19" s="28">
        <v>1</v>
      </c>
      <c r="AY19" s="34" t="s">
        <v>144</v>
      </c>
      <c r="AZ19" s="25" t="s">
        <v>94</v>
      </c>
      <c r="BA19" s="17" t="s">
        <v>141</v>
      </c>
      <c r="BB19" s="35" t="s">
        <v>46</v>
      </c>
      <c r="BC19" s="35" t="s">
        <v>145</v>
      </c>
      <c r="BD19" s="17">
        <v>5</v>
      </c>
      <c r="BE19" s="17">
        <v>7</v>
      </c>
      <c r="BF19" s="17">
        <v>0</v>
      </c>
      <c r="BG19" s="17">
        <v>0</v>
      </c>
      <c r="BH19" s="17">
        <v>1</v>
      </c>
      <c r="BI19" s="17">
        <v>0</v>
      </c>
      <c r="BJ19" s="17">
        <v>0.92</v>
      </c>
      <c r="BK19" s="17">
        <v>0.92</v>
      </c>
      <c r="BL19" s="35" t="s">
        <v>97</v>
      </c>
      <c r="BM19" s="17">
        <v>27309</v>
      </c>
      <c r="BN19" s="17"/>
      <c r="BO19" s="17"/>
      <c r="BP19" s="17"/>
      <c r="BQ19" s="17"/>
      <c r="BR19" s="36"/>
      <c r="BS19" s="36"/>
      <c r="BT19" s="17"/>
      <c r="BU19" s="17">
        <v>4.0199999999999996</v>
      </c>
      <c r="BV19" s="17">
        <v>1.43</v>
      </c>
      <c r="BW19" s="17"/>
      <c r="BX19" s="17">
        <v>31</v>
      </c>
      <c r="BY19" s="17">
        <v>4.17</v>
      </c>
      <c r="BZ19" s="17">
        <v>1.2</v>
      </c>
      <c r="CA19" s="17"/>
      <c r="CB19" s="17">
        <v>31</v>
      </c>
      <c r="CC19" s="17">
        <v>0</v>
      </c>
      <c r="CD19" s="37">
        <f t="shared" si="4"/>
        <v>0.11363473321398659</v>
      </c>
      <c r="CE19" s="17">
        <v>62</v>
      </c>
      <c r="CF19" s="22">
        <f t="shared" si="0"/>
        <v>0.11363473321398659</v>
      </c>
      <c r="CG19" s="22">
        <f t="shared" si="1"/>
        <v>0.11847239906323213</v>
      </c>
      <c r="CI19" s="37">
        <f t="shared" si="2"/>
        <v>6.4620264940263017E-2</v>
      </c>
      <c r="CJ19" s="37">
        <f t="shared" si="3"/>
        <v>6.4601712625793409E-2</v>
      </c>
    </row>
    <row r="20" spans="1:88" s="35" customFormat="1" x14ac:dyDescent="0.35">
      <c r="A20" s="29" t="s">
        <v>131</v>
      </c>
      <c r="B20" s="48" t="s">
        <v>132</v>
      </c>
      <c r="C20" s="29" t="s">
        <v>133</v>
      </c>
      <c r="D20" s="30" t="s">
        <v>134</v>
      </c>
      <c r="E20" s="30" t="s">
        <v>135</v>
      </c>
      <c r="F20" s="12" t="s">
        <v>1109</v>
      </c>
      <c r="G20" s="27">
        <v>0</v>
      </c>
      <c r="H20" s="27">
        <v>1</v>
      </c>
      <c r="I20" s="27">
        <v>2</v>
      </c>
      <c r="J20" s="11" t="s">
        <v>1107</v>
      </c>
      <c r="K20" s="82">
        <v>0</v>
      </c>
      <c r="L20" s="31" t="s">
        <v>146</v>
      </c>
      <c r="M20" s="31">
        <v>2</v>
      </c>
      <c r="N20" s="31">
        <v>27310</v>
      </c>
      <c r="O20" s="27">
        <v>130</v>
      </c>
      <c r="P20" s="27" t="s">
        <v>147</v>
      </c>
      <c r="Q20" s="27">
        <v>2</v>
      </c>
      <c r="R20" s="32">
        <v>1</v>
      </c>
      <c r="S20" s="32">
        <v>0</v>
      </c>
      <c r="T20" s="27">
        <v>0</v>
      </c>
      <c r="U20" s="27">
        <v>1</v>
      </c>
      <c r="V20" s="27">
        <v>0</v>
      </c>
      <c r="W20" s="27">
        <v>0</v>
      </c>
      <c r="X20" s="27">
        <v>1</v>
      </c>
      <c r="Y20" s="27">
        <v>0</v>
      </c>
      <c r="Z20" s="27">
        <v>0</v>
      </c>
      <c r="AA20" s="178">
        <v>0</v>
      </c>
      <c r="AB20" s="27">
        <v>0</v>
      </c>
      <c r="AC20" s="27" t="s">
        <v>148</v>
      </c>
      <c r="AD20" s="11">
        <v>3.2</v>
      </c>
      <c r="AE20" s="27">
        <v>2.2000000000000002</v>
      </c>
      <c r="AF20" s="27" t="s">
        <v>149</v>
      </c>
      <c r="AG20" s="27">
        <v>1</v>
      </c>
      <c r="AH20" s="27" t="s">
        <v>139</v>
      </c>
      <c r="AI20" s="27">
        <v>65</v>
      </c>
      <c r="AJ20" s="27">
        <v>35</v>
      </c>
      <c r="AK20" s="27">
        <v>79</v>
      </c>
      <c r="AL20" s="27">
        <v>66</v>
      </c>
      <c r="AM20" s="27">
        <v>57</v>
      </c>
      <c r="AN20" s="27">
        <v>40</v>
      </c>
      <c r="AO20" s="33">
        <v>25.35</v>
      </c>
      <c r="AP20" s="27">
        <v>1</v>
      </c>
      <c r="AQ20" s="27">
        <v>1</v>
      </c>
      <c r="AR20" s="27">
        <v>0</v>
      </c>
      <c r="AS20" s="27">
        <v>1</v>
      </c>
      <c r="AT20" s="27">
        <v>0</v>
      </c>
      <c r="AU20" s="27">
        <v>0</v>
      </c>
      <c r="AV20" s="27">
        <v>0</v>
      </c>
      <c r="AW20" s="27">
        <v>1</v>
      </c>
      <c r="AX20" s="27">
        <v>1</v>
      </c>
      <c r="AY20" s="34" t="s">
        <v>150</v>
      </c>
      <c r="AZ20" s="25" t="s">
        <v>94</v>
      </c>
      <c r="BA20" s="17" t="s">
        <v>141</v>
      </c>
      <c r="BB20" s="35" t="s">
        <v>151</v>
      </c>
      <c r="BC20" s="35" t="s">
        <v>143</v>
      </c>
      <c r="BD20" s="17">
        <v>5</v>
      </c>
      <c r="BE20" s="17">
        <v>5</v>
      </c>
      <c r="BF20" s="17">
        <v>1</v>
      </c>
      <c r="BG20" s="17">
        <v>1</v>
      </c>
      <c r="BH20" s="17">
        <v>0</v>
      </c>
      <c r="BI20" s="17">
        <v>0</v>
      </c>
      <c r="BJ20" s="17">
        <v>0.9</v>
      </c>
      <c r="BK20" s="17">
        <v>0.9</v>
      </c>
      <c r="BL20" s="35" t="s">
        <v>97</v>
      </c>
      <c r="BM20" s="17">
        <v>27313</v>
      </c>
      <c r="BN20" s="17"/>
      <c r="BO20" s="17"/>
      <c r="BP20" s="17"/>
      <c r="BQ20" s="17"/>
      <c r="BR20" s="36"/>
      <c r="BS20" s="36"/>
      <c r="BT20" s="17"/>
      <c r="BU20" s="17">
        <v>3.09</v>
      </c>
      <c r="BV20" s="17">
        <v>0.85</v>
      </c>
      <c r="BW20" s="17"/>
      <c r="BX20" s="17">
        <v>78</v>
      </c>
      <c r="BY20" s="17">
        <v>3.6</v>
      </c>
      <c r="BZ20" s="17">
        <v>0.95</v>
      </c>
      <c r="CA20" s="17"/>
      <c r="CB20" s="17">
        <v>52</v>
      </c>
      <c r="CC20" s="17">
        <v>1</v>
      </c>
      <c r="CD20" s="37">
        <f t="shared" si="4"/>
        <v>0.57226885184848819</v>
      </c>
      <c r="CE20" s="17">
        <v>130</v>
      </c>
      <c r="CF20" s="22">
        <f t="shared" si="0"/>
        <v>0.57226885184848819</v>
      </c>
      <c r="CG20" s="22">
        <f t="shared" si="1"/>
        <v>0.60322433527022745</v>
      </c>
      <c r="CI20" s="37">
        <f t="shared" si="2"/>
        <v>3.3310865277420457E-2</v>
      </c>
      <c r="CJ20" s="37">
        <f t="shared" si="3"/>
        <v>3.3870680044593086E-2</v>
      </c>
    </row>
    <row r="21" spans="1:88" s="35" customFormat="1" x14ac:dyDescent="0.35">
      <c r="A21" s="29" t="s">
        <v>131</v>
      </c>
      <c r="B21" s="48" t="s">
        <v>132</v>
      </c>
      <c r="C21" s="29" t="s">
        <v>133</v>
      </c>
      <c r="D21" s="30" t="s">
        <v>134</v>
      </c>
      <c r="E21" s="30" t="s">
        <v>135</v>
      </c>
      <c r="F21" s="11" t="s">
        <v>1109</v>
      </c>
      <c r="G21" s="27">
        <v>0</v>
      </c>
      <c r="H21" s="27">
        <v>1</v>
      </c>
      <c r="I21" s="27">
        <v>2</v>
      </c>
      <c r="J21" s="11" t="s">
        <v>1107</v>
      </c>
      <c r="K21" s="82">
        <v>0</v>
      </c>
      <c r="L21" s="31" t="s">
        <v>146</v>
      </c>
      <c r="M21" s="31">
        <v>2</v>
      </c>
      <c r="N21" s="31">
        <v>27310</v>
      </c>
      <c r="O21" s="27">
        <v>130</v>
      </c>
      <c r="P21" s="27" t="s">
        <v>147</v>
      </c>
      <c r="Q21" s="27">
        <v>2</v>
      </c>
      <c r="R21" s="32">
        <v>1</v>
      </c>
      <c r="S21" s="32">
        <v>0</v>
      </c>
      <c r="T21" s="27">
        <v>0</v>
      </c>
      <c r="U21" s="27">
        <v>1</v>
      </c>
      <c r="V21" s="27">
        <v>0</v>
      </c>
      <c r="W21" s="27">
        <v>0</v>
      </c>
      <c r="X21" s="27">
        <v>1</v>
      </c>
      <c r="Y21" s="27">
        <v>0</v>
      </c>
      <c r="Z21" s="27">
        <v>0</v>
      </c>
      <c r="AA21" s="178">
        <v>0</v>
      </c>
      <c r="AB21" s="27">
        <v>0</v>
      </c>
      <c r="AC21" s="27" t="s">
        <v>148</v>
      </c>
      <c r="AD21" s="11">
        <v>3.2</v>
      </c>
      <c r="AE21" s="27">
        <v>2.2000000000000002</v>
      </c>
      <c r="AF21" s="27" t="s">
        <v>149</v>
      </c>
      <c r="AG21" s="27">
        <v>1</v>
      </c>
      <c r="AH21" s="27" t="s">
        <v>139</v>
      </c>
      <c r="AI21" s="27">
        <v>65</v>
      </c>
      <c r="AJ21" s="27">
        <v>35</v>
      </c>
      <c r="AK21" s="27">
        <v>79</v>
      </c>
      <c r="AL21" s="27">
        <v>66</v>
      </c>
      <c r="AM21" s="27">
        <v>57</v>
      </c>
      <c r="AN21" s="27">
        <v>40</v>
      </c>
      <c r="AO21" s="33">
        <v>25.35</v>
      </c>
      <c r="AP21" s="27">
        <v>1</v>
      </c>
      <c r="AQ21" s="27">
        <v>1</v>
      </c>
      <c r="AR21" s="27">
        <v>0</v>
      </c>
      <c r="AS21" s="27">
        <v>1</v>
      </c>
      <c r="AT21" s="27">
        <v>0</v>
      </c>
      <c r="AU21" s="27">
        <v>0</v>
      </c>
      <c r="AV21" s="27">
        <v>0</v>
      </c>
      <c r="AW21" s="27">
        <v>1</v>
      </c>
      <c r="AX21" s="27">
        <v>1</v>
      </c>
      <c r="AY21" s="34" t="s">
        <v>152</v>
      </c>
      <c r="AZ21" s="25" t="s">
        <v>94</v>
      </c>
      <c r="BA21" s="17" t="s">
        <v>141</v>
      </c>
      <c r="BB21" s="35" t="s">
        <v>46</v>
      </c>
      <c r="BC21" s="35" t="s">
        <v>153</v>
      </c>
      <c r="BD21" s="17">
        <v>5</v>
      </c>
      <c r="BE21" s="17">
        <v>5</v>
      </c>
      <c r="BF21" s="17">
        <v>0</v>
      </c>
      <c r="BG21" s="17">
        <v>0</v>
      </c>
      <c r="BH21" s="17">
        <v>1</v>
      </c>
      <c r="BI21" s="17">
        <v>0</v>
      </c>
      <c r="BJ21" s="17">
        <v>0.89</v>
      </c>
      <c r="BK21" s="17">
        <v>0.89</v>
      </c>
      <c r="BL21" s="35" t="s">
        <v>97</v>
      </c>
      <c r="BM21" s="17">
        <v>27313</v>
      </c>
      <c r="BN21" s="17"/>
      <c r="BO21" s="17"/>
      <c r="BP21" s="17"/>
      <c r="BQ21" s="17"/>
      <c r="BR21" s="36"/>
      <c r="BS21" s="36"/>
      <c r="BT21" s="17"/>
      <c r="BU21" s="17">
        <v>2.86</v>
      </c>
      <c r="BV21" s="17">
        <v>0.89</v>
      </c>
      <c r="BW21" s="17"/>
      <c r="BX21" s="17">
        <v>78</v>
      </c>
      <c r="BY21" s="17">
        <v>3.44</v>
      </c>
      <c r="BZ21" s="17">
        <v>0.9</v>
      </c>
      <c r="CA21" s="17"/>
      <c r="CB21" s="17">
        <v>52</v>
      </c>
      <c r="CC21" s="17">
        <v>1</v>
      </c>
      <c r="CD21" s="37">
        <f t="shared" si="4"/>
        <v>0.64877118574103265</v>
      </c>
      <c r="CE21" s="17">
        <v>130</v>
      </c>
      <c r="CF21" s="22">
        <f t="shared" si="0"/>
        <v>0.64877118574103265</v>
      </c>
      <c r="CG21" s="22">
        <f t="shared" si="1"/>
        <v>0.68769608149470707</v>
      </c>
      <c r="CI21" s="37">
        <f t="shared" si="2"/>
        <v>3.3670143787619837E-2</v>
      </c>
      <c r="CJ21" s="37">
        <f t="shared" si="3"/>
        <v>3.4415911553797925E-2</v>
      </c>
    </row>
    <row r="22" spans="1:88" s="35" customFormat="1" x14ac:dyDescent="0.35">
      <c r="A22" s="43" t="s">
        <v>131</v>
      </c>
      <c r="B22" s="44" t="s">
        <v>132</v>
      </c>
      <c r="C22" s="43" t="s">
        <v>133</v>
      </c>
      <c r="D22" s="35" t="s">
        <v>134</v>
      </c>
      <c r="E22" s="35" t="s">
        <v>135</v>
      </c>
      <c r="F22" s="12" t="s">
        <v>1109</v>
      </c>
      <c r="G22" s="17">
        <v>0</v>
      </c>
      <c r="H22" s="17">
        <v>1</v>
      </c>
      <c r="I22" s="17">
        <v>2</v>
      </c>
      <c r="J22" s="11" t="s">
        <v>1107</v>
      </c>
      <c r="K22" s="82">
        <v>0</v>
      </c>
      <c r="L22" s="31" t="s">
        <v>146</v>
      </c>
      <c r="M22" s="31">
        <v>2</v>
      </c>
      <c r="N22" s="31">
        <v>27310</v>
      </c>
      <c r="O22" s="27">
        <v>67</v>
      </c>
      <c r="P22" s="27" t="s">
        <v>147</v>
      </c>
      <c r="Q22" s="27">
        <v>2</v>
      </c>
      <c r="R22" s="32">
        <v>2</v>
      </c>
      <c r="S22" s="32">
        <v>0</v>
      </c>
      <c r="T22" s="27">
        <v>0</v>
      </c>
      <c r="U22" s="27">
        <v>1</v>
      </c>
      <c r="V22" s="27">
        <v>0</v>
      </c>
      <c r="W22" s="27">
        <v>0</v>
      </c>
      <c r="X22" s="27">
        <v>0</v>
      </c>
      <c r="Y22" s="27">
        <v>0</v>
      </c>
      <c r="Z22" s="27">
        <v>1</v>
      </c>
      <c r="AA22" s="178">
        <v>0</v>
      </c>
      <c r="AB22" s="27">
        <v>0</v>
      </c>
      <c r="AC22" s="27" t="s">
        <v>148</v>
      </c>
      <c r="AD22" s="11">
        <v>3.2</v>
      </c>
      <c r="AE22" s="27">
        <v>2.2000000000000002</v>
      </c>
      <c r="AF22" s="27" t="s">
        <v>149</v>
      </c>
      <c r="AG22" s="27">
        <v>1</v>
      </c>
      <c r="AH22" s="27" t="s">
        <v>139</v>
      </c>
      <c r="AI22" s="27">
        <v>65</v>
      </c>
      <c r="AJ22" s="27">
        <v>35</v>
      </c>
      <c r="AK22" s="27">
        <v>79</v>
      </c>
      <c r="AL22" s="27">
        <v>66</v>
      </c>
      <c r="AM22" s="27">
        <v>57</v>
      </c>
      <c r="AN22" s="27">
        <v>40</v>
      </c>
      <c r="AO22" s="33">
        <v>25.35</v>
      </c>
      <c r="AP22" s="27">
        <v>1</v>
      </c>
      <c r="AQ22" s="27">
        <v>1</v>
      </c>
      <c r="AR22" s="27">
        <v>0</v>
      </c>
      <c r="AS22" s="27">
        <v>1</v>
      </c>
      <c r="AT22" s="27">
        <v>0</v>
      </c>
      <c r="AU22" s="27">
        <v>0</v>
      </c>
      <c r="AV22" s="27">
        <v>0</v>
      </c>
      <c r="AW22" s="27">
        <v>1</v>
      </c>
      <c r="AX22" s="27">
        <v>1</v>
      </c>
      <c r="AY22" s="34" t="s">
        <v>154</v>
      </c>
      <c r="AZ22" s="25" t="s">
        <v>94</v>
      </c>
      <c r="BA22" s="17" t="s">
        <v>141</v>
      </c>
      <c r="BB22" s="35" t="s">
        <v>151</v>
      </c>
      <c r="BC22" s="35" t="s">
        <v>143</v>
      </c>
      <c r="BD22" s="17">
        <v>5</v>
      </c>
      <c r="BE22" s="17">
        <v>5</v>
      </c>
      <c r="BF22" s="17">
        <v>1</v>
      </c>
      <c r="BG22" s="17">
        <v>1</v>
      </c>
      <c r="BH22" s="17">
        <v>0</v>
      </c>
      <c r="BI22" s="17">
        <v>0</v>
      </c>
      <c r="BJ22" s="17">
        <v>0.88</v>
      </c>
      <c r="BK22" s="17">
        <v>0.88</v>
      </c>
      <c r="BL22" s="35" t="s">
        <v>97</v>
      </c>
      <c r="BM22" s="17">
        <v>27313</v>
      </c>
      <c r="BN22" s="17"/>
      <c r="BO22" s="17"/>
      <c r="BP22" s="17"/>
      <c r="BQ22" s="17"/>
      <c r="BR22" s="36"/>
      <c r="BS22" s="36"/>
      <c r="BT22" s="17"/>
      <c r="BU22" s="17">
        <v>3.34</v>
      </c>
      <c r="BV22" s="17">
        <v>0.91</v>
      </c>
      <c r="BW22" s="17"/>
      <c r="BX22" s="17">
        <v>39</v>
      </c>
      <c r="BY22" s="17">
        <v>3.39</v>
      </c>
      <c r="BZ22" s="17">
        <v>0.95</v>
      </c>
      <c r="CA22" s="17"/>
      <c r="CB22" s="17">
        <v>28</v>
      </c>
      <c r="CC22" s="17">
        <v>0</v>
      </c>
      <c r="CD22" s="37">
        <f t="shared" si="4"/>
        <v>5.394761577253035E-2</v>
      </c>
      <c r="CE22" s="17">
        <v>67</v>
      </c>
      <c r="CF22" s="22">
        <f t="shared" si="0"/>
        <v>5.394761577253035E-2</v>
      </c>
      <c r="CG22" s="22">
        <f t="shared" si="1"/>
        <v>5.7508351641903495E-2</v>
      </c>
      <c r="CI22" s="37">
        <f t="shared" si="2"/>
        <v>6.1377030349695987E-2</v>
      </c>
      <c r="CJ22" s="37">
        <f t="shared" si="3"/>
        <v>6.1370622515073248E-2</v>
      </c>
    </row>
    <row r="23" spans="1:88" s="35" customFormat="1" x14ac:dyDescent="0.35">
      <c r="A23" s="38" t="s">
        <v>131</v>
      </c>
      <c r="B23" s="49" t="s">
        <v>132</v>
      </c>
      <c r="C23" s="38" t="s">
        <v>133</v>
      </c>
      <c r="D23" s="39" t="s">
        <v>134</v>
      </c>
      <c r="E23" s="39" t="s">
        <v>135</v>
      </c>
      <c r="F23" s="18" t="s">
        <v>1109</v>
      </c>
      <c r="G23" s="28">
        <v>0</v>
      </c>
      <c r="H23" s="28">
        <v>1</v>
      </c>
      <c r="I23" s="28">
        <v>2</v>
      </c>
      <c r="J23" s="18" t="s">
        <v>1107</v>
      </c>
      <c r="K23" s="83">
        <v>0</v>
      </c>
      <c r="L23" s="40" t="s">
        <v>146</v>
      </c>
      <c r="M23" s="40">
        <v>2</v>
      </c>
      <c r="N23" s="40">
        <v>27310</v>
      </c>
      <c r="O23" s="28">
        <v>67</v>
      </c>
      <c r="P23" s="28" t="s">
        <v>147</v>
      </c>
      <c r="Q23" s="28">
        <v>2</v>
      </c>
      <c r="R23" s="41">
        <v>2</v>
      </c>
      <c r="S23" s="41">
        <v>0</v>
      </c>
      <c r="T23" s="28">
        <v>0</v>
      </c>
      <c r="U23" s="28">
        <v>1</v>
      </c>
      <c r="V23" s="28">
        <v>0</v>
      </c>
      <c r="W23" s="28">
        <v>0</v>
      </c>
      <c r="X23" s="28">
        <v>0</v>
      </c>
      <c r="Y23" s="28">
        <v>0</v>
      </c>
      <c r="Z23" s="28">
        <v>1</v>
      </c>
      <c r="AA23" s="148">
        <v>0</v>
      </c>
      <c r="AB23" s="28">
        <v>0</v>
      </c>
      <c r="AC23" s="28" t="s">
        <v>148</v>
      </c>
      <c r="AD23" s="18">
        <v>3.2</v>
      </c>
      <c r="AE23" s="28">
        <v>2.2000000000000002</v>
      </c>
      <c r="AF23" s="28" t="s">
        <v>149</v>
      </c>
      <c r="AG23" s="28">
        <v>1</v>
      </c>
      <c r="AH23" s="28" t="s">
        <v>139</v>
      </c>
      <c r="AI23" s="28">
        <v>65</v>
      </c>
      <c r="AJ23" s="28">
        <v>35</v>
      </c>
      <c r="AK23" s="28">
        <v>79</v>
      </c>
      <c r="AL23" s="28">
        <v>66</v>
      </c>
      <c r="AM23" s="28">
        <v>57</v>
      </c>
      <c r="AN23" s="28">
        <v>40</v>
      </c>
      <c r="AO23" s="42">
        <v>25.35</v>
      </c>
      <c r="AP23" s="28">
        <v>1</v>
      </c>
      <c r="AQ23" s="28">
        <v>1</v>
      </c>
      <c r="AR23" s="28">
        <v>0</v>
      </c>
      <c r="AS23" s="28">
        <v>1</v>
      </c>
      <c r="AT23" s="28">
        <v>0</v>
      </c>
      <c r="AU23" s="28">
        <v>0</v>
      </c>
      <c r="AV23" s="28">
        <v>0</v>
      </c>
      <c r="AW23" s="28">
        <v>1</v>
      </c>
      <c r="AX23" s="28">
        <v>1</v>
      </c>
      <c r="AY23" s="34" t="s">
        <v>155</v>
      </c>
      <c r="AZ23" s="25" t="s">
        <v>94</v>
      </c>
      <c r="BA23" s="17" t="s">
        <v>141</v>
      </c>
      <c r="BB23" s="35" t="s">
        <v>46</v>
      </c>
      <c r="BC23" s="35" t="s">
        <v>153</v>
      </c>
      <c r="BD23" s="17">
        <v>5</v>
      </c>
      <c r="BE23" s="17">
        <v>5</v>
      </c>
      <c r="BF23" s="17">
        <v>0</v>
      </c>
      <c r="BG23" s="17">
        <v>0</v>
      </c>
      <c r="BH23" s="17">
        <v>1</v>
      </c>
      <c r="BI23" s="17">
        <v>0</v>
      </c>
      <c r="BJ23" s="17">
        <v>0.87</v>
      </c>
      <c r="BK23" s="17">
        <v>0.87</v>
      </c>
      <c r="BL23" s="35" t="s">
        <v>97</v>
      </c>
      <c r="BM23" s="17">
        <v>27313</v>
      </c>
      <c r="BN23" s="17"/>
      <c r="BO23" s="17"/>
      <c r="BP23" s="17"/>
      <c r="BQ23" s="17"/>
      <c r="BR23" s="36"/>
      <c r="BS23" s="36"/>
      <c r="BT23" s="17"/>
      <c r="BU23" s="17">
        <v>2.9</v>
      </c>
      <c r="BV23" s="17">
        <v>1.02</v>
      </c>
      <c r="BW23" s="17"/>
      <c r="BX23" s="17">
        <v>39</v>
      </c>
      <c r="BY23" s="17">
        <v>3.28</v>
      </c>
      <c r="BZ23" s="17">
        <v>0.81</v>
      </c>
      <c r="CA23" s="17"/>
      <c r="CB23" s="17">
        <v>28</v>
      </c>
      <c r="CC23" s="17">
        <v>0</v>
      </c>
      <c r="CD23" s="37">
        <f t="shared" si="4"/>
        <v>0.40490478464093982</v>
      </c>
      <c r="CE23" s="17">
        <v>67</v>
      </c>
      <c r="CF23" s="22">
        <f t="shared" si="0"/>
        <v>0.40490478464093982</v>
      </c>
      <c r="CG23" s="22">
        <f t="shared" si="1"/>
        <v>0.43410349502934942</v>
      </c>
      <c r="CI23" s="37">
        <f t="shared" si="2"/>
        <v>6.2578803031618266E-2</v>
      </c>
      <c r="CJ23" s="37">
        <f t="shared" si="3"/>
        <v>6.2227745820110876E-2</v>
      </c>
    </row>
    <row r="24" spans="1:88" s="35" customFormat="1" ht="15" customHeight="1" x14ac:dyDescent="0.35">
      <c r="A24" s="29" t="s">
        <v>156</v>
      </c>
      <c r="B24" s="48" t="s">
        <v>157</v>
      </c>
      <c r="C24" s="29" t="s">
        <v>133</v>
      </c>
      <c r="D24" s="30" t="s">
        <v>158</v>
      </c>
      <c r="E24" s="30" t="s">
        <v>159</v>
      </c>
      <c r="F24" s="11" t="s">
        <v>1109</v>
      </c>
      <c r="G24" s="27">
        <v>0</v>
      </c>
      <c r="H24" s="27">
        <v>1</v>
      </c>
      <c r="I24" s="27">
        <v>2</v>
      </c>
      <c r="J24" s="11" t="s">
        <v>1106</v>
      </c>
      <c r="K24" s="82">
        <v>1</v>
      </c>
      <c r="L24" s="31" t="s">
        <v>160</v>
      </c>
      <c r="M24" s="31">
        <v>1</v>
      </c>
      <c r="N24" s="31">
        <v>7</v>
      </c>
      <c r="O24" s="27">
        <v>118</v>
      </c>
      <c r="P24" s="27" t="s">
        <v>147</v>
      </c>
      <c r="Q24" s="27">
        <v>2</v>
      </c>
      <c r="R24" s="27">
        <v>1</v>
      </c>
      <c r="S24" s="32">
        <v>0</v>
      </c>
      <c r="T24" s="27">
        <v>1</v>
      </c>
      <c r="U24" s="27">
        <v>0</v>
      </c>
      <c r="V24" s="27">
        <v>0</v>
      </c>
      <c r="W24" s="27">
        <v>0</v>
      </c>
      <c r="X24" s="27">
        <v>0</v>
      </c>
      <c r="Y24" s="27">
        <v>1</v>
      </c>
      <c r="Z24" s="27">
        <v>0</v>
      </c>
      <c r="AA24" s="178">
        <v>0</v>
      </c>
      <c r="AB24" s="27">
        <v>0</v>
      </c>
      <c r="AC24" s="27" t="s">
        <v>161</v>
      </c>
      <c r="AD24" s="11">
        <v>1.9</v>
      </c>
      <c r="AE24" s="27">
        <v>3.2</v>
      </c>
      <c r="AF24" s="27" t="s">
        <v>58</v>
      </c>
      <c r="AG24" s="27">
        <v>0</v>
      </c>
      <c r="AH24" s="27" t="s">
        <v>35</v>
      </c>
      <c r="AI24" s="27">
        <v>46</v>
      </c>
      <c r="AJ24" s="27">
        <v>40</v>
      </c>
      <c r="AK24" s="27">
        <v>60</v>
      </c>
      <c r="AL24" s="27">
        <v>62</v>
      </c>
      <c r="AM24" s="27">
        <v>50</v>
      </c>
      <c r="AN24" s="27">
        <v>68</v>
      </c>
      <c r="AO24" s="33">
        <v>20.100000000000001</v>
      </c>
      <c r="AP24" s="27">
        <v>0</v>
      </c>
      <c r="AQ24" s="27">
        <v>1</v>
      </c>
      <c r="AR24" s="27">
        <v>0</v>
      </c>
      <c r="AS24" s="27">
        <v>1</v>
      </c>
      <c r="AT24" s="27">
        <v>0</v>
      </c>
      <c r="AU24" s="27">
        <v>0</v>
      </c>
      <c r="AV24" s="27">
        <v>0</v>
      </c>
      <c r="AW24" s="27">
        <v>1</v>
      </c>
      <c r="AX24" s="27">
        <v>1</v>
      </c>
      <c r="AY24" s="34" t="s">
        <v>162</v>
      </c>
      <c r="AZ24" s="25" t="s">
        <v>163</v>
      </c>
      <c r="BA24" s="17" t="s">
        <v>141</v>
      </c>
      <c r="BB24" s="35" t="s">
        <v>164</v>
      </c>
      <c r="BC24" s="53" t="s">
        <v>165</v>
      </c>
      <c r="BD24" s="17">
        <v>7</v>
      </c>
      <c r="BE24" s="17">
        <v>7</v>
      </c>
      <c r="BF24" s="17">
        <v>1</v>
      </c>
      <c r="BG24" s="17">
        <v>1</v>
      </c>
      <c r="BH24" s="17">
        <v>0</v>
      </c>
      <c r="BI24" s="17">
        <v>0</v>
      </c>
      <c r="BJ24" s="17">
        <v>0.92</v>
      </c>
      <c r="BK24" s="17">
        <v>0.92</v>
      </c>
      <c r="BL24" s="35" t="s">
        <v>97</v>
      </c>
      <c r="BM24" s="17">
        <v>11</v>
      </c>
      <c r="BN24" s="17"/>
      <c r="BO24" s="17"/>
      <c r="BP24" s="17"/>
      <c r="BQ24" s="17"/>
      <c r="BR24" s="36"/>
      <c r="BS24" s="36"/>
      <c r="BT24" s="17"/>
      <c r="BU24" s="17">
        <v>5.86</v>
      </c>
      <c r="BV24" s="17">
        <v>0.89</v>
      </c>
      <c r="BW24" s="17"/>
      <c r="BX24" s="17">
        <v>59</v>
      </c>
      <c r="BY24" s="17">
        <v>6.13</v>
      </c>
      <c r="BZ24" s="17">
        <v>0.85</v>
      </c>
      <c r="CA24" s="17"/>
      <c r="CB24" s="17">
        <v>59</v>
      </c>
      <c r="CC24" s="17">
        <v>0</v>
      </c>
      <c r="CD24" s="37">
        <f t="shared" si="4"/>
        <v>0.31026285589233432</v>
      </c>
      <c r="CE24" s="17">
        <v>118</v>
      </c>
      <c r="CF24" s="22">
        <f t="shared" si="0"/>
        <v>0.31026285589233432</v>
      </c>
      <c r="CG24" s="22">
        <f t="shared" si="1"/>
        <v>0.3234713880003236</v>
      </c>
      <c r="CI24" s="37">
        <f t="shared" si="2"/>
        <v>3.4306199320959609E-2</v>
      </c>
      <c r="CJ24" s="37">
        <f t="shared" si="3"/>
        <v>3.4274685440338772E-2</v>
      </c>
    </row>
    <row r="25" spans="1:88" s="35" customFormat="1" ht="15.65" customHeight="1" x14ac:dyDescent="0.35">
      <c r="A25" s="29" t="s">
        <v>156</v>
      </c>
      <c r="B25" s="48" t="s">
        <v>157</v>
      </c>
      <c r="C25" s="29" t="s">
        <v>133</v>
      </c>
      <c r="D25" s="30" t="s">
        <v>158</v>
      </c>
      <c r="E25" s="30" t="s">
        <v>159</v>
      </c>
      <c r="F25" s="12" t="s">
        <v>1109</v>
      </c>
      <c r="G25" s="27">
        <v>0</v>
      </c>
      <c r="H25" s="27">
        <v>1</v>
      </c>
      <c r="I25" s="27">
        <v>2</v>
      </c>
      <c r="J25" s="11" t="s">
        <v>1106</v>
      </c>
      <c r="K25" s="82">
        <v>1</v>
      </c>
      <c r="L25" s="31" t="s">
        <v>160</v>
      </c>
      <c r="M25" s="31">
        <v>1</v>
      </c>
      <c r="N25" s="31">
        <v>7</v>
      </c>
      <c r="O25" s="27">
        <v>118</v>
      </c>
      <c r="P25" s="27" t="s">
        <v>147</v>
      </c>
      <c r="Q25" s="27">
        <v>2</v>
      </c>
      <c r="R25" s="27">
        <v>1</v>
      </c>
      <c r="S25" s="32">
        <v>0</v>
      </c>
      <c r="T25" s="27">
        <v>1</v>
      </c>
      <c r="U25" s="27">
        <v>0</v>
      </c>
      <c r="V25" s="27">
        <v>0</v>
      </c>
      <c r="W25" s="27">
        <v>0</v>
      </c>
      <c r="X25" s="27">
        <v>0</v>
      </c>
      <c r="Y25" s="27">
        <v>1</v>
      </c>
      <c r="Z25" s="27">
        <v>0</v>
      </c>
      <c r="AA25" s="146">
        <v>0</v>
      </c>
      <c r="AB25" s="27">
        <v>0</v>
      </c>
      <c r="AC25" s="27" t="s">
        <v>161</v>
      </c>
      <c r="AD25" s="12">
        <v>1.9</v>
      </c>
      <c r="AE25" s="27">
        <v>3.2</v>
      </c>
      <c r="AF25" s="27" t="s">
        <v>58</v>
      </c>
      <c r="AG25" s="27">
        <v>0</v>
      </c>
      <c r="AH25" s="27" t="s">
        <v>35</v>
      </c>
      <c r="AI25" s="27">
        <v>46</v>
      </c>
      <c r="AJ25" s="27">
        <v>40</v>
      </c>
      <c r="AK25" s="27">
        <v>60</v>
      </c>
      <c r="AL25" s="27">
        <v>62</v>
      </c>
      <c r="AM25" s="27">
        <v>50</v>
      </c>
      <c r="AN25" s="27">
        <v>68</v>
      </c>
      <c r="AO25" s="33">
        <v>20.100000000000001</v>
      </c>
      <c r="AP25" s="27">
        <v>0</v>
      </c>
      <c r="AQ25" s="27">
        <v>1</v>
      </c>
      <c r="AR25" s="27">
        <v>0</v>
      </c>
      <c r="AS25" s="27">
        <v>1</v>
      </c>
      <c r="AT25" s="27">
        <v>0</v>
      </c>
      <c r="AU25" s="27">
        <v>0</v>
      </c>
      <c r="AV25" s="27">
        <v>0</v>
      </c>
      <c r="AW25" s="27">
        <v>1</v>
      </c>
      <c r="AX25" s="27">
        <v>1</v>
      </c>
      <c r="AY25" s="31" t="s">
        <v>166</v>
      </c>
      <c r="AZ25" s="54" t="s">
        <v>163</v>
      </c>
      <c r="BA25" s="27" t="s">
        <v>141</v>
      </c>
      <c r="BB25" s="30" t="s">
        <v>167</v>
      </c>
      <c r="BC25" s="30" t="s">
        <v>168</v>
      </c>
      <c r="BD25" s="27">
        <v>5</v>
      </c>
      <c r="BE25" s="27">
        <v>7</v>
      </c>
      <c r="BF25" s="27">
        <v>1</v>
      </c>
      <c r="BG25" s="27">
        <v>1</v>
      </c>
      <c r="BH25" s="27">
        <v>0</v>
      </c>
      <c r="BI25" s="27">
        <v>0</v>
      </c>
      <c r="BJ25" s="27">
        <v>0.78</v>
      </c>
      <c r="BK25" s="27">
        <v>0.78</v>
      </c>
      <c r="BL25" s="30" t="s">
        <v>97</v>
      </c>
      <c r="BM25" s="27">
        <v>11</v>
      </c>
      <c r="BN25" s="27"/>
      <c r="BO25" s="27"/>
      <c r="BP25" s="27"/>
      <c r="BQ25" s="27"/>
      <c r="BR25" s="55"/>
      <c r="BS25" s="55"/>
      <c r="BT25" s="27"/>
      <c r="BU25" s="27">
        <v>5.26</v>
      </c>
      <c r="BV25" s="27">
        <v>0.86</v>
      </c>
      <c r="BW25" s="27"/>
      <c r="BX25" s="27">
        <v>59</v>
      </c>
      <c r="BY25" s="27">
        <v>5.55</v>
      </c>
      <c r="BZ25" s="27">
        <v>0.93</v>
      </c>
      <c r="CA25" s="27"/>
      <c r="CB25" s="27">
        <v>59</v>
      </c>
      <c r="CC25" s="27">
        <v>0</v>
      </c>
      <c r="CD25" s="37">
        <f t="shared" si="4"/>
        <v>0.32377486801863753</v>
      </c>
      <c r="CE25" s="27">
        <v>118</v>
      </c>
      <c r="CF25" s="56">
        <f t="shared" si="0"/>
        <v>0.32377486801863753</v>
      </c>
      <c r="CG25" s="22">
        <f t="shared" si="1"/>
        <v>0.36660284729070081</v>
      </c>
      <c r="CH25" s="30"/>
      <c r="CI25" s="33">
        <f t="shared" si="2"/>
        <v>3.4342500699832565E-2</v>
      </c>
      <c r="CJ25" s="37">
        <f t="shared" si="3"/>
        <v>3.438174986043515E-2</v>
      </c>
    </row>
    <row r="26" spans="1:88" s="35" customFormat="1" x14ac:dyDescent="0.35">
      <c r="A26" s="38" t="s">
        <v>156</v>
      </c>
      <c r="B26" s="49" t="s">
        <v>157</v>
      </c>
      <c r="C26" s="38" t="s">
        <v>133</v>
      </c>
      <c r="D26" s="39" t="s">
        <v>158</v>
      </c>
      <c r="E26" s="39" t="s">
        <v>159</v>
      </c>
      <c r="F26" s="18" t="s">
        <v>1109</v>
      </c>
      <c r="G26" s="28">
        <v>0</v>
      </c>
      <c r="H26" s="28">
        <v>1</v>
      </c>
      <c r="I26" s="28">
        <v>2</v>
      </c>
      <c r="J26" s="18" t="s">
        <v>1106</v>
      </c>
      <c r="K26" s="83">
        <v>1</v>
      </c>
      <c r="L26" s="40" t="s">
        <v>160</v>
      </c>
      <c r="M26" s="40">
        <v>1</v>
      </c>
      <c r="N26" s="40">
        <v>7</v>
      </c>
      <c r="O26" s="28">
        <v>118</v>
      </c>
      <c r="P26" s="28" t="s">
        <v>147</v>
      </c>
      <c r="Q26" s="28">
        <v>2</v>
      </c>
      <c r="R26" s="28">
        <v>1</v>
      </c>
      <c r="S26" s="41">
        <v>0</v>
      </c>
      <c r="T26" s="28">
        <v>1</v>
      </c>
      <c r="U26" s="28">
        <v>0</v>
      </c>
      <c r="V26" s="28">
        <v>0</v>
      </c>
      <c r="W26" s="28">
        <v>0</v>
      </c>
      <c r="X26" s="28">
        <v>0</v>
      </c>
      <c r="Y26" s="28">
        <v>1</v>
      </c>
      <c r="Z26" s="28">
        <v>0</v>
      </c>
      <c r="AA26" s="148">
        <v>0</v>
      </c>
      <c r="AB26" s="28">
        <v>0</v>
      </c>
      <c r="AC26" s="28" t="s">
        <v>161</v>
      </c>
      <c r="AD26" s="18">
        <v>1.9</v>
      </c>
      <c r="AE26" s="28">
        <v>3.2</v>
      </c>
      <c r="AF26" s="28" t="s">
        <v>58</v>
      </c>
      <c r="AG26" s="28">
        <v>0</v>
      </c>
      <c r="AH26" s="28" t="s">
        <v>35</v>
      </c>
      <c r="AI26" s="28">
        <v>46</v>
      </c>
      <c r="AJ26" s="28">
        <v>40</v>
      </c>
      <c r="AK26" s="28">
        <v>60</v>
      </c>
      <c r="AL26" s="28">
        <v>62</v>
      </c>
      <c r="AM26" s="28">
        <v>50</v>
      </c>
      <c r="AN26" s="28">
        <v>68</v>
      </c>
      <c r="AO26" s="42">
        <v>20.100000000000001</v>
      </c>
      <c r="AP26" s="28">
        <v>0</v>
      </c>
      <c r="AQ26" s="28">
        <v>1</v>
      </c>
      <c r="AR26" s="28">
        <v>0</v>
      </c>
      <c r="AS26" s="28">
        <v>1</v>
      </c>
      <c r="AT26" s="28">
        <v>0</v>
      </c>
      <c r="AU26" s="28">
        <v>0</v>
      </c>
      <c r="AV26" s="28">
        <v>0</v>
      </c>
      <c r="AW26" s="28">
        <v>1</v>
      </c>
      <c r="AX26" s="28">
        <v>1</v>
      </c>
      <c r="AY26" s="34" t="s">
        <v>169</v>
      </c>
      <c r="AZ26" s="25" t="s">
        <v>163</v>
      </c>
      <c r="BA26" s="17" t="s">
        <v>141</v>
      </c>
      <c r="BB26" s="35" t="s">
        <v>170</v>
      </c>
      <c r="BC26" s="35" t="s">
        <v>171</v>
      </c>
      <c r="BD26" s="17">
        <v>3</v>
      </c>
      <c r="BE26" s="17">
        <v>7</v>
      </c>
      <c r="BF26" s="17">
        <v>0</v>
      </c>
      <c r="BG26" s="17">
        <v>0</v>
      </c>
      <c r="BH26" s="17">
        <v>1</v>
      </c>
      <c r="BI26" s="17">
        <v>0</v>
      </c>
      <c r="BJ26" s="17">
        <v>0.73</v>
      </c>
      <c r="BK26" s="17">
        <v>0.73</v>
      </c>
      <c r="BL26" s="35" t="s">
        <v>97</v>
      </c>
      <c r="BM26" s="17">
        <v>11</v>
      </c>
      <c r="BN26" s="17"/>
      <c r="BO26" s="17"/>
      <c r="BP26" s="17"/>
      <c r="BQ26" s="17"/>
      <c r="BR26" s="36"/>
      <c r="BS26" s="36"/>
      <c r="BT26" s="17"/>
      <c r="BU26" s="17">
        <v>5.18</v>
      </c>
      <c r="BV26" s="17">
        <v>0.98</v>
      </c>
      <c r="BW26" s="17"/>
      <c r="BX26" s="17">
        <v>59</v>
      </c>
      <c r="BY26" s="17">
        <v>5.72</v>
      </c>
      <c r="BZ26" s="17">
        <v>0.97</v>
      </c>
      <c r="CA26" s="17"/>
      <c r="CB26" s="17">
        <v>59</v>
      </c>
      <c r="CC26" s="17">
        <v>1</v>
      </c>
      <c r="CD26" s="37">
        <f t="shared" si="4"/>
        <v>0.55383887133162268</v>
      </c>
      <c r="CE26" s="17">
        <v>118</v>
      </c>
      <c r="CF26" s="22">
        <f t="shared" si="0"/>
        <v>0.55383887133162268</v>
      </c>
      <c r="CG26" s="22">
        <f t="shared" si="1"/>
        <v>0.6482193686246327</v>
      </c>
      <c r="CI26" s="33">
        <f t="shared" si="2"/>
        <v>3.5198040234736806E-2</v>
      </c>
      <c r="CJ26" s="37">
        <f t="shared" si="3"/>
        <v>3.5409773969134674E-2</v>
      </c>
    </row>
    <row r="27" spans="1:88" s="35" customFormat="1" x14ac:dyDescent="0.35">
      <c r="A27" s="29" t="s">
        <v>172</v>
      </c>
      <c r="B27" s="48" t="s">
        <v>173</v>
      </c>
      <c r="C27" s="29" t="s">
        <v>174</v>
      </c>
      <c r="D27" s="30" t="s">
        <v>175</v>
      </c>
      <c r="E27" s="30" t="s">
        <v>176</v>
      </c>
      <c r="F27" s="11" t="s">
        <v>1109</v>
      </c>
      <c r="G27" s="27">
        <v>1</v>
      </c>
      <c r="H27" s="27">
        <v>1</v>
      </c>
      <c r="I27" s="27">
        <v>2</v>
      </c>
      <c r="J27" s="11" t="s">
        <v>1111</v>
      </c>
      <c r="K27" s="82">
        <v>0</v>
      </c>
      <c r="L27" s="31" t="s">
        <v>177</v>
      </c>
      <c r="M27" s="31">
        <v>1</v>
      </c>
      <c r="N27" s="31">
        <v>147</v>
      </c>
      <c r="O27" s="27">
        <v>104</v>
      </c>
      <c r="P27" s="27" t="s">
        <v>147</v>
      </c>
      <c r="Q27" s="27">
        <v>2</v>
      </c>
      <c r="R27" s="27">
        <v>1</v>
      </c>
      <c r="S27" s="32">
        <v>0</v>
      </c>
      <c r="T27" s="27">
        <v>0</v>
      </c>
      <c r="U27" s="27">
        <v>1</v>
      </c>
      <c r="V27" s="27">
        <v>0</v>
      </c>
      <c r="W27" s="27">
        <v>0</v>
      </c>
      <c r="X27" s="27">
        <v>0</v>
      </c>
      <c r="Y27" s="27">
        <v>0</v>
      </c>
      <c r="Z27" s="27">
        <v>1</v>
      </c>
      <c r="AA27" s="178">
        <v>0</v>
      </c>
      <c r="AB27" s="27">
        <v>0</v>
      </c>
      <c r="AC27" s="27" t="s">
        <v>178</v>
      </c>
      <c r="AD27" s="11">
        <v>3.6</v>
      </c>
      <c r="AE27" s="27">
        <v>2.6</v>
      </c>
      <c r="AF27" s="27" t="s">
        <v>179</v>
      </c>
      <c r="AG27" s="27">
        <v>1</v>
      </c>
      <c r="AH27" s="27" t="s">
        <v>180</v>
      </c>
      <c r="AI27" s="27">
        <v>69</v>
      </c>
      <c r="AJ27" s="27">
        <v>58</v>
      </c>
      <c r="AK27" s="27">
        <v>40</v>
      </c>
      <c r="AL27" s="27">
        <v>45</v>
      </c>
      <c r="AM27" s="27">
        <v>87</v>
      </c>
      <c r="AN27" s="27">
        <v>49</v>
      </c>
      <c r="AO27" s="33"/>
      <c r="AP27" s="27">
        <v>1</v>
      </c>
      <c r="AQ27" s="27">
        <v>0</v>
      </c>
      <c r="AR27" s="27">
        <v>0</v>
      </c>
      <c r="AS27" s="27">
        <v>0</v>
      </c>
      <c r="AT27" s="27">
        <v>0</v>
      </c>
      <c r="AU27" s="27">
        <v>1</v>
      </c>
      <c r="AV27" s="27">
        <v>0</v>
      </c>
      <c r="AW27" s="27">
        <v>1</v>
      </c>
      <c r="AX27" s="27">
        <v>1</v>
      </c>
      <c r="AY27" s="34" t="s">
        <v>181</v>
      </c>
      <c r="AZ27" s="25" t="s">
        <v>182</v>
      </c>
      <c r="BA27" s="17" t="s">
        <v>183</v>
      </c>
      <c r="BB27" s="35" t="s">
        <v>184</v>
      </c>
      <c r="BC27" s="35" t="s">
        <v>185</v>
      </c>
      <c r="BD27" s="17">
        <v>4</v>
      </c>
      <c r="BE27" s="17">
        <v>7</v>
      </c>
      <c r="BF27" s="17">
        <v>1</v>
      </c>
      <c r="BG27" s="17">
        <v>1</v>
      </c>
      <c r="BH27" s="17">
        <v>0</v>
      </c>
      <c r="BI27" s="17">
        <v>0</v>
      </c>
      <c r="BJ27" s="17"/>
      <c r="BK27" s="17">
        <v>0.8</v>
      </c>
      <c r="BL27" s="10" t="s">
        <v>33</v>
      </c>
      <c r="BM27" s="17">
        <v>148</v>
      </c>
      <c r="BN27" s="17"/>
      <c r="BO27" s="17"/>
      <c r="BP27" s="17"/>
      <c r="BQ27" s="17"/>
      <c r="BR27" s="36"/>
      <c r="BS27" s="36"/>
      <c r="BT27" s="17"/>
      <c r="BU27" s="17">
        <v>4.47</v>
      </c>
      <c r="BV27" s="17">
        <v>0.77</v>
      </c>
      <c r="BW27" s="17"/>
      <c r="BX27" s="17">
        <v>52</v>
      </c>
      <c r="BY27" s="17">
        <v>4.32</v>
      </c>
      <c r="BZ27" s="17">
        <v>0.9</v>
      </c>
      <c r="CA27" s="17"/>
      <c r="CB27" s="17">
        <v>52</v>
      </c>
      <c r="CC27" s="17">
        <v>0</v>
      </c>
      <c r="CD27" s="37">
        <f t="shared" si="4"/>
        <v>-0.17909889207976989</v>
      </c>
      <c r="CE27" s="17">
        <v>104</v>
      </c>
      <c r="CF27" s="22">
        <f t="shared" si="0"/>
        <v>-0.17909889207976989</v>
      </c>
      <c r="CG27" s="22">
        <f t="shared" si="1"/>
        <v>-0.20023864869263208</v>
      </c>
      <c r="CI27" s="33">
        <f t="shared" si="2"/>
        <v>3.8615751986270201E-2</v>
      </c>
      <c r="CJ27" s="37">
        <f t="shared" si="3"/>
        <v>3.861341541771366E-2</v>
      </c>
    </row>
    <row r="28" spans="1:88" s="35" customFormat="1" x14ac:dyDescent="0.35">
      <c r="A28" s="29" t="s">
        <v>172</v>
      </c>
      <c r="B28" s="48" t="s">
        <v>173</v>
      </c>
      <c r="C28" s="29" t="s">
        <v>174</v>
      </c>
      <c r="D28" s="30" t="s">
        <v>175</v>
      </c>
      <c r="E28" s="30" t="s">
        <v>176</v>
      </c>
      <c r="F28" s="12" t="s">
        <v>1109</v>
      </c>
      <c r="G28" s="27">
        <v>1</v>
      </c>
      <c r="H28" s="27">
        <v>1</v>
      </c>
      <c r="I28" s="27">
        <v>2</v>
      </c>
      <c r="J28" s="11" t="s">
        <v>1111</v>
      </c>
      <c r="K28" s="82">
        <v>0</v>
      </c>
      <c r="L28" s="31" t="s">
        <v>177</v>
      </c>
      <c r="M28" s="31">
        <v>1</v>
      </c>
      <c r="N28" s="31">
        <v>147</v>
      </c>
      <c r="O28" s="27">
        <v>104</v>
      </c>
      <c r="P28" s="27" t="s">
        <v>147</v>
      </c>
      <c r="Q28" s="27">
        <v>2</v>
      </c>
      <c r="R28" s="27">
        <v>1</v>
      </c>
      <c r="S28" s="32">
        <v>0</v>
      </c>
      <c r="T28" s="27">
        <v>0</v>
      </c>
      <c r="U28" s="27">
        <v>1</v>
      </c>
      <c r="V28" s="27">
        <v>0</v>
      </c>
      <c r="W28" s="27">
        <v>0</v>
      </c>
      <c r="X28" s="27">
        <v>0</v>
      </c>
      <c r="Y28" s="27">
        <v>0</v>
      </c>
      <c r="Z28" s="27">
        <v>1</v>
      </c>
      <c r="AA28" s="146">
        <v>0</v>
      </c>
      <c r="AB28" s="27">
        <v>0</v>
      </c>
      <c r="AC28" s="27" t="s">
        <v>178</v>
      </c>
      <c r="AD28" s="12">
        <v>3.6</v>
      </c>
      <c r="AE28" s="27">
        <v>2.6</v>
      </c>
      <c r="AF28" s="27" t="s">
        <v>179</v>
      </c>
      <c r="AG28" s="27">
        <v>1</v>
      </c>
      <c r="AH28" s="27" t="s">
        <v>180</v>
      </c>
      <c r="AI28" s="27">
        <v>69</v>
      </c>
      <c r="AJ28" s="27">
        <v>58</v>
      </c>
      <c r="AK28" s="27">
        <v>40</v>
      </c>
      <c r="AL28" s="27">
        <v>45</v>
      </c>
      <c r="AM28" s="27">
        <v>87</v>
      </c>
      <c r="AN28" s="27">
        <v>49</v>
      </c>
      <c r="AO28" s="33"/>
      <c r="AP28" s="27">
        <v>1</v>
      </c>
      <c r="AQ28" s="27">
        <v>0</v>
      </c>
      <c r="AR28" s="27">
        <v>0</v>
      </c>
      <c r="AS28" s="27">
        <v>0</v>
      </c>
      <c r="AT28" s="27">
        <v>0</v>
      </c>
      <c r="AU28" s="27">
        <v>1</v>
      </c>
      <c r="AV28" s="27">
        <v>0</v>
      </c>
      <c r="AW28" s="27">
        <v>1</v>
      </c>
      <c r="AX28" s="27">
        <v>1</v>
      </c>
      <c r="AY28" s="31" t="s">
        <v>186</v>
      </c>
      <c r="AZ28" s="54" t="s">
        <v>182</v>
      </c>
      <c r="BA28" s="27" t="s">
        <v>183</v>
      </c>
      <c r="BB28" s="30" t="s">
        <v>44</v>
      </c>
      <c r="BC28" s="30" t="s">
        <v>187</v>
      </c>
      <c r="BD28" s="27">
        <v>4</v>
      </c>
      <c r="BE28" s="27">
        <v>7</v>
      </c>
      <c r="BF28" s="27">
        <v>1</v>
      </c>
      <c r="BG28" s="27">
        <v>1</v>
      </c>
      <c r="BH28" s="27">
        <v>0</v>
      </c>
      <c r="BI28" s="27">
        <v>0</v>
      </c>
      <c r="BJ28" s="27"/>
      <c r="BK28" s="27">
        <v>0.8</v>
      </c>
      <c r="BL28" s="57" t="s">
        <v>33</v>
      </c>
      <c r="BM28" s="27">
        <v>148</v>
      </c>
      <c r="BN28" s="27"/>
      <c r="BO28" s="27"/>
      <c r="BP28" s="27"/>
      <c r="BQ28" s="27"/>
      <c r="BR28" s="55"/>
      <c r="BS28" s="55"/>
      <c r="BT28" s="27"/>
      <c r="BU28" s="27">
        <v>4.37</v>
      </c>
      <c r="BV28" s="27">
        <v>0.85</v>
      </c>
      <c r="BW28" s="27"/>
      <c r="BX28" s="27">
        <v>52</v>
      </c>
      <c r="BY28" s="27">
        <v>4.0199999999999996</v>
      </c>
      <c r="BZ28" s="27">
        <v>0.8</v>
      </c>
      <c r="CA28" s="27"/>
      <c r="CB28" s="27">
        <v>52</v>
      </c>
      <c r="CC28" s="27">
        <v>1</v>
      </c>
      <c r="CD28" s="37">
        <f t="shared" si="4"/>
        <v>-0.42404777297076846</v>
      </c>
      <c r="CE28" s="27">
        <v>104</v>
      </c>
      <c r="CF28" s="56">
        <f t="shared" si="0"/>
        <v>-0.42404777297076846</v>
      </c>
      <c r="CG28" s="22">
        <f t="shared" si="1"/>
        <v>-0.47409982303501813</v>
      </c>
      <c r="CH28" s="30"/>
      <c r="CI28" s="33">
        <f t="shared" si="2"/>
        <v>3.9326040931545521E-2</v>
      </c>
      <c r="CJ28" s="37">
        <f t="shared" si="3"/>
        <v>3.9312942409272689E-2</v>
      </c>
    </row>
    <row r="29" spans="1:88" s="35" customFormat="1" x14ac:dyDescent="0.35">
      <c r="A29" s="38" t="s">
        <v>172</v>
      </c>
      <c r="B29" s="49" t="s">
        <v>173</v>
      </c>
      <c r="C29" s="38" t="s">
        <v>174</v>
      </c>
      <c r="D29" s="39" t="s">
        <v>175</v>
      </c>
      <c r="E29" s="39" t="s">
        <v>176</v>
      </c>
      <c r="F29" s="18" t="s">
        <v>1109</v>
      </c>
      <c r="G29" s="28">
        <v>1</v>
      </c>
      <c r="H29" s="28">
        <v>1</v>
      </c>
      <c r="I29" s="28">
        <v>2</v>
      </c>
      <c r="J29" s="18" t="s">
        <v>1111</v>
      </c>
      <c r="K29" s="83">
        <v>0</v>
      </c>
      <c r="L29" s="40" t="s">
        <v>177</v>
      </c>
      <c r="M29" s="40">
        <v>1</v>
      </c>
      <c r="N29" s="40">
        <v>147</v>
      </c>
      <c r="O29" s="28">
        <v>104</v>
      </c>
      <c r="P29" s="28" t="s">
        <v>147</v>
      </c>
      <c r="Q29" s="28">
        <v>2</v>
      </c>
      <c r="R29" s="28">
        <v>1</v>
      </c>
      <c r="S29" s="41">
        <v>0</v>
      </c>
      <c r="T29" s="28">
        <v>0</v>
      </c>
      <c r="U29" s="28">
        <v>1</v>
      </c>
      <c r="V29" s="28">
        <v>0</v>
      </c>
      <c r="W29" s="28">
        <v>0</v>
      </c>
      <c r="X29" s="28">
        <v>0</v>
      </c>
      <c r="Y29" s="28">
        <v>0</v>
      </c>
      <c r="Z29" s="28">
        <v>1</v>
      </c>
      <c r="AA29" s="148">
        <v>0</v>
      </c>
      <c r="AB29" s="28">
        <v>0</v>
      </c>
      <c r="AC29" s="28" t="s">
        <v>178</v>
      </c>
      <c r="AD29" s="18">
        <v>3.6</v>
      </c>
      <c r="AE29" s="28">
        <v>2.6</v>
      </c>
      <c r="AF29" s="28" t="s">
        <v>179</v>
      </c>
      <c r="AG29" s="28">
        <v>1</v>
      </c>
      <c r="AH29" s="28" t="s">
        <v>180</v>
      </c>
      <c r="AI29" s="28">
        <v>69</v>
      </c>
      <c r="AJ29" s="28">
        <v>58</v>
      </c>
      <c r="AK29" s="28">
        <v>40</v>
      </c>
      <c r="AL29" s="28">
        <v>45</v>
      </c>
      <c r="AM29" s="28">
        <v>87</v>
      </c>
      <c r="AN29" s="28">
        <v>49</v>
      </c>
      <c r="AO29" s="42"/>
      <c r="AP29" s="28">
        <v>1</v>
      </c>
      <c r="AQ29" s="28">
        <v>0</v>
      </c>
      <c r="AR29" s="28">
        <v>0</v>
      </c>
      <c r="AS29" s="28">
        <v>0</v>
      </c>
      <c r="AT29" s="28">
        <v>0</v>
      </c>
      <c r="AU29" s="28">
        <v>1</v>
      </c>
      <c r="AV29" s="28">
        <v>0</v>
      </c>
      <c r="AW29" s="28">
        <v>1</v>
      </c>
      <c r="AX29" s="28">
        <v>1</v>
      </c>
      <c r="AY29" s="34" t="s">
        <v>188</v>
      </c>
      <c r="AZ29" s="25" t="s">
        <v>182</v>
      </c>
      <c r="BA29" s="17" t="s">
        <v>183</v>
      </c>
      <c r="BB29" s="35" t="s">
        <v>129</v>
      </c>
      <c r="BC29" s="35" t="s">
        <v>189</v>
      </c>
      <c r="BD29" s="17">
        <v>3</v>
      </c>
      <c r="BE29" s="17">
        <v>7</v>
      </c>
      <c r="BF29" s="17">
        <v>0</v>
      </c>
      <c r="BG29" s="17">
        <v>0</v>
      </c>
      <c r="BH29" s="17">
        <v>1</v>
      </c>
      <c r="BI29" s="17">
        <v>0</v>
      </c>
      <c r="BJ29" s="17"/>
      <c r="BK29" s="17">
        <v>0.8</v>
      </c>
      <c r="BL29" s="10" t="s">
        <v>33</v>
      </c>
      <c r="BM29" s="17">
        <v>148</v>
      </c>
      <c r="BN29" s="17"/>
      <c r="BO29" s="17"/>
      <c r="BP29" s="17"/>
      <c r="BQ29" s="17"/>
      <c r="BR29" s="36"/>
      <c r="BS29" s="36"/>
      <c r="BT29" s="17"/>
      <c r="BU29" s="17">
        <v>4.5199999999999996</v>
      </c>
      <c r="BV29" s="17">
        <v>1.02</v>
      </c>
      <c r="BW29" s="17"/>
      <c r="BX29" s="17">
        <v>52</v>
      </c>
      <c r="BY29" s="17">
        <v>5.03</v>
      </c>
      <c r="BZ29" s="17">
        <v>1.04</v>
      </c>
      <c r="CA29" s="17"/>
      <c r="CB29" s="17">
        <v>52</v>
      </c>
      <c r="CC29" s="17">
        <v>1</v>
      </c>
      <c r="CD29" s="37">
        <f t="shared" si="4"/>
        <v>0.49512229660525797</v>
      </c>
      <c r="CE29" s="17">
        <v>104</v>
      </c>
      <c r="CF29" s="22">
        <f t="shared" si="0"/>
        <v>0.49512229660525797</v>
      </c>
      <c r="CG29" s="22">
        <f t="shared" si="1"/>
        <v>0.55356355619258513</v>
      </c>
      <c r="CI29" s="33">
        <f t="shared" si="2"/>
        <v>3.9640125425940698E-2</v>
      </c>
      <c r="CJ29" s="37">
        <f t="shared" si="3"/>
        <v>3.9963659102443275E-2</v>
      </c>
    </row>
    <row r="30" spans="1:88" s="35" customFormat="1" x14ac:dyDescent="0.35">
      <c r="A30" s="29" t="s">
        <v>190</v>
      </c>
      <c r="B30" s="48" t="s">
        <v>191</v>
      </c>
      <c r="C30" s="29" t="s">
        <v>192</v>
      </c>
      <c r="D30" s="30" t="s">
        <v>193</v>
      </c>
      <c r="E30" s="30" t="s">
        <v>194</v>
      </c>
      <c r="F30" s="12" t="s">
        <v>1109</v>
      </c>
      <c r="G30" s="27">
        <v>0</v>
      </c>
      <c r="H30" s="27">
        <v>1</v>
      </c>
      <c r="I30" s="27">
        <v>1</v>
      </c>
      <c r="J30" s="11" t="s">
        <v>1107</v>
      </c>
      <c r="K30" s="82">
        <v>0</v>
      </c>
      <c r="L30" s="60" t="s">
        <v>195</v>
      </c>
      <c r="M30" s="31">
        <v>1</v>
      </c>
      <c r="N30" s="31">
        <v>802</v>
      </c>
      <c r="O30" s="27">
        <v>212</v>
      </c>
      <c r="P30" s="27" t="s">
        <v>196</v>
      </c>
      <c r="Q30" s="27">
        <v>3</v>
      </c>
      <c r="R30" s="27">
        <v>1</v>
      </c>
      <c r="S30" s="32">
        <v>0</v>
      </c>
      <c r="T30" s="27">
        <v>0</v>
      </c>
      <c r="U30" s="27">
        <v>0</v>
      </c>
      <c r="V30" s="27">
        <v>0</v>
      </c>
      <c r="W30" s="27">
        <v>1</v>
      </c>
      <c r="X30" s="27">
        <v>1</v>
      </c>
      <c r="Y30" s="27">
        <v>0</v>
      </c>
      <c r="Z30" s="27">
        <v>0</v>
      </c>
      <c r="AA30" s="149">
        <v>1</v>
      </c>
      <c r="AB30" s="27">
        <v>0</v>
      </c>
      <c r="AC30" s="27" t="s">
        <v>197</v>
      </c>
      <c r="AD30" s="12">
        <v>2.2999999999999998</v>
      </c>
      <c r="AE30" s="27">
        <v>2.6</v>
      </c>
      <c r="AF30" s="27" t="s">
        <v>58</v>
      </c>
      <c r="AG30" s="27">
        <v>0</v>
      </c>
      <c r="AH30" s="27" t="s">
        <v>198</v>
      </c>
      <c r="AI30" s="27">
        <v>85</v>
      </c>
      <c r="AJ30" s="27">
        <v>60</v>
      </c>
      <c r="AK30" s="27">
        <v>58</v>
      </c>
      <c r="AL30" s="27">
        <v>39</v>
      </c>
      <c r="AM30" s="27">
        <v>86</v>
      </c>
      <c r="AN30" s="27">
        <v>29</v>
      </c>
      <c r="AO30" s="33">
        <v>25.16</v>
      </c>
      <c r="AP30" s="27">
        <v>1</v>
      </c>
      <c r="AQ30" s="27">
        <v>0</v>
      </c>
      <c r="AR30" s="27">
        <v>1</v>
      </c>
      <c r="AS30" s="27">
        <v>0</v>
      </c>
      <c r="AT30" s="27">
        <v>0</v>
      </c>
      <c r="AU30" s="27">
        <v>0</v>
      </c>
      <c r="AV30" s="27">
        <v>0</v>
      </c>
      <c r="AW30" s="27">
        <v>1</v>
      </c>
      <c r="AX30" s="27">
        <v>1</v>
      </c>
      <c r="AY30" s="58" t="s">
        <v>199</v>
      </c>
      <c r="AZ30" s="25" t="s">
        <v>200</v>
      </c>
      <c r="BA30" s="27" t="s">
        <v>183</v>
      </c>
      <c r="BB30" s="35" t="s">
        <v>201</v>
      </c>
      <c r="BC30" s="35" t="s">
        <v>202</v>
      </c>
      <c r="BD30" s="17">
        <v>5</v>
      </c>
      <c r="BE30" s="17">
        <v>5</v>
      </c>
      <c r="BF30" s="17">
        <v>1</v>
      </c>
      <c r="BG30" s="17">
        <v>1</v>
      </c>
      <c r="BH30" s="17">
        <v>0</v>
      </c>
      <c r="BI30" s="17">
        <v>0</v>
      </c>
      <c r="BJ30" s="17"/>
      <c r="BK30" s="17">
        <v>0.8</v>
      </c>
      <c r="BL30" s="10" t="s">
        <v>33</v>
      </c>
      <c r="BM30" s="17">
        <v>803</v>
      </c>
      <c r="BN30" s="17"/>
      <c r="BO30" s="17"/>
      <c r="BP30" s="17"/>
      <c r="BQ30" s="17"/>
      <c r="BR30" s="36"/>
      <c r="BS30" s="36"/>
      <c r="BT30" s="17"/>
      <c r="BU30" s="17">
        <v>2.61</v>
      </c>
      <c r="BV30" s="17">
        <v>0.4</v>
      </c>
      <c r="BW30" s="17"/>
      <c r="BX30" s="17">
        <v>35</v>
      </c>
      <c r="BY30" s="17">
        <v>3.27</v>
      </c>
      <c r="BZ30" s="17">
        <v>0.4</v>
      </c>
      <c r="CA30" s="17"/>
      <c r="CB30" s="17">
        <v>35</v>
      </c>
      <c r="CC30" s="17">
        <v>1</v>
      </c>
      <c r="CD30" s="37">
        <f t="shared" si="4"/>
        <v>1.6500000000000004</v>
      </c>
      <c r="CE30" s="17">
        <v>70</v>
      </c>
      <c r="CF30" s="22">
        <f t="shared" si="0"/>
        <v>1.6500000000000004</v>
      </c>
      <c r="CG30" s="22">
        <f t="shared" si="1"/>
        <v>1.8447560814373269</v>
      </c>
      <c r="CI30" s="33">
        <f t="shared" si="2"/>
        <v>7.6589285714285721E-2</v>
      </c>
      <c r="CJ30" s="37">
        <f t="shared" si="3"/>
        <v>7.7161239495798326E-2</v>
      </c>
    </row>
    <row r="31" spans="1:88" s="35" customFormat="1" x14ac:dyDescent="0.35">
      <c r="A31" s="29" t="s">
        <v>190</v>
      </c>
      <c r="B31" s="48" t="s">
        <v>191</v>
      </c>
      <c r="C31" s="29" t="s">
        <v>192</v>
      </c>
      <c r="D31" s="30" t="s">
        <v>193</v>
      </c>
      <c r="E31" s="30" t="s">
        <v>194</v>
      </c>
      <c r="F31" s="12" t="s">
        <v>1109</v>
      </c>
      <c r="G31" s="27">
        <v>0</v>
      </c>
      <c r="H31" s="27">
        <v>1</v>
      </c>
      <c r="I31" s="27">
        <v>1</v>
      </c>
      <c r="J31" s="11" t="s">
        <v>1107</v>
      </c>
      <c r="K31" s="82">
        <v>0</v>
      </c>
      <c r="L31" s="31" t="s">
        <v>195</v>
      </c>
      <c r="M31" s="31">
        <v>1</v>
      </c>
      <c r="N31" s="31">
        <v>802</v>
      </c>
      <c r="O31" s="27">
        <v>212</v>
      </c>
      <c r="P31" s="27" t="s">
        <v>196</v>
      </c>
      <c r="Q31" s="27">
        <v>3</v>
      </c>
      <c r="R31" s="27">
        <v>1</v>
      </c>
      <c r="S31" s="32">
        <v>0</v>
      </c>
      <c r="T31" s="27">
        <v>0</v>
      </c>
      <c r="U31" s="27">
        <v>0</v>
      </c>
      <c r="V31" s="27">
        <v>0</v>
      </c>
      <c r="W31" s="27">
        <v>1</v>
      </c>
      <c r="X31" s="27">
        <v>1</v>
      </c>
      <c r="Y31" s="27">
        <v>0</v>
      </c>
      <c r="Z31" s="27">
        <v>0</v>
      </c>
      <c r="AA31" s="149">
        <v>1</v>
      </c>
      <c r="AB31" s="17">
        <v>0</v>
      </c>
      <c r="AC31" s="27" t="s">
        <v>197</v>
      </c>
      <c r="AD31" s="12">
        <v>2.2999999999999998</v>
      </c>
      <c r="AE31" s="27">
        <v>2.6</v>
      </c>
      <c r="AF31" s="27" t="s">
        <v>58</v>
      </c>
      <c r="AG31" s="27">
        <v>0</v>
      </c>
      <c r="AH31" s="27" t="s">
        <v>198</v>
      </c>
      <c r="AI31" s="27">
        <v>85</v>
      </c>
      <c r="AJ31" s="27">
        <v>60</v>
      </c>
      <c r="AK31" s="27">
        <v>58</v>
      </c>
      <c r="AL31" s="27">
        <v>39</v>
      </c>
      <c r="AM31" s="27">
        <v>86</v>
      </c>
      <c r="AN31" s="27">
        <v>29</v>
      </c>
      <c r="AO31" s="33">
        <v>25.16</v>
      </c>
      <c r="AP31" s="27">
        <v>1</v>
      </c>
      <c r="AQ31" s="27">
        <v>0</v>
      </c>
      <c r="AR31" s="27">
        <v>1</v>
      </c>
      <c r="AS31" s="27">
        <v>0</v>
      </c>
      <c r="AT31" s="27">
        <v>0</v>
      </c>
      <c r="AU31" s="27">
        <v>0</v>
      </c>
      <c r="AV31" s="27">
        <v>0</v>
      </c>
      <c r="AW31" s="27">
        <v>1</v>
      </c>
      <c r="AX31" s="27">
        <v>1</v>
      </c>
      <c r="AY31" s="58" t="s">
        <v>203</v>
      </c>
      <c r="AZ31" s="25" t="s">
        <v>200</v>
      </c>
      <c r="BA31" s="17" t="s">
        <v>183</v>
      </c>
      <c r="BB31" s="35" t="s">
        <v>46</v>
      </c>
      <c r="BC31" s="35" t="s">
        <v>204</v>
      </c>
      <c r="BD31" s="17">
        <v>3</v>
      </c>
      <c r="BE31" s="17">
        <v>5</v>
      </c>
      <c r="BF31" s="17">
        <v>0</v>
      </c>
      <c r="BG31" s="17">
        <v>0</v>
      </c>
      <c r="BH31" s="17">
        <v>1</v>
      </c>
      <c r="BI31" s="17">
        <v>0</v>
      </c>
      <c r="BJ31" s="17"/>
      <c r="BK31" s="17">
        <v>0.8</v>
      </c>
      <c r="BL31" s="10" t="s">
        <v>33</v>
      </c>
      <c r="BM31" s="17">
        <v>803</v>
      </c>
      <c r="BN31" s="17"/>
      <c r="BO31" s="17"/>
      <c r="BP31" s="17"/>
      <c r="BQ31" s="17"/>
      <c r="BR31" s="36"/>
      <c r="BS31" s="36"/>
      <c r="BT31" s="17"/>
      <c r="BU31" s="17">
        <v>2.52</v>
      </c>
      <c r="BV31" s="17">
        <v>0.4</v>
      </c>
      <c r="BW31" s="17"/>
      <c r="BX31" s="17">
        <v>35</v>
      </c>
      <c r="BY31" s="59" t="s">
        <v>1035</v>
      </c>
      <c r="BZ31" s="17">
        <v>0.4</v>
      </c>
      <c r="CA31" s="17"/>
      <c r="CB31" s="17">
        <v>35</v>
      </c>
      <c r="CC31" s="17">
        <v>1</v>
      </c>
      <c r="CD31" s="37">
        <f t="shared" si="4"/>
        <v>1.1499999999999999</v>
      </c>
      <c r="CE31" s="17">
        <v>70</v>
      </c>
      <c r="CF31" s="22">
        <f t="shared" si="0"/>
        <v>1.1499999999999999</v>
      </c>
      <c r="CG31" s="22">
        <f t="shared" si="1"/>
        <v>1.285739087062379</v>
      </c>
      <c r="CI31" s="33">
        <f t="shared" si="2"/>
        <v>6.6589285714285712E-2</v>
      </c>
      <c r="CJ31" s="37">
        <f t="shared" si="3"/>
        <v>6.6867121848739497E-2</v>
      </c>
    </row>
    <row r="32" spans="1:88" s="35" customFormat="1" x14ac:dyDescent="0.35">
      <c r="A32" s="29" t="s">
        <v>190</v>
      </c>
      <c r="B32" s="48" t="s">
        <v>191</v>
      </c>
      <c r="C32" s="29" t="s">
        <v>192</v>
      </c>
      <c r="D32" s="30" t="s">
        <v>193</v>
      </c>
      <c r="E32" s="30" t="s">
        <v>194</v>
      </c>
      <c r="F32" s="12" t="s">
        <v>1109</v>
      </c>
      <c r="G32" s="27">
        <v>0</v>
      </c>
      <c r="H32" s="27">
        <v>1</v>
      </c>
      <c r="I32" s="27">
        <v>1</v>
      </c>
      <c r="J32" s="11" t="s">
        <v>1107</v>
      </c>
      <c r="K32" s="82">
        <v>0</v>
      </c>
      <c r="L32" s="61" t="s">
        <v>195</v>
      </c>
      <c r="M32" s="31">
        <v>1</v>
      </c>
      <c r="N32" s="31">
        <v>802</v>
      </c>
      <c r="O32" s="27">
        <v>212</v>
      </c>
      <c r="P32" s="27" t="s">
        <v>196</v>
      </c>
      <c r="Q32" s="27">
        <v>3</v>
      </c>
      <c r="R32" s="27">
        <v>2</v>
      </c>
      <c r="S32" s="32">
        <v>0</v>
      </c>
      <c r="T32" s="27">
        <v>0</v>
      </c>
      <c r="U32" s="27">
        <v>0</v>
      </c>
      <c r="V32" s="27">
        <v>1</v>
      </c>
      <c r="W32" s="27">
        <v>0</v>
      </c>
      <c r="X32" s="27">
        <v>1</v>
      </c>
      <c r="Y32" s="27">
        <v>0</v>
      </c>
      <c r="Z32" s="27">
        <v>0</v>
      </c>
      <c r="AA32" s="149">
        <v>1</v>
      </c>
      <c r="AB32" s="27">
        <v>0</v>
      </c>
      <c r="AC32" s="27" t="s">
        <v>197</v>
      </c>
      <c r="AD32" s="12">
        <v>2.2999999999999998</v>
      </c>
      <c r="AE32" s="27">
        <v>2.6</v>
      </c>
      <c r="AF32" s="27" t="s">
        <v>58</v>
      </c>
      <c r="AG32" s="27">
        <v>0</v>
      </c>
      <c r="AH32" s="27" t="s">
        <v>198</v>
      </c>
      <c r="AI32" s="27">
        <v>85</v>
      </c>
      <c r="AJ32" s="27">
        <v>60</v>
      </c>
      <c r="AK32" s="27">
        <v>58</v>
      </c>
      <c r="AL32" s="27">
        <v>39</v>
      </c>
      <c r="AM32" s="27">
        <v>86</v>
      </c>
      <c r="AN32" s="27">
        <v>29</v>
      </c>
      <c r="AO32" s="33">
        <v>25.16</v>
      </c>
      <c r="AP32" s="27">
        <v>1</v>
      </c>
      <c r="AQ32" s="27">
        <v>0</v>
      </c>
      <c r="AR32" s="27">
        <v>1</v>
      </c>
      <c r="AS32" s="27">
        <v>0</v>
      </c>
      <c r="AT32" s="27">
        <v>0</v>
      </c>
      <c r="AU32" s="27">
        <v>0</v>
      </c>
      <c r="AV32" s="27">
        <v>0</v>
      </c>
      <c r="AW32" s="27">
        <v>1</v>
      </c>
      <c r="AX32" s="27">
        <v>1</v>
      </c>
      <c r="AY32" s="58" t="s">
        <v>205</v>
      </c>
      <c r="AZ32" s="25" t="s">
        <v>200</v>
      </c>
      <c r="BA32" s="17" t="s">
        <v>83</v>
      </c>
      <c r="BB32" s="35" t="s">
        <v>201</v>
      </c>
      <c r="BC32" s="35" t="s">
        <v>202</v>
      </c>
      <c r="BD32" s="17">
        <v>5</v>
      </c>
      <c r="BE32" s="17">
        <v>5</v>
      </c>
      <c r="BF32" s="17">
        <v>1</v>
      </c>
      <c r="BG32" s="17">
        <v>1</v>
      </c>
      <c r="BH32" s="17">
        <v>0</v>
      </c>
      <c r="BI32" s="17">
        <v>0</v>
      </c>
      <c r="BJ32" s="17"/>
      <c r="BK32" s="17">
        <v>0.8</v>
      </c>
      <c r="BL32" s="10" t="s">
        <v>33</v>
      </c>
      <c r="BM32" s="17">
        <v>803</v>
      </c>
      <c r="BN32" s="17"/>
      <c r="BO32" s="17"/>
      <c r="BP32" s="17"/>
      <c r="BQ32" s="17"/>
      <c r="BR32" s="36"/>
      <c r="BS32" s="36"/>
      <c r="BT32" s="17"/>
      <c r="BU32" s="17">
        <v>2.61</v>
      </c>
      <c r="BV32" s="17">
        <v>0.4</v>
      </c>
      <c r="BW32" s="17"/>
      <c r="BX32" s="17">
        <v>35</v>
      </c>
      <c r="BY32" s="17">
        <v>3.25</v>
      </c>
      <c r="BZ32" s="17">
        <v>0.4</v>
      </c>
      <c r="CA32" s="17"/>
      <c r="CB32" s="17">
        <v>35</v>
      </c>
      <c r="CC32" s="17">
        <v>1</v>
      </c>
      <c r="CD32" s="37">
        <f t="shared" si="4"/>
        <v>1.6000000000000003</v>
      </c>
      <c r="CE32" s="17">
        <v>70</v>
      </c>
      <c r="CF32" s="22">
        <f t="shared" si="0"/>
        <v>1.6000000000000003</v>
      </c>
      <c r="CG32" s="22">
        <f t="shared" si="1"/>
        <v>1.7888543819998322</v>
      </c>
      <c r="CI32" s="33">
        <f t="shared" si="2"/>
        <v>7.5428571428571428E-2</v>
      </c>
      <c r="CJ32" s="37">
        <f t="shared" si="3"/>
        <v>7.5966386554621859E-2</v>
      </c>
    </row>
    <row r="33" spans="1:88" s="35" customFormat="1" x14ac:dyDescent="0.35">
      <c r="A33" s="29" t="s">
        <v>190</v>
      </c>
      <c r="B33" s="48" t="s">
        <v>191</v>
      </c>
      <c r="C33" s="29" t="s">
        <v>192</v>
      </c>
      <c r="D33" s="30" t="s">
        <v>193</v>
      </c>
      <c r="E33" s="30" t="s">
        <v>194</v>
      </c>
      <c r="F33" s="11" t="s">
        <v>1109</v>
      </c>
      <c r="G33" s="27">
        <v>0</v>
      </c>
      <c r="H33" s="27">
        <v>1</v>
      </c>
      <c r="I33" s="27">
        <v>1</v>
      </c>
      <c r="J33" s="11" t="s">
        <v>1107</v>
      </c>
      <c r="K33" s="82">
        <v>0</v>
      </c>
      <c r="L33" s="31" t="s">
        <v>195</v>
      </c>
      <c r="M33" s="31">
        <v>1</v>
      </c>
      <c r="N33" s="31">
        <v>802</v>
      </c>
      <c r="O33" s="27">
        <v>212</v>
      </c>
      <c r="P33" s="27" t="s">
        <v>196</v>
      </c>
      <c r="Q33" s="27">
        <v>3</v>
      </c>
      <c r="R33" s="27">
        <v>2</v>
      </c>
      <c r="S33" s="32">
        <v>0</v>
      </c>
      <c r="T33" s="27">
        <v>0</v>
      </c>
      <c r="U33" s="27">
        <v>0</v>
      </c>
      <c r="V33" s="27">
        <v>1</v>
      </c>
      <c r="W33" s="27">
        <v>0</v>
      </c>
      <c r="X33" s="27">
        <v>1</v>
      </c>
      <c r="Y33" s="27">
        <v>0</v>
      </c>
      <c r="Z33" s="27">
        <v>0</v>
      </c>
      <c r="AA33" s="179">
        <v>1</v>
      </c>
      <c r="AB33" s="27">
        <v>0</v>
      </c>
      <c r="AC33" s="27" t="s">
        <v>197</v>
      </c>
      <c r="AD33" s="11">
        <v>2.2999999999999998</v>
      </c>
      <c r="AE33" s="27">
        <v>2.6</v>
      </c>
      <c r="AF33" s="27" t="s">
        <v>58</v>
      </c>
      <c r="AG33" s="27">
        <v>0</v>
      </c>
      <c r="AH33" s="27" t="s">
        <v>198</v>
      </c>
      <c r="AI33" s="27">
        <v>85</v>
      </c>
      <c r="AJ33" s="27">
        <v>60</v>
      </c>
      <c r="AK33" s="27">
        <v>58</v>
      </c>
      <c r="AL33" s="27">
        <v>39</v>
      </c>
      <c r="AM33" s="27">
        <v>86</v>
      </c>
      <c r="AN33" s="27">
        <v>29</v>
      </c>
      <c r="AO33" s="33">
        <v>25.16</v>
      </c>
      <c r="AP33" s="27">
        <v>1</v>
      </c>
      <c r="AQ33" s="27">
        <v>0</v>
      </c>
      <c r="AR33" s="27">
        <v>1</v>
      </c>
      <c r="AS33" s="27">
        <v>0</v>
      </c>
      <c r="AT33" s="27">
        <v>0</v>
      </c>
      <c r="AU33" s="27">
        <v>0</v>
      </c>
      <c r="AV33" s="27">
        <v>0</v>
      </c>
      <c r="AW33" s="27">
        <v>1</v>
      </c>
      <c r="AX33" s="27">
        <v>1</v>
      </c>
      <c r="AY33" s="58" t="s">
        <v>206</v>
      </c>
      <c r="AZ33" s="25" t="s">
        <v>200</v>
      </c>
      <c r="BA33" s="17" t="s">
        <v>83</v>
      </c>
      <c r="BB33" s="35" t="s">
        <v>46</v>
      </c>
      <c r="BC33" s="35" t="s">
        <v>204</v>
      </c>
      <c r="BD33" s="17">
        <v>3</v>
      </c>
      <c r="BE33" s="17">
        <v>5</v>
      </c>
      <c r="BF33" s="17">
        <v>0</v>
      </c>
      <c r="BG33" s="17">
        <v>0</v>
      </c>
      <c r="BH33" s="17">
        <v>1</v>
      </c>
      <c r="BI33" s="17">
        <v>0</v>
      </c>
      <c r="BJ33" s="17"/>
      <c r="BK33" s="17">
        <v>0.8</v>
      </c>
      <c r="BL33" s="10" t="s">
        <v>33</v>
      </c>
      <c r="BM33" s="17">
        <v>803</v>
      </c>
      <c r="BN33" s="17"/>
      <c r="BO33" s="17"/>
      <c r="BP33" s="17"/>
      <c r="BQ33" s="17"/>
      <c r="BR33" s="36"/>
      <c r="BS33" s="36"/>
      <c r="BT33" s="17"/>
      <c r="BU33" s="17">
        <v>2.52</v>
      </c>
      <c r="BV33" s="17">
        <v>0.4</v>
      </c>
      <c r="BW33" s="17"/>
      <c r="BX33" s="17">
        <v>35</v>
      </c>
      <c r="BY33" s="17">
        <v>3.05</v>
      </c>
      <c r="BZ33" s="17">
        <v>0.4</v>
      </c>
      <c r="CA33" s="17"/>
      <c r="CB33" s="17">
        <v>35</v>
      </c>
      <c r="CC33" s="17">
        <v>1</v>
      </c>
      <c r="CD33" s="37">
        <f t="shared" si="4"/>
        <v>1.3249999999999995</v>
      </c>
      <c r="CE33" s="17">
        <v>70</v>
      </c>
      <c r="CF33" s="22">
        <f t="shared" si="0"/>
        <v>1.3249999999999995</v>
      </c>
      <c r="CG33" s="22">
        <f t="shared" si="1"/>
        <v>1.4813950350936103</v>
      </c>
      <c r="CI33" s="33">
        <f t="shared" si="2"/>
        <v>6.9683035714285704E-2</v>
      </c>
      <c r="CJ33" s="37">
        <f t="shared" si="3"/>
        <v>7.0051864495798311E-2</v>
      </c>
    </row>
    <row r="34" spans="1:88" s="35" customFormat="1" x14ac:dyDescent="0.35">
      <c r="A34" s="29" t="s">
        <v>190</v>
      </c>
      <c r="B34" s="48" t="s">
        <v>191</v>
      </c>
      <c r="C34" s="29" t="s">
        <v>192</v>
      </c>
      <c r="D34" s="30" t="s">
        <v>193</v>
      </c>
      <c r="E34" s="30" t="s">
        <v>194</v>
      </c>
      <c r="F34" s="12" t="s">
        <v>1109</v>
      </c>
      <c r="G34" s="27">
        <v>0</v>
      </c>
      <c r="H34" s="27">
        <v>1</v>
      </c>
      <c r="I34" s="27">
        <v>1</v>
      </c>
      <c r="J34" s="11" t="s">
        <v>1107</v>
      </c>
      <c r="K34" s="82">
        <v>0</v>
      </c>
      <c r="L34" s="61" t="s">
        <v>195</v>
      </c>
      <c r="M34" s="31">
        <v>1</v>
      </c>
      <c r="N34" s="31">
        <v>802</v>
      </c>
      <c r="O34" s="27">
        <v>212</v>
      </c>
      <c r="P34" s="27" t="s">
        <v>196</v>
      </c>
      <c r="Q34" s="27">
        <v>3</v>
      </c>
      <c r="R34" s="27">
        <v>3</v>
      </c>
      <c r="S34" s="32">
        <v>0</v>
      </c>
      <c r="T34" s="27">
        <v>0</v>
      </c>
      <c r="U34" s="27">
        <v>0</v>
      </c>
      <c r="V34" s="27">
        <v>0</v>
      </c>
      <c r="W34" s="27">
        <v>1</v>
      </c>
      <c r="X34" s="27">
        <v>1</v>
      </c>
      <c r="Y34" s="27">
        <v>0</v>
      </c>
      <c r="Z34" s="27">
        <v>0</v>
      </c>
      <c r="AA34" s="149">
        <v>1</v>
      </c>
      <c r="AB34" s="27">
        <v>0</v>
      </c>
      <c r="AC34" s="27" t="s">
        <v>207</v>
      </c>
      <c r="AD34" s="12">
        <v>1.9</v>
      </c>
      <c r="AE34" s="27">
        <v>2.6</v>
      </c>
      <c r="AF34" s="27" t="s">
        <v>58</v>
      </c>
      <c r="AG34" s="27">
        <v>0</v>
      </c>
      <c r="AH34" s="27" t="s">
        <v>198</v>
      </c>
      <c r="AI34" s="27">
        <v>85</v>
      </c>
      <c r="AJ34" s="27">
        <v>60</v>
      </c>
      <c r="AK34" s="27">
        <v>58</v>
      </c>
      <c r="AL34" s="27">
        <v>39</v>
      </c>
      <c r="AM34" s="27">
        <v>86</v>
      </c>
      <c r="AN34" s="27">
        <v>29</v>
      </c>
      <c r="AO34" s="33">
        <v>25.16</v>
      </c>
      <c r="AP34" s="27">
        <v>1</v>
      </c>
      <c r="AQ34" s="27">
        <v>0</v>
      </c>
      <c r="AR34" s="27">
        <v>1</v>
      </c>
      <c r="AS34" s="27">
        <v>0</v>
      </c>
      <c r="AT34" s="27">
        <v>0</v>
      </c>
      <c r="AU34" s="27">
        <v>0</v>
      </c>
      <c r="AV34" s="27">
        <v>0</v>
      </c>
      <c r="AW34" s="27">
        <v>1</v>
      </c>
      <c r="AX34" s="27">
        <v>1</v>
      </c>
      <c r="AY34" s="58" t="s">
        <v>208</v>
      </c>
      <c r="AZ34" s="25" t="s">
        <v>200</v>
      </c>
      <c r="BA34" s="17" t="s">
        <v>183</v>
      </c>
      <c r="BB34" s="35" t="s">
        <v>201</v>
      </c>
      <c r="BC34" s="35" t="s">
        <v>202</v>
      </c>
      <c r="BD34" s="17">
        <v>5</v>
      </c>
      <c r="BE34" s="17">
        <v>5</v>
      </c>
      <c r="BF34" s="17">
        <v>1</v>
      </c>
      <c r="BG34" s="17">
        <v>1</v>
      </c>
      <c r="BH34" s="17">
        <v>0</v>
      </c>
      <c r="BI34" s="17">
        <v>0</v>
      </c>
      <c r="BJ34" s="17"/>
      <c r="BK34" s="17">
        <v>0.8</v>
      </c>
      <c r="BL34" s="10" t="s">
        <v>33</v>
      </c>
      <c r="BM34" s="17">
        <v>803</v>
      </c>
      <c r="BN34" s="17"/>
      <c r="BO34" s="17"/>
      <c r="BP34" s="17"/>
      <c r="BQ34" s="17"/>
      <c r="BR34" s="36"/>
      <c r="BS34" s="36"/>
      <c r="BT34" s="17"/>
      <c r="BU34" s="17">
        <v>2.76</v>
      </c>
      <c r="BV34" s="17">
        <v>0.4</v>
      </c>
      <c r="BW34" s="17"/>
      <c r="BX34" s="17">
        <v>35</v>
      </c>
      <c r="BY34" s="17">
        <v>3.47</v>
      </c>
      <c r="BZ34" s="17">
        <v>0.4</v>
      </c>
      <c r="CA34" s="17"/>
      <c r="CB34" s="17">
        <v>35</v>
      </c>
      <c r="CC34" s="17">
        <v>1</v>
      </c>
      <c r="CD34" s="37">
        <f t="shared" si="4"/>
        <v>1.775000000000001</v>
      </c>
      <c r="CE34" s="17">
        <v>70</v>
      </c>
      <c r="CF34" s="22">
        <f t="shared" ref="CF34:CF54" si="5">CD34</f>
        <v>1.775000000000001</v>
      </c>
      <c r="CG34" s="22">
        <f t="shared" si="1"/>
        <v>1.9845103300310645</v>
      </c>
      <c r="CI34" s="33">
        <f t="shared" ref="CI34:CI54" si="6">((BX34+CB34)/(BX34*CB34))+((CF34^2)/(2*(BX34+CB34)))</f>
        <v>7.9647321428571449E-2</v>
      </c>
      <c r="CJ34" s="37">
        <f t="shared" si="3"/>
        <v>8.030921743697482E-2</v>
      </c>
    </row>
    <row r="35" spans="1:88" s="35" customFormat="1" x14ac:dyDescent="0.35">
      <c r="A35" s="29" t="s">
        <v>190</v>
      </c>
      <c r="B35" s="48" t="s">
        <v>191</v>
      </c>
      <c r="C35" s="29" t="s">
        <v>192</v>
      </c>
      <c r="D35" s="30" t="s">
        <v>193</v>
      </c>
      <c r="E35" s="30" t="s">
        <v>194</v>
      </c>
      <c r="F35" s="12" t="s">
        <v>1109</v>
      </c>
      <c r="G35" s="27">
        <v>0</v>
      </c>
      <c r="H35" s="27">
        <v>1</v>
      </c>
      <c r="I35" s="27">
        <v>1</v>
      </c>
      <c r="J35" s="11" t="s">
        <v>1107</v>
      </c>
      <c r="K35" s="82">
        <v>0</v>
      </c>
      <c r="L35" s="31" t="s">
        <v>195</v>
      </c>
      <c r="M35" s="31">
        <v>1</v>
      </c>
      <c r="N35" s="31">
        <v>802</v>
      </c>
      <c r="O35" s="27">
        <v>212</v>
      </c>
      <c r="P35" s="27" t="s">
        <v>196</v>
      </c>
      <c r="Q35" s="27">
        <v>3</v>
      </c>
      <c r="R35" s="27">
        <v>3</v>
      </c>
      <c r="S35" s="32">
        <v>0</v>
      </c>
      <c r="T35" s="27">
        <v>0</v>
      </c>
      <c r="U35" s="27">
        <v>0</v>
      </c>
      <c r="V35" s="27">
        <v>0</v>
      </c>
      <c r="W35" s="27">
        <v>1</v>
      </c>
      <c r="X35" s="27">
        <v>1</v>
      </c>
      <c r="Y35" s="27">
        <v>0</v>
      </c>
      <c r="Z35" s="27">
        <v>0</v>
      </c>
      <c r="AA35" s="149">
        <v>1</v>
      </c>
      <c r="AB35" s="27">
        <v>0</v>
      </c>
      <c r="AC35" s="27" t="s">
        <v>207</v>
      </c>
      <c r="AD35" s="12">
        <v>1.9</v>
      </c>
      <c r="AE35" s="27">
        <v>2.6</v>
      </c>
      <c r="AF35" s="27" t="s">
        <v>58</v>
      </c>
      <c r="AG35" s="27">
        <v>0</v>
      </c>
      <c r="AH35" s="27" t="s">
        <v>198</v>
      </c>
      <c r="AI35" s="27">
        <v>85</v>
      </c>
      <c r="AJ35" s="27">
        <v>60</v>
      </c>
      <c r="AK35" s="27">
        <v>58</v>
      </c>
      <c r="AL35" s="27">
        <v>39</v>
      </c>
      <c r="AM35" s="27">
        <v>86</v>
      </c>
      <c r="AN35" s="27">
        <v>29</v>
      </c>
      <c r="AO35" s="33">
        <v>25.16</v>
      </c>
      <c r="AP35" s="27">
        <v>1</v>
      </c>
      <c r="AQ35" s="27">
        <v>0</v>
      </c>
      <c r="AR35" s="27">
        <v>1</v>
      </c>
      <c r="AS35" s="27">
        <v>0</v>
      </c>
      <c r="AT35" s="27">
        <v>0</v>
      </c>
      <c r="AU35" s="27">
        <v>0</v>
      </c>
      <c r="AV35" s="27">
        <v>0</v>
      </c>
      <c r="AW35" s="27">
        <v>1</v>
      </c>
      <c r="AX35" s="27">
        <v>1</v>
      </c>
      <c r="AY35" s="60" t="s">
        <v>209</v>
      </c>
      <c r="AZ35" s="54" t="s">
        <v>200</v>
      </c>
      <c r="BA35" s="27" t="s">
        <v>183</v>
      </c>
      <c r="BB35" s="30" t="s">
        <v>46</v>
      </c>
      <c r="BC35" s="30" t="s">
        <v>204</v>
      </c>
      <c r="BD35" s="27">
        <v>3</v>
      </c>
      <c r="BE35" s="27">
        <v>5</v>
      </c>
      <c r="BF35" s="27">
        <v>0</v>
      </c>
      <c r="BG35" s="27">
        <v>0</v>
      </c>
      <c r="BH35" s="27">
        <v>1</v>
      </c>
      <c r="BI35" s="27">
        <v>0</v>
      </c>
      <c r="BJ35" s="27"/>
      <c r="BK35" s="27">
        <v>0.8</v>
      </c>
      <c r="BL35" s="57" t="s">
        <v>33</v>
      </c>
      <c r="BM35" s="27">
        <v>803</v>
      </c>
      <c r="BN35" s="27"/>
      <c r="BO35" s="27"/>
      <c r="BP35" s="27"/>
      <c r="BQ35" s="27"/>
      <c r="BR35" s="55"/>
      <c r="BS35" s="55"/>
      <c r="BT35" s="27"/>
      <c r="BU35" s="27">
        <v>2.59</v>
      </c>
      <c r="BV35" s="27">
        <v>0.4</v>
      </c>
      <c r="BW35" s="27"/>
      <c r="BX35" s="27">
        <v>35</v>
      </c>
      <c r="BY35" s="27">
        <v>3.12</v>
      </c>
      <c r="BZ35" s="27">
        <v>0.4</v>
      </c>
      <c r="CA35" s="27"/>
      <c r="CB35" s="27">
        <v>35</v>
      </c>
      <c r="CC35" s="27">
        <v>1</v>
      </c>
      <c r="CD35" s="37">
        <f t="shared" si="4"/>
        <v>1.3250000000000006</v>
      </c>
      <c r="CE35" s="27">
        <v>70</v>
      </c>
      <c r="CF35" s="56">
        <f t="shared" si="5"/>
        <v>1.3250000000000006</v>
      </c>
      <c r="CG35" s="22">
        <f t="shared" si="1"/>
        <v>1.4813950350936114</v>
      </c>
      <c r="CH35" s="30"/>
      <c r="CI35" s="33">
        <f t="shared" si="6"/>
        <v>6.9683035714285718E-2</v>
      </c>
      <c r="CJ35" s="37">
        <f t="shared" si="3"/>
        <v>8.8493303571428594E-2</v>
      </c>
    </row>
    <row r="36" spans="1:88" s="35" customFormat="1" x14ac:dyDescent="0.35">
      <c r="A36" s="29" t="s">
        <v>190</v>
      </c>
      <c r="B36" s="48" t="s">
        <v>191</v>
      </c>
      <c r="C36" s="29" t="s">
        <v>192</v>
      </c>
      <c r="D36" s="30" t="s">
        <v>193</v>
      </c>
      <c r="E36" s="30" t="s">
        <v>194</v>
      </c>
      <c r="F36" s="11" t="s">
        <v>1109</v>
      </c>
      <c r="G36" s="27">
        <v>0</v>
      </c>
      <c r="H36" s="27">
        <v>1</v>
      </c>
      <c r="I36" s="27">
        <v>1</v>
      </c>
      <c r="J36" s="11" t="s">
        <v>1107</v>
      </c>
      <c r="K36" s="82">
        <v>0</v>
      </c>
      <c r="L36" s="61" t="s">
        <v>195</v>
      </c>
      <c r="M36" s="31">
        <v>1</v>
      </c>
      <c r="N36" s="31">
        <v>802</v>
      </c>
      <c r="O36" s="27">
        <v>212</v>
      </c>
      <c r="P36" s="27" t="s">
        <v>196</v>
      </c>
      <c r="Q36" s="27">
        <v>3</v>
      </c>
      <c r="R36" s="27">
        <v>4</v>
      </c>
      <c r="S36" s="32">
        <v>0</v>
      </c>
      <c r="T36" s="27">
        <v>0</v>
      </c>
      <c r="U36" s="27">
        <v>0</v>
      </c>
      <c r="V36" s="27">
        <v>1</v>
      </c>
      <c r="W36" s="27">
        <v>0</v>
      </c>
      <c r="X36" s="27">
        <v>1</v>
      </c>
      <c r="Y36" s="27">
        <v>0</v>
      </c>
      <c r="Z36" s="27">
        <v>0</v>
      </c>
      <c r="AA36" s="179">
        <v>1</v>
      </c>
      <c r="AB36" s="27">
        <v>0</v>
      </c>
      <c r="AC36" s="27" t="s">
        <v>207</v>
      </c>
      <c r="AD36" s="11">
        <v>1.9</v>
      </c>
      <c r="AE36" s="27">
        <v>2.6</v>
      </c>
      <c r="AF36" s="27" t="s">
        <v>58</v>
      </c>
      <c r="AG36" s="27">
        <v>0</v>
      </c>
      <c r="AH36" s="27" t="s">
        <v>198</v>
      </c>
      <c r="AI36" s="27">
        <v>85</v>
      </c>
      <c r="AJ36" s="27">
        <v>60</v>
      </c>
      <c r="AK36" s="27">
        <v>58</v>
      </c>
      <c r="AL36" s="27">
        <v>39</v>
      </c>
      <c r="AM36" s="27">
        <v>86</v>
      </c>
      <c r="AN36" s="27">
        <v>29</v>
      </c>
      <c r="AO36" s="33">
        <v>25.16</v>
      </c>
      <c r="AP36" s="27">
        <v>1</v>
      </c>
      <c r="AQ36" s="27">
        <v>0</v>
      </c>
      <c r="AR36" s="27">
        <v>1</v>
      </c>
      <c r="AS36" s="27">
        <v>0</v>
      </c>
      <c r="AT36" s="27">
        <v>0</v>
      </c>
      <c r="AU36" s="27">
        <v>0</v>
      </c>
      <c r="AV36" s="27">
        <v>0</v>
      </c>
      <c r="AW36" s="27">
        <v>1</v>
      </c>
      <c r="AX36" s="27">
        <v>1</v>
      </c>
      <c r="AY36" s="58" t="s">
        <v>210</v>
      </c>
      <c r="AZ36" s="25" t="s">
        <v>200</v>
      </c>
      <c r="BA36" s="17" t="s">
        <v>83</v>
      </c>
      <c r="BB36" s="35" t="s">
        <v>201</v>
      </c>
      <c r="BC36" s="35" t="s">
        <v>202</v>
      </c>
      <c r="BD36" s="17">
        <v>5</v>
      </c>
      <c r="BE36" s="17">
        <v>5</v>
      </c>
      <c r="BF36" s="17">
        <v>1</v>
      </c>
      <c r="BG36" s="17">
        <v>1</v>
      </c>
      <c r="BH36" s="17">
        <v>0</v>
      </c>
      <c r="BI36" s="17">
        <v>0</v>
      </c>
      <c r="BJ36" s="17"/>
      <c r="BK36" s="17">
        <v>0.8</v>
      </c>
      <c r="BL36" s="10" t="s">
        <v>33</v>
      </c>
      <c r="BM36" s="17">
        <v>803</v>
      </c>
      <c r="BN36" s="17"/>
      <c r="BO36" s="17"/>
      <c r="BP36" s="17"/>
      <c r="BQ36" s="17"/>
      <c r="BR36" s="36"/>
      <c r="BS36" s="36"/>
      <c r="BT36" s="17"/>
      <c r="BU36" s="17">
        <v>2.76</v>
      </c>
      <c r="BV36" s="17">
        <v>0.4</v>
      </c>
      <c r="BW36" s="17"/>
      <c r="BX36" s="17">
        <v>35</v>
      </c>
      <c r="BY36" s="17">
        <v>3.8</v>
      </c>
      <c r="BZ36" s="17">
        <v>0.4</v>
      </c>
      <c r="CA36" s="17"/>
      <c r="CB36" s="17">
        <v>35</v>
      </c>
      <c r="CC36" s="17">
        <v>1</v>
      </c>
      <c r="CD36" s="37">
        <f t="shared" si="4"/>
        <v>2.6</v>
      </c>
      <c r="CE36" s="17">
        <v>70</v>
      </c>
      <c r="CF36" s="22">
        <f t="shared" si="5"/>
        <v>2.6</v>
      </c>
      <c r="CG36" s="22">
        <f t="shared" si="1"/>
        <v>2.9068883707497268</v>
      </c>
      <c r="CI36" s="37">
        <f t="shared" si="6"/>
        <v>0.10542857142857143</v>
      </c>
      <c r="CJ36" s="37">
        <f t="shared" si="3"/>
        <v>0.17785714285714288</v>
      </c>
    </row>
    <row r="37" spans="1:88" s="35" customFormat="1" x14ac:dyDescent="0.35">
      <c r="A37" s="38" t="s">
        <v>190</v>
      </c>
      <c r="B37" s="49" t="s">
        <v>191</v>
      </c>
      <c r="C37" s="38" t="s">
        <v>192</v>
      </c>
      <c r="D37" s="39" t="s">
        <v>193</v>
      </c>
      <c r="E37" s="39" t="s">
        <v>194</v>
      </c>
      <c r="F37" s="18" t="s">
        <v>1109</v>
      </c>
      <c r="G37" s="28">
        <v>0</v>
      </c>
      <c r="H37" s="28">
        <v>1</v>
      </c>
      <c r="I37" s="28">
        <v>1</v>
      </c>
      <c r="J37" s="18" t="s">
        <v>1107</v>
      </c>
      <c r="K37" s="83">
        <v>0</v>
      </c>
      <c r="L37" s="40" t="s">
        <v>195</v>
      </c>
      <c r="M37" s="40">
        <v>1</v>
      </c>
      <c r="N37" s="40">
        <v>802</v>
      </c>
      <c r="O37" s="28">
        <v>212</v>
      </c>
      <c r="P37" s="28" t="s">
        <v>196</v>
      </c>
      <c r="Q37" s="28">
        <v>3</v>
      </c>
      <c r="R37" s="28">
        <v>4</v>
      </c>
      <c r="S37" s="41">
        <v>0</v>
      </c>
      <c r="T37" s="28">
        <v>0</v>
      </c>
      <c r="U37" s="28">
        <v>0</v>
      </c>
      <c r="V37" s="28">
        <v>1</v>
      </c>
      <c r="W37" s="28">
        <v>0</v>
      </c>
      <c r="X37" s="28">
        <v>1</v>
      </c>
      <c r="Y37" s="28">
        <v>0</v>
      </c>
      <c r="Z37" s="28">
        <v>0</v>
      </c>
      <c r="AA37" s="208">
        <v>1</v>
      </c>
      <c r="AB37" s="28">
        <v>0</v>
      </c>
      <c r="AC37" s="28" t="s">
        <v>207</v>
      </c>
      <c r="AD37" s="18">
        <v>1.9</v>
      </c>
      <c r="AE37" s="28">
        <v>2.6</v>
      </c>
      <c r="AF37" s="28" t="s">
        <v>58</v>
      </c>
      <c r="AG37" s="28">
        <v>0</v>
      </c>
      <c r="AH37" s="28" t="s">
        <v>198</v>
      </c>
      <c r="AI37" s="28">
        <v>85</v>
      </c>
      <c r="AJ37" s="28">
        <v>60</v>
      </c>
      <c r="AK37" s="28">
        <v>58</v>
      </c>
      <c r="AL37" s="28">
        <v>39</v>
      </c>
      <c r="AM37" s="28">
        <v>86</v>
      </c>
      <c r="AN37" s="28">
        <v>29</v>
      </c>
      <c r="AO37" s="42">
        <v>25.16</v>
      </c>
      <c r="AP37" s="28">
        <v>1</v>
      </c>
      <c r="AQ37" s="28">
        <v>0</v>
      </c>
      <c r="AR37" s="28">
        <v>1</v>
      </c>
      <c r="AS37" s="28">
        <v>0</v>
      </c>
      <c r="AT37" s="28">
        <v>0</v>
      </c>
      <c r="AU37" s="28">
        <v>0</v>
      </c>
      <c r="AV37" s="28">
        <v>0</v>
      </c>
      <c r="AW37" s="28">
        <v>1</v>
      </c>
      <c r="AX37" s="28">
        <v>1</v>
      </c>
      <c r="AY37" s="58" t="s">
        <v>211</v>
      </c>
      <c r="AZ37" s="25" t="s">
        <v>200</v>
      </c>
      <c r="BA37" s="17" t="s">
        <v>83</v>
      </c>
      <c r="BB37" s="35" t="s">
        <v>46</v>
      </c>
      <c r="BC37" s="35" t="s">
        <v>204</v>
      </c>
      <c r="BD37" s="17">
        <v>3</v>
      </c>
      <c r="BE37" s="17">
        <v>5</v>
      </c>
      <c r="BF37" s="17">
        <v>0</v>
      </c>
      <c r="BG37" s="17">
        <v>0</v>
      </c>
      <c r="BH37" s="17">
        <v>1</v>
      </c>
      <c r="BI37" s="17">
        <v>0</v>
      </c>
      <c r="BJ37" s="17"/>
      <c r="BK37" s="17">
        <v>0.8</v>
      </c>
      <c r="BL37" s="10" t="s">
        <v>33</v>
      </c>
      <c r="BM37" s="17">
        <v>803</v>
      </c>
      <c r="BN37" s="17"/>
      <c r="BO37" s="17"/>
      <c r="BP37" s="17"/>
      <c r="BQ37" s="17"/>
      <c r="BR37" s="36"/>
      <c r="BS37" s="36"/>
      <c r="BT37" s="17"/>
      <c r="BU37" s="17">
        <v>2.59</v>
      </c>
      <c r="BV37" s="17">
        <v>0.4</v>
      </c>
      <c r="BW37" s="17"/>
      <c r="BX37" s="17">
        <v>35</v>
      </c>
      <c r="BY37" s="17">
        <v>3.57</v>
      </c>
      <c r="BZ37" s="17">
        <v>0.4</v>
      </c>
      <c r="CA37" s="17"/>
      <c r="CB37" s="17">
        <v>35</v>
      </c>
      <c r="CC37" s="17">
        <v>1</v>
      </c>
      <c r="CD37" s="37">
        <f t="shared" si="4"/>
        <v>2.4499999999999997</v>
      </c>
      <c r="CE37" s="17">
        <v>70</v>
      </c>
      <c r="CF37" s="22">
        <f t="shared" si="5"/>
        <v>2.4499999999999997</v>
      </c>
      <c r="CG37" s="22">
        <f t="shared" si="1"/>
        <v>2.7391832724372422</v>
      </c>
      <c r="CI37" s="33">
        <f t="shared" si="6"/>
        <v>0.10001785714285713</v>
      </c>
      <c r="CJ37" s="37">
        <f t="shared" si="3"/>
        <v>0.16433035714285713</v>
      </c>
    </row>
    <row r="38" spans="1:88" s="35" customFormat="1" x14ac:dyDescent="0.35">
      <c r="A38" s="29" t="s">
        <v>212</v>
      </c>
      <c r="B38" s="48" t="s">
        <v>213</v>
      </c>
      <c r="C38" s="29" t="s">
        <v>214</v>
      </c>
      <c r="D38" s="30" t="s">
        <v>215</v>
      </c>
      <c r="E38" s="30" t="s">
        <v>216</v>
      </c>
      <c r="F38" s="11" t="s">
        <v>1109</v>
      </c>
      <c r="G38" s="27">
        <v>0</v>
      </c>
      <c r="H38" s="27">
        <v>1</v>
      </c>
      <c r="I38" s="27">
        <v>1</v>
      </c>
      <c r="J38" s="11" t="s">
        <v>1111</v>
      </c>
      <c r="K38" s="82">
        <v>0</v>
      </c>
      <c r="L38" s="31" t="s">
        <v>217</v>
      </c>
      <c r="M38" s="31">
        <v>1</v>
      </c>
      <c r="N38" s="31">
        <v>3</v>
      </c>
      <c r="O38" s="27">
        <v>207</v>
      </c>
      <c r="P38" s="27" t="s">
        <v>218</v>
      </c>
      <c r="Q38" s="27">
        <v>2</v>
      </c>
      <c r="R38" s="27">
        <v>1</v>
      </c>
      <c r="S38" s="32">
        <v>0</v>
      </c>
      <c r="T38" s="27">
        <v>0</v>
      </c>
      <c r="U38" s="27">
        <v>0</v>
      </c>
      <c r="V38" s="27">
        <v>0</v>
      </c>
      <c r="W38" s="27">
        <v>1</v>
      </c>
      <c r="X38" s="27">
        <v>0</v>
      </c>
      <c r="Y38" s="27">
        <v>0</v>
      </c>
      <c r="Z38" s="27">
        <v>1</v>
      </c>
      <c r="AA38" s="178">
        <v>1</v>
      </c>
      <c r="AB38" s="27">
        <v>0</v>
      </c>
      <c r="AC38" s="27" t="s">
        <v>219</v>
      </c>
      <c r="AD38" s="11">
        <v>3.7</v>
      </c>
      <c r="AE38" s="27">
        <v>2.6</v>
      </c>
      <c r="AF38" s="27" t="s">
        <v>220</v>
      </c>
      <c r="AG38" s="27">
        <v>0</v>
      </c>
      <c r="AH38" s="27" t="s">
        <v>198</v>
      </c>
      <c r="AI38" s="27">
        <v>85</v>
      </c>
      <c r="AJ38" s="27">
        <v>60</v>
      </c>
      <c r="AK38" s="27">
        <v>58</v>
      </c>
      <c r="AL38" s="27">
        <v>39</v>
      </c>
      <c r="AM38" s="27">
        <v>86</v>
      </c>
      <c r="AN38" s="27">
        <v>29</v>
      </c>
      <c r="AO38" s="33"/>
      <c r="AP38" s="27">
        <v>1</v>
      </c>
      <c r="AQ38" s="27">
        <v>0</v>
      </c>
      <c r="AR38" s="27">
        <v>0</v>
      </c>
      <c r="AS38" s="27">
        <v>0</v>
      </c>
      <c r="AT38" s="27">
        <v>0</v>
      </c>
      <c r="AU38" s="27">
        <v>1</v>
      </c>
      <c r="AV38" s="27">
        <v>0</v>
      </c>
      <c r="AW38" s="27">
        <v>1</v>
      </c>
      <c r="AX38" s="27">
        <v>1</v>
      </c>
      <c r="AY38" s="31" t="s">
        <v>221</v>
      </c>
      <c r="AZ38" s="54" t="s">
        <v>222</v>
      </c>
      <c r="BA38" s="27" t="s">
        <v>183</v>
      </c>
      <c r="BB38" s="30" t="s">
        <v>223</v>
      </c>
      <c r="BC38" s="30" t="s">
        <v>224</v>
      </c>
      <c r="BD38" s="27">
        <v>4</v>
      </c>
      <c r="BE38" s="27">
        <v>5</v>
      </c>
      <c r="BF38" s="27">
        <v>1</v>
      </c>
      <c r="BG38" s="27">
        <v>1</v>
      </c>
      <c r="BH38" s="27">
        <v>0</v>
      </c>
      <c r="BI38" s="27">
        <v>0</v>
      </c>
      <c r="BJ38" s="27">
        <v>0.94</v>
      </c>
      <c r="BK38" s="27">
        <v>0.94</v>
      </c>
      <c r="BL38" s="30" t="s">
        <v>97</v>
      </c>
      <c r="BM38" s="27">
        <v>4</v>
      </c>
      <c r="BN38" s="27"/>
      <c r="BO38" s="27"/>
      <c r="BP38" s="27"/>
      <c r="BQ38" s="27"/>
      <c r="BR38" s="55"/>
      <c r="BS38" s="55"/>
      <c r="BT38" s="27"/>
      <c r="BU38" s="27">
        <v>3.79</v>
      </c>
      <c r="BV38" s="27">
        <v>1.24</v>
      </c>
      <c r="BW38" s="27"/>
      <c r="BX38" s="27">
        <v>51</v>
      </c>
      <c r="BY38" s="27">
        <v>4.55</v>
      </c>
      <c r="BZ38" s="27">
        <v>1.02</v>
      </c>
      <c r="CA38" s="27"/>
      <c r="CB38" s="27">
        <v>56</v>
      </c>
      <c r="CC38" s="27">
        <v>1</v>
      </c>
      <c r="CD38" s="37">
        <f t="shared" si="4"/>
        <v>0.67249740729784901</v>
      </c>
      <c r="CE38" s="27">
        <v>107</v>
      </c>
      <c r="CF38" s="56">
        <f t="shared" si="5"/>
        <v>0.67249740729784901</v>
      </c>
      <c r="CG38" s="22">
        <f t="shared" si="1"/>
        <v>0.6936281139409548</v>
      </c>
      <c r="CH38" s="30"/>
      <c r="CI38" s="33">
        <f t="shared" si="6"/>
        <v>3.9578316661791818E-2</v>
      </c>
      <c r="CJ38" s="37">
        <f t="shared" si="3"/>
        <v>3.9944985790528097E-2</v>
      </c>
    </row>
    <row r="39" spans="1:88" s="35" customFormat="1" x14ac:dyDescent="0.35">
      <c r="A39" s="29" t="s">
        <v>212</v>
      </c>
      <c r="B39" s="48" t="s">
        <v>213</v>
      </c>
      <c r="C39" s="29" t="s">
        <v>214</v>
      </c>
      <c r="D39" s="30" t="s">
        <v>225</v>
      </c>
      <c r="E39" s="30" t="s">
        <v>216</v>
      </c>
      <c r="F39" s="11" t="s">
        <v>1109</v>
      </c>
      <c r="G39" s="27">
        <v>0</v>
      </c>
      <c r="H39" s="27">
        <v>1</v>
      </c>
      <c r="I39" s="27">
        <v>1</v>
      </c>
      <c r="J39" s="11" t="s">
        <v>1111</v>
      </c>
      <c r="K39" s="82">
        <v>0</v>
      </c>
      <c r="L39" s="31" t="s">
        <v>217</v>
      </c>
      <c r="M39" s="31">
        <v>1</v>
      </c>
      <c r="N39" s="31">
        <v>3</v>
      </c>
      <c r="O39" s="27">
        <v>207</v>
      </c>
      <c r="P39" s="27" t="s">
        <v>218</v>
      </c>
      <c r="Q39" s="27">
        <v>2</v>
      </c>
      <c r="R39" s="27">
        <v>1</v>
      </c>
      <c r="S39" s="32">
        <v>0</v>
      </c>
      <c r="T39" s="27">
        <v>0</v>
      </c>
      <c r="U39" s="27">
        <v>0</v>
      </c>
      <c r="V39" s="27">
        <v>0</v>
      </c>
      <c r="W39" s="27">
        <v>1</v>
      </c>
      <c r="X39" s="27">
        <v>0</v>
      </c>
      <c r="Y39" s="27">
        <v>0</v>
      </c>
      <c r="Z39" s="27">
        <v>1</v>
      </c>
      <c r="AA39" s="178">
        <v>1</v>
      </c>
      <c r="AB39" s="27">
        <v>0</v>
      </c>
      <c r="AC39" s="27" t="s">
        <v>219</v>
      </c>
      <c r="AD39" s="11">
        <v>3.7</v>
      </c>
      <c r="AE39" s="27">
        <v>2.6</v>
      </c>
      <c r="AF39" s="27" t="s">
        <v>220</v>
      </c>
      <c r="AG39" s="27">
        <v>0</v>
      </c>
      <c r="AH39" s="27" t="s">
        <v>198</v>
      </c>
      <c r="AI39" s="27">
        <v>85</v>
      </c>
      <c r="AJ39" s="27">
        <v>60</v>
      </c>
      <c r="AK39" s="27">
        <v>58</v>
      </c>
      <c r="AL39" s="27">
        <v>39</v>
      </c>
      <c r="AM39" s="27">
        <v>86</v>
      </c>
      <c r="AN39" s="27">
        <v>29</v>
      </c>
      <c r="AO39" s="33"/>
      <c r="AP39" s="27">
        <v>1</v>
      </c>
      <c r="AQ39" s="27">
        <v>0</v>
      </c>
      <c r="AR39" s="27">
        <v>0</v>
      </c>
      <c r="AS39" s="27">
        <v>0</v>
      </c>
      <c r="AT39" s="27">
        <v>0</v>
      </c>
      <c r="AU39" s="27">
        <v>1</v>
      </c>
      <c r="AV39" s="27">
        <v>0</v>
      </c>
      <c r="AW39" s="27">
        <v>1</v>
      </c>
      <c r="AX39" s="27">
        <v>1</v>
      </c>
      <c r="AY39" s="34" t="s">
        <v>226</v>
      </c>
      <c r="AZ39" s="25" t="s">
        <v>222</v>
      </c>
      <c r="BA39" s="17" t="s">
        <v>183</v>
      </c>
      <c r="BB39" s="35" t="s">
        <v>46</v>
      </c>
      <c r="BC39" s="35" t="s">
        <v>227</v>
      </c>
      <c r="BD39" s="17">
        <v>3</v>
      </c>
      <c r="BE39" s="17">
        <v>5</v>
      </c>
      <c r="BF39" s="17">
        <v>0</v>
      </c>
      <c r="BG39" s="17">
        <v>0</v>
      </c>
      <c r="BH39" s="17">
        <v>1</v>
      </c>
      <c r="BI39" s="17">
        <v>0</v>
      </c>
      <c r="BJ39" s="17">
        <v>0.92</v>
      </c>
      <c r="BK39" s="17">
        <v>0.92</v>
      </c>
      <c r="BL39" s="35" t="s">
        <v>97</v>
      </c>
      <c r="BM39" s="17">
        <v>4</v>
      </c>
      <c r="BN39" s="17"/>
      <c r="BO39" s="17"/>
      <c r="BP39" s="17"/>
      <c r="BQ39" s="17"/>
      <c r="BR39" s="36"/>
      <c r="BS39" s="36"/>
      <c r="BT39" s="17"/>
      <c r="BU39" s="17">
        <v>2.06</v>
      </c>
      <c r="BV39" s="17">
        <v>1.19</v>
      </c>
      <c r="BW39" s="17"/>
      <c r="BX39" s="17">
        <v>51</v>
      </c>
      <c r="BY39" s="17">
        <v>3.04</v>
      </c>
      <c r="BZ39" s="17">
        <v>1.52</v>
      </c>
      <c r="CA39" s="17"/>
      <c r="CB39" s="17">
        <v>56</v>
      </c>
      <c r="CC39" s="17">
        <v>1</v>
      </c>
      <c r="CD39" s="37">
        <f t="shared" si="4"/>
        <v>0.71387646843366803</v>
      </c>
      <c r="CE39" s="17">
        <v>107</v>
      </c>
      <c r="CF39" s="22">
        <f t="shared" si="5"/>
        <v>0.71387646843366803</v>
      </c>
      <c r="CG39" s="22">
        <f t="shared" si="1"/>
        <v>0.74426766762290053</v>
      </c>
      <c r="CI39" s="33">
        <f t="shared" si="6"/>
        <v>3.9846386051329188E-2</v>
      </c>
      <c r="CJ39" s="37">
        <f t="shared" si="3"/>
        <v>4.032031775248452E-2</v>
      </c>
    </row>
    <row r="40" spans="1:88" s="35" customFormat="1" x14ac:dyDescent="0.35">
      <c r="A40" s="43" t="s">
        <v>212</v>
      </c>
      <c r="B40" s="44" t="s">
        <v>213</v>
      </c>
      <c r="C40" s="43" t="s">
        <v>214</v>
      </c>
      <c r="D40" s="35" t="s">
        <v>225</v>
      </c>
      <c r="E40" s="35" t="s">
        <v>216</v>
      </c>
      <c r="F40" s="12" t="s">
        <v>1109</v>
      </c>
      <c r="G40" s="17">
        <v>0</v>
      </c>
      <c r="H40" s="17">
        <v>1</v>
      </c>
      <c r="I40" s="17">
        <v>1</v>
      </c>
      <c r="J40" s="11" t="s">
        <v>1111</v>
      </c>
      <c r="K40" s="82">
        <v>0</v>
      </c>
      <c r="L40" s="31" t="s">
        <v>217</v>
      </c>
      <c r="M40" s="31">
        <v>1</v>
      </c>
      <c r="N40" s="31">
        <v>3</v>
      </c>
      <c r="O40" s="27">
        <v>207</v>
      </c>
      <c r="P40" s="27" t="s">
        <v>218</v>
      </c>
      <c r="Q40" s="27">
        <v>2</v>
      </c>
      <c r="R40" s="27">
        <v>2</v>
      </c>
      <c r="S40" s="32">
        <v>0</v>
      </c>
      <c r="T40" s="27">
        <v>0</v>
      </c>
      <c r="U40" s="27">
        <v>0</v>
      </c>
      <c r="V40" s="27">
        <v>0</v>
      </c>
      <c r="W40" s="27">
        <v>1</v>
      </c>
      <c r="X40" s="27">
        <v>0</v>
      </c>
      <c r="Y40" s="27">
        <v>0</v>
      </c>
      <c r="Z40" s="27">
        <v>1</v>
      </c>
      <c r="AA40" s="178">
        <v>1</v>
      </c>
      <c r="AB40" s="27">
        <v>0</v>
      </c>
      <c r="AC40" s="27" t="s">
        <v>228</v>
      </c>
      <c r="AD40" s="11">
        <v>3.2</v>
      </c>
      <c r="AE40" s="27">
        <v>2.9</v>
      </c>
      <c r="AF40" s="27" t="s">
        <v>220</v>
      </c>
      <c r="AG40" s="27">
        <v>0</v>
      </c>
      <c r="AH40" s="27" t="s">
        <v>198</v>
      </c>
      <c r="AI40" s="27">
        <v>85</v>
      </c>
      <c r="AJ40" s="27">
        <v>60</v>
      </c>
      <c r="AK40" s="27">
        <v>58</v>
      </c>
      <c r="AL40" s="27">
        <v>39</v>
      </c>
      <c r="AM40" s="27">
        <v>86</v>
      </c>
      <c r="AN40" s="27">
        <v>29</v>
      </c>
      <c r="AO40" s="33"/>
      <c r="AP40" s="27">
        <v>1</v>
      </c>
      <c r="AQ40" s="27">
        <v>0</v>
      </c>
      <c r="AR40" s="27">
        <v>0</v>
      </c>
      <c r="AS40" s="27">
        <v>0</v>
      </c>
      <c r="AT40" s="27">
        <v>0</v>
      </c>
      <c r="AU40" s="27">
        <v>1</v>
      </c>
      <c r="AV40" s="27">
        <v>0</v>
      </c>
      <c r="AW40" s="27">
        <v>1</v>
      </c>
      <c r="AX40" s="27">
        <v>1</v>
      </c>
      <c r="AY40" s="34" t="s">
        <v>229</v>
      </c>
      <c r="AZ40" s="25" t="s">
        <v>222</v>
      </c>
      <c r="BA40" s="17" t="s">
        <v>183</v>
      </c>
      <c r="BB40" s="35" t="s">
        <v>223</v>
      </c>
      <c r="BC40" s="35" t="s">
        <v>224</v>
      </c>
      <c r="BD40" s="17">
        <v>4</v>
      </c>
      <c r="BE40" s="17">
        <v>5</v>
      </c>
      <c r="BF40" s="17">
        <v>1</v>
      </c>
      <c r="BG40" s="17">
        <v>1</v>
      </c>
      <c r="BH40" s="17">
        <v>0</v>
      </c>
      <c r="BI40" s="17">
        <v>0</v>
      </c>
      <c r="BJ40" s="17">
        <v>0.94</v>
      </c>
      <c r="BK40" s="17">
        <v>0.94</v>
      </c>
      <c r="BL40" s="35" t="s">
        <v>97</v>
      </c>
      <c r="BM40" s="17">
        <v>4</v>
      </c>
      <c r="BN40" s="17"/>
      <c r="BO40" s="17"/>
      <c r="BP40" s="17"/>
      <c r="BQ40" s="17"/>
      <c r="BR40" s="36"/>
      <c r="BS40" s="36"/>
      <c r="BT40" s="17"/>
      <c r="BU40" s="17">
        <v>3.97</v>
      </c>
      <c r="BV40" s="17">
        <v>0.92</v>
      </c>
      <c r="BW40" s="17"/>
      <c r="BX40" s="17">
        <v>48</v>
      </c>
      <c r="BY40" s="17">
        <v>3.92</v>
      </c>
      <c r="BZ40" s="17">
        <v>1.04</v>
      </c>
      <c r="CA40" s="17"/>
      <c r="CB40" s="17">
        <v>52</v>
      </c>
      <c r="CC40" s="17">
        <v>0</v>
      </c>
      <c r="CD40" s="37">
        <f t="shared" si="4"/>
        <v>-5.079873988176857E-2</v>
      </c>
      <c r="CE40" s="17">
        <v>100</v>
      </c>
      <c r="CF40" s="22">
        <f t="shared" si="5"/>
        <v>-5.079873988176857E-2</v>
      </c>
      <c r="CG40" s="22">
        <f t="shared" si="1"/>
        <v>-5.239489959723001E-2</v>
      </c>
      <c r="CI40" s="33">
        <f t="shared" si="6"/>
        <v>4.0077005123970444E-2</v>
      </c>
      <c r="CJ40" s="37">
        <f t="shared" si="3"/>
        <v>4.0078861841004738E-2</v>
      </c>
    </row>
    <row r="41" spans="1:88" s="35" customFormat="1" x14ac:dyDescent="0.35">
      <c r="A41" s="38" t="s">
        <v>212</v>
      </c>
      <c r="B41" s="49" t="s">
        <v>213</v>
      </c>
      <c r="C41" s="38" t="s">
        <v>214</v>
      </c>
      <c r="D41" s="39" t="s">
        <v>225</v>
      </c>
      <c r="E41" s="39" t="s">
        <v>216</v>
      </c>
      <c r="F41" s="18" t="s">
        <v>1109</v>
      </c>
      <c r="G41" s="28">
        <v>0</v>
      </c>
      <c r="H41" s="28">
        <v>1</v>
      </c>
      <c r="I41" s="28">
        <v>1</v>
      </c>
      <c r="J41" s="18" t="s">
        <v>1111</v>
      </c>
      <c r="K41" s="83">
        <v>0</v>
      </c>
      <c r="L41" s="40" t="s">
        <v>217</v>
      </c>
      <c r="M41" s="40">
        <v>1</v>
      </c>
      <c r="N41" s="40">
        <v>3</v>
      </c>
      <c r="O41" s="28">
        <v>207</v>
      </c>
      <c r="P41" s="28" t="s">
        <v>218</v>
      </c>
      <c r="Q41" s="28">
        <v>2</v>
      </c>
      <c r="R41" s="28">
        <v>2</v>
      </c>
      <c r="S41" s="41">
        <v>0</v>
      </c>
      <c r="T41" s="28">
        <v>0</v>
      </c>
      <c r="U41" s="28">
        <v>0</v>
      </c>
      <c r="V41" s="28">
        <v>0</v>
      </c>
      <c r="W41" s="28">
        <v>1</v>
      </c>
      <c r="X41" s="28">
        <v>0</v>
      </c>
      <c r="Y41" s="28">
        <v>0</v>
      </c>
      <c r="Z41" s="28">
        <v>1</v>
      </c>
      <c r="AA41" s="148">
        <v>1</v>
      </c>
      <c r="AB41" s="28">
        <v>0</v>
      </c>
      <c r="AC41" s="28" t="s">
        <v>228</v>
      </c>
      <c r="AD41" s="18">
        <v>3.2</v>
      </c>
      <c r="AE41" s="28">
        <v>2.9</v>
      </c>
      <c r="AF41" s="28" t="s">
        <v>220</v>
      </c>
      <c r="AG41" s="28">
        <v>0</v>
      </c>
      <c r="AH41" s="28" t="s">
        <v>198</v>
      </c>
      <c r="AI41" s="28">
        <v>85</v>
      </c>
      <c r="AJ41" s="28">
        <v>60</v>
      </c>
      <c r="AK41" s="28">
        <v>58</v>
      </c>
      <c r="AL41" s="28">
        <v>39</v>
      </c>
      <c r="AM41" s="28">
        <v>86</v>
      </c>
      <c r="AN41" s="28">
        <v>29</v>
      </c>
      <c r="AO41" s="42"/>
      <c r="AP41" s="28">
        <v>1</v>
      </c>
      <c r="AQ41" s="28">
        <v>0</v>
      </c>
      <c r="AR41" s="28">
        <v>0</v>
      </c>
      <c r="AS41" s="28">
        <v>0</v>
      </c>
      <c r="AT41" s="28">
        <v>0</v>
      </c>
      <c r="AU41" s="28">
        <v>1</v>
      </c>
      <c r="AV41" s="28">
        <v>0</v>
      </c>
      <c r="AW41" s="28">
        <v>1</v>
      </c>
      <c r="AX41" s="28">
        <v>1</v>
      </c>
      <c r="AY41" s="34" t="s">
        <v>230</v>
      </c>
      <c r="AZ41" s="25" t="s">
        <v>222</v>
      </c>
      <c r="BA41" s="17" t="s">
        <v>183</v>
      </c>
      <c r="BB41" s="35" t="s">
        <v>231</v>
      </c>
      <c r="BC41" s="35" t="s">
        <v>227</v>
      </c>
      <c r="BD41" s="17">
        <v>3</v>
      </c>
      <c r="BE41" s="17">
        <v>5</v>
      </c>
      <c r="BF41" s="17">
        <v>0</v>
      </c>
      <c r="BG41" s="17">
        <v>0</v>
      </c>
      <c r="BH41" s="17">
        <v>1</v>
      </c>
      <c r="BI41" s="17">
        <v>0</v>
      </c>
      <c r="BJ41" s="17">
        <v>0.92</v>
      </c>
      <c r="BK41" s="17">
        <v>0.92</v>
      </c>
      <c r="BL41" s="35" t="s">
        <v>97</v>
      </c>
      <c r="BM41" s="17">
        <v>4</v>
      </c>
      <c r="BN41" s="17"/>
      <c r="BO41" s="17"/>
      <c r="BP41" s="17"/>
      <c r="BQ41" s="17"/>
      <c r="BR41" s="36"/>
      <c r="BS41" s="36"/>
      <c r="BT41" s="17"/>
      <c r="BU41" s="17">
        <v>2.2999999999999998</v>
      </c>
      <c r="BV41" s="17">
        <v>1.4</v>
      </c>
      <c r="BW41" s="17"/>
      <c r="BX41" s="17">
        <v>48</v>
      </c>
      <c r="BY41" s="17">
        <v>2.29</v>
      </c>
      <c r="BZ41" s="17">
        <v>1.1499999999999999</v>
      </c>
      <c r="CA41" s="17"/>
      <c r="CB41" s="17">
        <v>52</v>
      </c>
      <c r="CC41" s="17">
        <v>0</v>
      </c>
      <c r="CD41" s="37">
        <f t="shared" si="4"/>
        <v>-7.836837063892101E-3</v>
      </c>
      <c r="CE41" s="17">
        <v>100</v>
      </c>
      <c r="CF41" s="22">
        <f t="shared" si="5"/>
        <v>-7.836837063892101E-3</v>
      </c>
      <c r="CG41" s="22">
        <f t="shared" si="1"/>
        <v>-8.1704674421911386E-3</v>
      </c>
      <c r="CI41" s="33">
        <f t="shared" si="6"/>
        <v>4.00644096441784E-2</v>
      </c>
      <c r="CJ41" s="37">
        <f t="shared" si="3"/>
        <v>4.0064461470222051E-2</v>
      </c>
    </row>
    <row r="42" spans="1:88" s="35" customFormat="1" x14ac:dyDescent="0.35">
      <c r="A42" s="29" t="s">
        <v>232</v>
      </c>
      <c r="B42" s="48" t="s">
        <v>233</v>
      </c>
      <c r="C42" s="29" t="s">
        <v>102</v>
      </c>
      <c r="D42" s="30" t="s">
        <v>234</v>
      </c>
      <c r="E42" s="30" t="s">
        <v>235</v>
      </c>
      <c r="F42" s="12" t="s">
        <v>1109</v>
      </c>
      <c r="G42" s="27">
        <v>0</v>
      </c>
      <c r="H42" s="27">
        <v>1</v>
      </c>
      <c r="I42" s="27">
        <v>1</v>
      </c>
      <c r="J42" s="11" t="s">
        <v>1107</v>
      </c>
      <c r="K42" s="82">
        <v>0</v>
      </c>
      <c r="L42" s="31" t="s">
        <v>236</v>
      </c>
      <c r="M42" s="31">
        <v>1</v>
      </c>
      <c r="N42" s="31">
        <v>241</v>
      </c>
      <c r="O42" s="27">
        <v>160</v>
      </c>
      <c r="P42" s="27" t="s">
        <v>31</v>
      </c>
      <c r="Q42" s="27">
        <v>2</v>
      </c>
      <c r="R42" s="27">
        <v>1</v>
      </c>
      <c r="S42" s="32">
        <v>0</v>
      </c>
      <c r="T42" s="27">
        <v>0</v>
      </c>
      <c r="U42" s="27">
        <v>1</v>
      </c>
      <c r="V42" s="27">
        <v>0</v>
      </c>
      <c r="W42" s="27">
        <v>0</v>
      </c>
      <c r="X42" s="27">
        <v>0</v>
      </c>
      <c r="Y42" s="27">
        <v>1</v>
      </c>
      <c r="Z42" s="27">
        <v>0</v>
      </c>
      <c r="AA42" s="146">
        <v>1</v>
      </c>
      <c r="AB42" s="27">
        <v>0</v>
      </c>
      <c r="AC42" s="27" t="s">
        <v>237</v>
      </c>
      <c r="AD42" s="12">
        <v>2.4</v>
      </c>
      <c r="AE42" s="27">
        <v>2.7</v>
      </c>
      <c r="AF42" s="27" t="s">
        <v>238</v>
      </c>
      <c r="AG42" s="27">
        <v>1</v>
      </c>
      <c r="AH42" s="27" t="s">
        <v>239</v>
      </c>
      <c r="AI42" s="27">
        <v>94</v>
      </c>
      <c r="AJ42" s="27">
        <v>65</v>
      </c>
      <c r="AK42" s="27">
        <v>81</v>
      </c>
      <c r="AL42" s="27">
        <v>54</v>
      </c>
      <c r="AM42" s="27">
        <v>61</v>
      </c>
      <c r="AN42" s="27">
        <v>57</v>
      </c>
      <c r="AO42" s="33">
        <v>23.19</v>
      </c>
      <c r="AP42" s="27">
        <v>1</v>
      </c>
      <c r="AQ42" s="27">
        <v>1</v>
      </c>
      <c r="AR42" s="27">
        <v>0</v>
      </c>
      <c r="AS42" s="27">
        <v>1</v>
      </c>
      <c r="AT42" s="27">
        <v>0</v>
      </c>
      <c r="AU42" s="27">
        <v>0</v>
      </c>
      <c r="AV42" s="27">
        <v>0</v>
      </c>
      <c r="AW42" s="27">
        <v>1</v>
      </c>
      <c r="AX42" s="27">
        <v>1</v>
      </c>
      <c r="AY42" s="34" t="s">
        <v>240</v>
      </c>
      <c r="AZ42" s="25" t="s">
        <v>241</v>
      </c>
      <c r="BA42" s="17" t="s">
        <v>141</v>
      </c>
      <c r="BB42" s="35" t="s">
        <v>242</v>
      </c>
      <c r="BC42" s="35" t="s">
        <v>243</v>
      </c>
      <c r="BD42" s="17">
        <v>3</v>
      </c>
      <c r="BE42" s="17">
        <v>7</v>
      </c>
      <c r="BF42" s="17">
        <v>1</v>
      </c>
      <c r="BG42" s="17">
        <v>1</v>
      </c>
      <c r="BH42" s="17">
        <v>0</v>
      </c>
      <c r="BI42" s="17">
        <v>0</v>
      </c>
      <c r="BJ42" s="17">
        <v>0.76</v>
      </c>
      <c r="BK42" s="17">
        <v>0.76</v>
      </c>
      <c r="BL42" s="35" t="s">
        <v>97</v>
      </c>
      <c r="BM42" s="17" t="s">
        <v>244</v>
      </c>
      <c r="BN42" s="17"/>
      <c r="BO42" s="17"/>
      <c r="BP42" s="17"/>
      <c r="BQ42" s="17"/>
      <c r="BR42" s="36"/>
      <c r="BS42" s="36"/>
      <c r="BT42" s="17"/>
      <c r="BU42" s="17">
        <v>4.8099999999999996</v>
      </c>
      <c r="BV42" s="17">
        <v>0.99</v>
      </c>
      <c r="BW42" s="17"/>
      <c r="BX42" s="17">
        <v>80</v>
      </c>
      <c r="BY42" s="17">
        <v>4.78</v>
      </c>
      <c r="BZ42" s="17">
        <v>1.01</v>
      </c>
      <c r="CA42" s="17"/>
      <c r="CB42" s="17">
        <v>80</v>
      </c>
      <c r="CC42" s="17">
        <v>0</v>
      </c>
      <c r="CD42" s="37">
        <f t="shared" si="4"/>
        <v>-2.999850011248999E-2</v>
      </c>
      <c r="CE42" s="17">
        <v>160</v>
      </c>
      <c r="CF42" s="22">
        <f t="shared" si="5"/>
        <v>-2.999850011248999E-2</v>
      </c>
      <c r="CG42" s="22">
        <f t="shared" si="1"/>
        <v>-3.4410639591615104E-2</v>
      </c>
      <c r="CI42" s="37">
        <f t="shared" si="6"/>
        <v>2.5002812218778123E-2</v>
      </c>
      <c r="CJ42" s="37">
        <f t="shared" si="3"/>
        <v>2.5004892942632664E-2</v>
      </c>
    </row>
    <row r="43" spans="1:88" s="35" customFormat="1" x14ac:dyDescent="0.35">
      <c r="A43" s="29" t="s">
        <v>232</v>
      </c>
      <c r="B43" s="48" t="s">
        <v>233</v>
      </c>
      <c r="C43" s="29" t="s">
        <v>102</v>
      </c>
      <c r="D43" s="30" t="s">
        <v>234</v>
      </c>
      <c r="E43" s="30" t="s">
        <v>235</v>
      </c>
      <c r="F43" s="11" t="s">
        <v>1109</v>
      </c>
      <c r="G43" s="27">
        <v>0</v>
      </c>
      <c r="H43" s="27">
        <v>1</v>
      </c>
      <c r="I43" s="27">
        <v>1</v>
      </c>
      <c r="J43" s="11" t="s">
        <v>1107</v>
      </c>
      <c r="K43" s="82">
        <v>0</v>
      </c>
      <c r="L43" s="31" t="s">
        <v>236</v>
      </c>
      <c r="M43" s="31">
        <v>1</v>
      </c>
      <c r="N43" s="31">
        <v>241</v>
      </c>
      <c r="O43" s="27">
        <v>160</v>
      </c>
      <c r="P43" s="27" t="s">
        <v>31</v>
      </c>
      <c r="Q43" s="27">
        <v>2</v>
      </c>
      <c r="R43" s="27">
        <v>1</v>
      </c>
      <c r="S43" s="32">
        <v>0</v>
      </c>
      <c r="T43" s="27">
        <v>0</v>
      </c>
      <c r="U43" s="27">
        <v>1</v>
      </c>
      <c r="V43" s="27">
        <v>0</v>
      </c>
      <c r="W43" s="27">
        <v>0</v>
      </c>
      <c r="X43" s="27">
        <v>0</v>
      </c>
      <c r="Y43" s="27">
        <v>1</v>
      </c>
      <c r="Z43" s="27">
        <v>0</v>
      </c>
      <c r="AA43" s="178">
        <v>1</v>
      </c>
      <c r="AB43" s="27">
        <v>0</v>
      </c>
      <c r="AC43" s="27" t="s">
        <v>237</v>
      </c>
      <c r="AD43" s="11">
        <v>2.4</v>
      </c>
      <c r="AE43" s="27">
        <v>2.7</v>
      </c>
      <c r="AF43" s="27" t="s">
        <v>238</v>
      </c>
      <c r="AG43" s="27">
        <v>1</v>
      </c>
      <c r="AH43" s="27" t="s">
        <v>239</v>
      </c>
      <c r="AI43" s="27">
        <v>94</v>
      </c>
      <c r="AJ43" s="27">
        <v>65</v>
      </c>
      <c r="AK43" s="27">
        <v>81</v>
      </c>
      <c r="AL43" s="27">
        <v>54</v>
      </c>
      <c r="AM43" s="27">
        <v>61</v>
      </c>
      <c r="AN43" s="27">
        <v>57</v>
      </c>
      <c r="AO43" s="33">
        <v>23.19</v>
      </c>
      <c r="AP43" s="27">
        <v>1</v>
      </c>
      <c r="AQ43" s="27">
        <v>1</v>
      </c>
      <c r="AR43" s="27">
        <v>0</v>
      </c>
      <c r="AS43" s="27">
        <v>1</v>
      </c>
      <c r="AT43" s="27">
        <v>0</v>
      </c>
      <c r="AU43" s="27">
        <v>0</v>
      </c>
      <c r="AV43" s="27">
        <v>0</v>
      </c>
      <c r="AW43" s="27">
        <v>1</v>
      </c>
      <c r="AX43" s="27">
        <v>1</v>
      </c>
      <c r="AY43" s="34" t="s">
        <v>245</v>
      </c>
      <c r="AZ43" s="25" t="s">
        <v>241</v>
      </c>
      <c r="BA43" s="17" t="s">
        <v>141</v>
      </c>
      <c r="BB43" s="35" t="s">
        <v>246</v>
      </c>
      <c r="BC43" s="35" t="s">
        <v>247</v>
      </c>
      <c r="BD43" s="17">
        <v>3</v>
      </c>
      <c r="BE43" s="17">
        <v>7</v>
      </c>
      <c r="BF43" s="17">
        <v>1</v>
      </c>
      <c r="BG43" s="17">
        <v>1</v>
      </c>
      <c r="BH43" s="17">
        <v>0</v>
      </c>
      <c r="BI43" s="17">
        <v>0</v>
      </c>
      <c r="BJ43" s="17">
        <v>0.7</v>
      </c>
      <c r="BK43" s="17">
        <v>0.7</v>
      </c>
      <c r="BL43" s="35" t="s">
        <v>97</v>
      </c>
      <c r="BM43" s="17" t="s">
        <v>244</v>
      </c>
      <c r="BN43" s="17"/>
      <c r="BO43" s="17"/>
      <c r="BP43" s="17"/>
      <c r="BQ43" s="17"/>
      <c r="BR43" s="36"/>
      <c r="BS43" s="36"/>
      <c r="BT43" s="17"/>
      <c r="BU43" s="17">
        <v>5.13</v>
      </c>
      <c r="BV43" s="17">
        <v>1.01</v>
      </c>
      <c r="BW43" s="17"/>
      <c r="BX43" s="17">
        <v>80</v>
      </c>
      <c r="BY43" s="17">
        <v>5.75</v>
      </c>
      <c r="BZ43" s="17">
        <v>0.9</v>
      </c>
      <c r="CA43" s="17"/>
      <c r="CB43" s="17">
        <v>80</v>
      </c>
      <c r="CC43" s="17">
        <v>1</v>
      </c>
      <c r="CD43" s="37">
        <f t="shared" si="4"/>
        <v>0.64814067460706781</v>
      </c>
      <c r="CE43" s="17">
        <v>160</v>
      </c>
      <c r="CF43" s="22">
        <f t="shared" si="5"/>
        <v>0.64814067460706781</v>
      </c>
      <c r="CG43" s="22">
        <f t="shared" si="1"/>
        <v>0.77467627716366139</v>
      </c>
      <c r="CI43" s="37">
        <f t="shared" si="6"/>
        <v>2.6312769794000331E-2</v>
      </c>
      <c r="CJ43" s="37">
        <f t="shared" si="3"/>
        <v>2.750051389333396E-2</v>
      </c>
    </row>
    <row r="44" spans="1:88" s="35" customFormat="1" x14ac:dyDescent="0.35">
      <c r="A44" s="29" t="s">
        <v>232</v>
      </c>
      <c r="B44" s="48" t="s">
        <v>233</v>
      </c>
      <c r="C44" s="29" t="s">
        <v>102</v>
      </c>
      <c r="D44" s="30" t="s">
        <v>234</v>
      </c>
      <c r="E44" s="30" t="s">
        <v>235</v>
      </c>
      <c r="F44" s="11" t="s">
        <v>1109</v>
      </c>
      <c r="G44" s="27">
        <v>0</v>
      </c>
      <c r="H44" s="27">
        <v>1</v>
      </c>
      <c r="I44" s="27">
        <v>1</v>
      </c>
      <c r="J44" s="11" t="s">
        <v>1107</v>
      </c>
      <c r="K44" s="82">
        <v>0</v>
      </c>
      <c r="L44" s="31" t="s">
        <v>236</v>
      </c>
      <c r="M44" s="31">
        <v>1</v>
      </c>
      <c r="N44" s="31">
        <v>241</v>
      </c>
      <c r="O44" s="27">
        <v>160</v>
      </c>
      <c r="P44" s="27" t="s">
        <v>31</v>
      </c>
      <c r="Q44" s="27">
        <v>2</v>
      </c>
      <c r="R44" s="27">
        <v>1</v>
      </c>
      <c r="S44" s="32">
        <v>0</v>
      </c>
      <c r="T44" s="27">
        <v>0</v>
      </c>
      <c r="U44" s="27">
        <v>1</v>
      </c>
      <c r="V44" s="27">
        <v>0</v>
      </c>
      <c r="W44" s="27">
        <v>0</v>
      </c>
      <c r="X44" s="27">
        <v>0</v>
      </c>
      <c r="Y44" s="27">
        <v>1</v>
      </c>
      <c r="Z44" s="27">
        <v>0</v>
      </c>
      <c r="AA44" s="178">
        <v>1</v>
      </c>
      <c r="AB44" s="27">
        <v>0</v>
      </c>
      <c r="AC44" s="27" t="s">
        <v>237</v>
      </c>
      <c r="AD44" s="11">
        <v>2.4</v>
      </c>
      <c r="AE44" s="27">
        <v>2.7</v>
      </c>
      <c r="AF44" s="27" t="s">
        <v>238</v>
      </c>
      <c r="AG44" s="27">
        <v>1</v>
      </c>
      <c r="AH44" s="27" t="s">
        <v>239</v>
      </c>
      <c r="AI44" s="27">
        <v>94</v>
      </c>
      <c r="AJ44" s="27">
        <v>65</v>
      </c>
      <c r="AK44" s="27">
        <v>81</v>
      </c>
      <c r="AL44" s="27">
        <v>54</v>
      </c>
      <c r="AM44" s="27">
        <v>61</v>
      </c>
      <c r="AN44" s="27">
        <v>57</v>
      </c>
      <c r="AO44" s="33">
        <v>23.19</v>
      </c>
      <c r="AP44" s="27">
        <v>1</v>
      </c>
      <c r="AQ44" s="27">
        <v>1</v>
      </c>
      <c r="AR44" s="27">
        <v>0</v>
      </c>
      <c r="AS44" s="27">
        <v>1</v>
      </c>
      <c r="AT44" s="27">
        <v>0</v>
      </c>
      <c r="AU44" s="27">
        <v>0</v>
      </c>
      <c r="AV44" s="27">
        <v>0</v>
      </c>
      <c r="AW44" s="27">
        <v>1</v>
      </c>
      <c r="AX44" s="27">
        <v>1</v>
      </c>
      <c r="AY44" s="34" t="s">
        <v>248</v>
      </c>
      <c r="AZ44" s="25" t="s">
        <v>241</v>
      </c>
      <c r="BA44" s="17" t="s">
        <v>141</v>
      </c>
      <c r="BB44" s="35" t="s">
        <v>249</v>
      </c>
      <c r="BC44" s="35" t="s">
        <v>250</v>
      </c>
      <c r="BD44" s="17">
        <v>3</v>
      </c>
      <c r="BE44" s="17">
        <v>7</v>
      </c>
      <c r="BF44" s="17">
        <v>1</v>
      </c>
      <c r="BG44" s="17">
        <v>1</v>
      </c>
      <c r="BH44" s="17">
        <v>0</v>
      </c>
      <c r="BI44" s="17">
        <v>0</v>
      </c>
      <c r="BJ44" s="17">
        <v>0.74</v>
      </c>
      <c r="BK44" s="17">
        <v>0.74</v>
      </c>
      <c r="BL44" s="35" t="s">
        <v>97</v>
      </c>
      <c r="BM44" s="17" t="s">
        <v>244</v>
      </c>
      <c r="BN44" s="17"/>
      <c r="BO44" s="17"/>
      <c r="BP44" s="17"/>
      <c r="BQ44" s="17"/>
      <c r="BR44" s="36"/>
      <c r="BS44" s="36"/>
      <c r="BT44" s="17"/>
      <c r="BU44" s="17">
        <v>4.8099999999999996</v>
      </c>
      <c r="BV44" s="17">
        <v>0.92</v>
      </c>
      <c r="BW44" s="17"/>
      <c r="BX44" s="17">
        <v>80</v>
      </c>
      <c r="BY44" s="17">
        <v>4.97</v>
      </c>
      <c r="BZ44" s="17">
        <v>0.94</v>
      </c>
      <c r="CA44" s="17"/>
      <c r="CB44" s="17">
        <v>80</v>
      </c>
      <c r="CC44" s="17">
        <v>0</v>
      </c>
      <c r="CD44" s="37">
        <f t="shared" si="4"/>
        <v>0.17203306578255065</v>
      </c>
      <c r="CE44" s="17">
        <v>160</v>
      </c>
      <c r="CF44" s="22">
        <f t="shared" si="5"/>
        <v>0.17203306578255065</v>
      </c>
      <c r="CG44" s="22">
        <f t="shared" si="1"/>
        <v>0.19998437683081646</v>
      </c>
      <c r="CI44" s="37">
        <f t="shared" si="6"/>
        <v>2.5092485549132949E-2</v>
      </c>
      <c r="CJ44" s="37">
        <f t="shared" si="3"/>
        <v>2.5166640629068378E-2</v>
      </c>
    </row>
    <row r="45" spans="1:88" s="35" customFormat="1" x14ac:dyDescent="0.35">
      <c r="A45" s="29" t="s">
        <v>232</v>
      </c>
      <c r="B45" s="48" t="s">
        <v>233</v>
      </c>
      <c r="C45" s="29" t="s">
        <v>102</v>
      </c>
      <c r="D45" s="30" t="s">
        <v>234</v>
      </c>
      <c r="E45" s="30" t="s">
        <v>235</v>
      </c>
      <c r="F45" s="12" t="s">
        <v>1109</v>
      </c>
      <c r="G45" s="27">
        <v>0</v>
      </c>
      <c r="H45" s="27">
        <v>1</v>
      </c>
      <c r="I45" s="27">
        <v>1</v>
      </c>
      <c r="J45" s="11" t="s">
        <v>1107</v>
      </c>
      <c r="K45" s="82">
        <v>0</v>
      </c>
      <c r="L45" s="31" t="s">
        <v>236</v>
      </c>
      <c r="M45" s="31">
        <v>1</v>
      </c>
      <c r="N45" s="31">
        <v>241</v>
      </c>
      <c r="O45" s="27">
        <v>160</v>
      </c>
      <c r="P45" s="27" t="s">
        <v>31</v>
      </c>
      <c r="Q45" s="27">
        <v>2</v>
      </c>
      <c r="R45" s="27">
        <v>1</v>
      </c>
      <c r="S45" s="32">
        <v>0</v>
      </c>
      <c r="T45" s="27">
        <v>0</v>
      </c>
      <c r="U45" s="27">
        <v>1</v>
      </c>
      <c r="V45" s="27">
        <v>0</v>
      </c>
      <c r="W45" s="27">
        <v>0</v>
      </c>
      <c r="X45" s="27">
        <v>0</v>
      </c>
      <c r="Y45" s="27">
        <v>1</v>
      </c>
      <c r="Z45" s="27">
        <v>0</v>
      </c>
      <c r="AA45" s="146">
        <v>1</v>
      </c>
      <c r="AB45" s="17">
        <v>0</v>
      </c>
      <c r="AC45" s="27" t="s">
        <v>237</v>
      </c>
      <c r="AD45" s="12">
        <v>2.4</v>
      </c>
      <c r="AE45" s="27">
        <v>2.7</v>
      </c>
      <c r="AF45" s="27" t="s">
        <v>238</v>
      </c>
      <c r="AG45" s="27">
        <v>1</v>
      </c>
      <c r="AH45" s="27" t="s">
        <v>239</v>
      </c>
      <c r="AI45" s="27">
        <v>94</v>
      </c>
      <c r="AJ45" s="27">
        <v>65</v>
      </c>
      <c r="AK45" s="27">
        <v>81</v>
      </c>
      <c r="AL45" s="27">
        <v>54</v>
      </c>
      <c r="AM45" s="27">
        <v>61</v>
      </c>
      <c r="AN45" s="27">
        <v>57</v>
      </c>
      <c r="AO45" s="33">
        <v>23.19</v>
      </c>
      <c r="AP45" s="27">
        <v>1</v>
      </c>
      <c r="AQ45" s="27">
        <v>1</v>
      </c>
      <c r="AR45" s="27">
        <v>0</v>
      </c>
      <c r="AS45" s="27">
        <v>1</v>
      </c>
      <c r="AT45" s="27">
        <v>0</v>
      </c>
      <c r="AU45" s="27">
        <v>0</v>
      </c>
      <c r="AV45" s="27">
        <v>0</v>
      </c>
      <c r="AW45" s="27">
        <v>1</v>
      </c>
      <c r="AX45" s="27">
        <v>1</v>
      </c>
      <c r="AY45" s="34" t="s">
        <v>251</v>
      </c>
      <c r="AZ45" s="25" t="s">
        <v>241</v>
      </c>
      <c r="BA45" s="17" t="s">
        <v>141</v>
      </c>
      <c r="BB45" s="35" t="s">
        <v>252</v>
      </c>
      <c r="BC45" s="35" t="s">
        <v>253</v>
      </c>
      <c r="BD45" s="17">
        <v>2</v>
      </c>
      <c r="BE45" s="17">
        <v>7</v>
      </c>
      <c r="BF45" s="17">
        <v>1</v>
      </c>
      <c r="BG45" s="17">
        <v>1</v>
      </c>
      <c r="BH45" s="17">
        <v>0</v>
      </c>
      <c r="BI45" s="17">
        <v>0</v>
      </c>
      <c r="BJ45" s="17">
        <v>0.25</v>
      </c>
      <c r="BK45" s="17">
        <v>0.25</v>
      </c>
      <c r="BL45" s="35" t="s">
        <v>254</v>
      </c>
      <c r="BM45" s="17" t="s">
        <v>244</v>
      </c>
      <c r="BN45" s="17"/>
      <c r="BO45" s="17"/>
      <c r="BP45" s="17"/>
      <c r="BQ45" s="17"/>
      <c r="BR45" s="36"/>
      <c r="BS45" s="36"/>
      <c r="BT45" s="17"/>
      <c r="BU45" s="17">
        <v>4.01</v>
      </c>
      <c r="BV45" s="17">
        <v>0.96</v>
      </c>
      <c r="BW45" s="17"/>
      <c r="BX45" s="17">
        <v>80</v>
      </c>
      <c r="BY45" s="17">
        <v>4.49</v>
      </c>
      <c r="BZ45" s="17">
        <v>1.1000000000000001</v>
      </c>
      <c r="CA45" s="17"/>
      <c r="CB45" s="17">
        <v>80</v>
      </c>
      <c r="CC45" s="17">
        <v>1</v>
      </c>
      <c r="CD45" s="37">
        <f t="shared" si="4"/>
        <v>0.4649469246158125</v>
      </c>
      <c r="CE45" s="17">
        <v>160</v>
      </c>
      <c r="CF45" s="22">
        <f t="shared" si="5"/>
        <v>0.4649469246158125</v>
      </c>
      <c r="CG45" s="22">
        <f t="shared" si="1"/>
        <v>0.92989384923162499</v>
      </c>
      <c r="CI45" s="37">
        <f t="shared" si="6"/>
        <v>2.5675548883467819E-2</v>
      </c>
      <c r="CJ45" s="37">
        <f t="shared" si="3"/>
        <v>2.8602927378495034E-2</v>
      </c>
    </row>
    <row r="46" spans="1:88" s="35" customFormat="1" x14ac:dyDescent="0.35">
      <c r="A46" s="29" t="s">
        <v>232</v>
      </c>
      <c r="B46" s="48" t="s">
        <v>233</v>
      </c>
      <c r="C46" s="29" t="s">
        <v>102</v>
      </c>
      <c r="D46" s="30" t="s">
        <v>234</v>
      </c>
      <c r="E46" s="30" t="s">
        <v>235</v>
      </c>
      <c r="F46" s="12" t="s">
        <v>1109</v>
      </c>
      <c r="G46" s="27">
        <v>0</v>
      </c>
      <c r="H46" s="27">
        <v>1</v>
      </c>
      <c r="I46" s="27">
        <v>1</v>
      </c>
      <c r="J46" s="11" t="s">
        <v>1107</v>
      </c>
      <c r="K46" s="82">
        <v>0</v>
      </c>
      <c r="L46" s="31" t="s">
        <v>236</v>
      </c>
      <c r="M46" s="31">
        <v>1</v>
      </c>
      <c r="N46" s="31">
        <v>241</v>
      </c>
      <c r="O46" s="27">
        <v>160</v>
      </c>
      <c r="P46" s="27" t="s">
        <v>31</v>
      </c>
      <c r="Q46" s="27">
        <v>2</v>
      </c>
      <c r="R46" s="27">
        <v>1</v>
      </c>
      <c r="S46" s="32">
        <v>0</v>
      </c>
      <c r="T46" s="27">
        <v>0</v>
      </c>
      <c r="U46" s="27">
        <v>1</v>
      </c>
      <c r="V46" s="27">
        <v>0</v>
      </c>
      <c r="W46" s="27">
        <v>0</v>
      </c>
      <c r="X46" s="27">
        <v>0</v>
      </c>
      <c r="Y46" s="27">
        <v>1</v>
      </c>
      <c r="Z46" s="27">
        <v>0</v>
      </c>
      <c r="AA46" s="146">
        <v>1</v>
      </c>
      <c r="AB46" s="27">
        <v>0</v>
      </c>
      <c r="AC46" s="27" t="s">
        <v>237</v>
      </c>
      <c r="AD46" s="12">
        <v>2.4</v>
      </c>
      <c r="AE46" s="27">
        <v>2.7</v>
      </c>
      <c r="AF46" s="27" t="s">
        <v>238</v>
      </c>
      <c r="AG46" s="27">
        <v>1</v>
      </c>
      <c r="AH46" s="27" t="s">
        <v>239</v>
      </c>
      <c r="AI46" s="27">
        <v>94</v>
      </c>
      <c r="AJ46" s="27">
        <v>65</v>
      </c>
      <c r="AK46" s="27">
        <v>81</v>
      </c>
      <c r="AL46" s="27">
        <v>54</v>
      </c>
      <c r="AM46" s="27">
        <v>61</v>
      </c>
      <c r="AN46" s="27">
        <v>57</v>
      </c>
      <c r="AO46" s="33">
        <v>23.19</v>
      </c>
      <c r="AP46" s="27">
        <v>1</v>
      </c>
      <c r="AQ46" s="27">
        <v>1</v>
      </c>
      <c r="AR46" s="27">
        <v>0</v>
      </c>
      <c r="AS46" s="27">
        <v>1</v>
      </c>
      <c r="AT46" s="27">
        <v>0</v>
      </c>
      <c r="AU46" s="27">
        <v>0</v>
      </c>
      <c r="AV46" s="27">
        <v>0</v>
      </c>
      <c r="AW46" s="27">
        <v>1</v>
      </c>
      <c r="AX46" s="27">
        <v>1</v>
      </c>
      <c r="AY46" s="34" t="s">
        <v>255</v>
      </c>
      <c r="AZ46" s="25" t="s">
        <v>241</v>
      </c>
      <c r="BA46" s="17" t="s">
        <v>141</v>
      </c>
      <c r="BB46" s="35" t="s">
        <v>256</v>
      </c>
      <c r="BC46" s="35" t="s">
        <v>257</v>
      </c>
      <c r="BD46" s="17">
        <v>2</v>
      </c>
      <c r="BE46" s="17">
        <v>7</v>
      </c>
      <c r="BF46" s="17">
        <v>1</v>
      </c>
      <c r="BG46" s="17">
        <v>1</v>
      </c>
      <c r="BH46" s="17">
        <v>0</v>
      </c>
      <c r="BI46" s="17">
        <v>0</v>
      </c>
      <c r="BJ46" s="17">
        <v>0.5</v>
      </c>
      <c r="BK46" s="17">
        <v>0.5</v>
      </c>
      <c r="BL46" s="35" t="s">
        <v>254</v>
      </c>
      <c r="BM46" s="17" t="s">
        <v>244</v>
      </c>
      <c r="BN46" s="17"/>
      <c r="BO46" s="17"/>
      <c r="BP46" s="17"/>
      <c r="BQ46" s="17"/>
      <c r="BR46" s="36"/>
      <c r="BS46" s="36"/>
      <c r="BT46" s="17"/>
      <c r="BU46" s="17">
        <v>5.92</v>
      </c>
      <c r="BV46" s="17">
        <v>1.04</v>
      </c>
      <c r="BW46" s="17"/>
      <c r="BX46" s="17">
        <v>80</v>
      </c>
      <c r="BY46" s="17">
        <v>6.21</v>
      </c>
      <c r="BZ46" s="17">
        <v>0.93</v>
      </c>
      <c r="CA46" s="17"/>
      <c r="CB46" s="17">
        <v>80</v>
      </c>
      <c r="CC46" s="17">
        <v>1</v>
      </c>
      <c r="CD46" s="37">
        <f t="shared" si="4"/>
        <v>0.29395834370634027</v>
      </c>
      <c r="CE46" s="17">
        <v>160</v>
      </c>
      <c r="CF46" s="22">
        <f t="shared" si="5"/>
        <v>0.29395834370634027</v>
      </c>
      <c r="CG46" s="22">
        <f t="shared" si="1"/>
        <v>0.41571987644223812</v>
      </c>
      <c r="CI46" s="37">
        <f t="shared" si="6"/>
        <v>2.5270035961983048E-2</v>
      </c>
      <c r="CJ46" s="37">
        <f t="shared" si="3"/>
        <v>2.572009589862146E-2</v>
      </c>
    </row>
    <row r="47" spans="1:88" s="35" customFormat="1" x14ac:dyDescent="0.35">
      <c r="A47" s="29" t="s">
        <v>232</v>
      </c>
      <c r="B47" s="48" t="s">
        <v>233</v>
      </c>
      <c r="C47" s="29" t="s">
        <v>102</v>
      </c>
      <c r="D47" s="30" t="s">
        <v>234</v>
      </c>
      <c r="E47" s="30" t="s">
        <v>235</v>
      </c>
      <c r="F47" s="12" t="s">
        <v>1109</v>
      </c>
      <c r="G47" s="27">
        <v>0</v>
      </c>
      <c r="H47" s="27">
        <v>1</v>
      </c>
      <c r="I47" s="27">
        <v>1</v>
      </c>
      <c r="J47" s="11" t="s">
        <v>1107</v>
      </c>
      <c r="K47" s="82">
        <v>0</v>
      </c>
      <c r="L47" s="31" t="s">
        <v>236</v>
      </c>
      <c r="M47" s="31">
        <v>1</v>
      </c>
      <c r="N47" s="31">
        <v>241</v>
      </c>
      <c r="O47" s="27">
        <v>160</v>
      </c>
      <c r="P47" s="27" t="s">
        <v>31</v>
      </c>
      <c r="Q47" s="27">
        <v>2</v>
      </c>
      <c r="R47" s="27">
        <v>1</v>
      </c>
      <c r="S47" s="32">
        <v>0</v>
      </c>
      <c r="T47" s="27">
        <v>0</v>
      </c>
      <c r="U47" s="27">
        <v>1</v>
      </c>
      <c r="V47" s="27">
        <v>0</v>
      </c>
      <c r="W47" s="27">
        <v>0</v>
      </c>
      <c r="X47" s="27">
        <v>0</v>
      </c>
      <c r="Y47" s="27">
        <v>1</v>
      </c>
      <c r="Z47" s="27">
        <v>0</v>
      </c>
      <c r="AA47" s="146">
        <v>1</v>
      </c>
      <c r="AB47" s="17">
        <v>0</v>
      </c>
      <c r="AC47" s="27" t="s">
        <v>237</v>
      </c>
      <c r="AD47" s="12">
        <v>2.4</v>
      </c>
      <c r="AE47" s="27">
        <v>2.7</v>
      </c>
      <c r="AF47" s="27" t="s">
        <v>238</v>
      </c>
      <c r="AG47" s="27">
        <v>1</v>
      </c>
      <c r="AH47" s="27" t="s">
        <v>239</v>
      </c>
      <c r="AI47" s="27">
        <v>94</v>
      </c>
      <c r="AJ47" s="27">
        <v>65</v>
      </c>
      <c r="AK47" s="27">
        <v>81</v>
      </c>
      <c r="AL47" s="27">
        <v>54</v>
      </c>
      <c r="AM47" s="27">
        <v>61</v>
      </c>
      <c r="AN47" s="27">
        <v>57</v>
      </c>
      <c r="AO47" s="33">
        <v>23.19</v>
      </c>
      <c r="AP47" s="27">
        <v>1</v>
      </c>
      <c r="AQ47" s="27">
        <v>1</v>
      </c>
      <c r="AR47" s="27">
        <v>0</v>
      </c>
      <c r="AS47" s="27">
        <v>1</v>
      </c>
      <c r="AT47" s="27">
        <v>0</v>
      </c>
      <c r="AU47" s="27">
        <v>0</v>
      </c>
      <c r="AV47" s="27">
        <v>0</v>
      </c>
      <c r="AW47" s="27">
        <v>1</v>
      </c>
      <c r="AX47" s="27">
        <v>1</v>
      </c>
      <c r="AY47" s="34" t="s">
        <v>258</v>
      </c>
      <c r="AZ47" s="25" t="s">
        <v>241</v>
      </c>
      <c r="BA47" s="17" t="s">
        <v>141</v>
      </c>
      <c r="BB47" s="35" t="s">
        <v>44</v>
      </c>
      <c r="BC47" s="35" t="s">
        <v>259</v>
      </c>
      <c r="BD47" s="17">
        <v>3</v>
      </c>
      <c r="BE47" s="17">
        <v>6</v>
      </c>
      <c r="BF47" s="17">
        <v>1</v>
      </c>
      <c r="BG47" s="17">
        <v>1</v>
      </c>
      <c r="BH47" s="17">
        <v>0</v>
      </c>
      <c r="BI47" s="17">
        <v>0</v>
      </c>
      <c r="BJ47" s="17">
        <v>0.87</v>
      </c>
      <c r="BK47" s="17">
        <v>0.87</v>
      </c>
      <c r="BL47" s="35" t="s">
        <v>97</v>
      </c>
      <c r="BM47" s="17" t="s">
        <v>244</v>
      </c>
      <c r="BN47" s="17"/>
      <c r="BO47" s="17"/>
      <c r="BP47" s="17"/>
      <c r="BQ47" s="17"/>
      <c r="BR47" s="36"/>
      <c r="BS47" s="36"/>
      <c r="BT47" s="17"/>
      <c r="BU47" s="17">
        <v>4.8899999999999997</v>
      </c>
      <c r="BV47" s="17">
        <v>0.8</v>
      </c>
      <c r="BW47" s="17"/>
      <c r="BX47" s="17">
        <v>80</v>
      </c>
      <c r="BY47" s="17">
        <v>5.4</v>
      </c>
      <c r="BZ47" s="17">
        <v>0.86</v>
      </c>
      <c r="CA47" s="17"/>
      <c r="CB47" s="17">
        <v>80</v>
      </c>
      <c r="CC47" s="17">
        <v>1</v>
      </c>
      <c r="CD47" s="37">
        <f t="shared" si="4"/>
        <v>0.61405685093369289</v>
      </c>
      <c r="CE47" s="17">
        <v>160</v>
      </c>
      <c r="CF47" s="22">
        <f t="shared" si="5"/>
        <v>0.61405685093369289</v>
      </c>
      <c r="CG47" s="22">
        <f t="shared" si="1"/>
        <v>0.65833804698903542</v>
      </c>
      <c r="CI47" s="37">
        <f t="shared" si="6"/>
        <v>2.6178330675558137E-2</v>
      </c>
      <c r="CJ47" s="37">
        <f t="shared" si="3"/>
        <v>2.6805870767138907E-2</v>
      </c>
    </row>
    <row r="48" spans="1:88" s="35" customFormat="1" x14ac:dyDescent="0.35">
      <c r="A48" s="38" t="s">
        <v>232</v>
      </c>
      <c r="B48" s="49" t="s">
        <v>233</v>
      </c>
      <c r="C48" s="38" t="s">
        <v>102</v>
      </c>
      <c r="D48" s="39" t="s">
        <v>234</v>
      </c>
      <c r="E48" s="39" t="s">
        <v>235</v>
      </c>
      <c r="F48" s="18" t="s">
        <v>1109</v>
      </c>
      <c r="G48" s="28">
        <v>0</v>
      </c>
      <c r="H48" s="28">
        <v>1</v>
      </c>
      <c r="I48" s="28">
        <v>1</v>
      </c>
      <c r="J48" s="18" t="s">
        <v>1107</v>
      </c>
      <c r="K48" s="83">
        <v>0</v>
      </c>
      <c r="L48" s="40" t="s">
        <v>236</v>
      </c>
      <c r="M48" s="40">
        <v>1</v>
      </c>
      <c r="N48" s="40">
        <v>241</v>
      </c>
      <c r="O48" s="28">
        <v>160</v>
      </c>
      <c r="P48" s="28" t="s">
        <v>31</v>
      </c>
      <c r="Q48" s="28">
        <v>2</v>
      </c>
      <c r="R48" s="28">
        <v>1</v>
      </c>
      <c r="S48" s="41">
        <v>0</v>
      </c>
      <c r="T48" s="28">
        <v>0</v>
      </c>
      <c r="U48" s="28">
        <v>1</v>
      </c>
      <c r="V48" s="28">
        <v>0</v>
      </c>
      <c r="W48" s="28">
        <v>0</v>
      </c>
      <c r="X48" s="28">
        <v>0</v>
      </c>
      <c r="Y48" s="28">
        <v>1</v>
      </c>
      <c r="Z48" s="28">
        <v>0</v>
      </c>
      <c r="AA48" s="148">
        <v>1</v>
      </c>
      <c r="AB48" s="28">
        <v>0</v>
      </c>
      <c r="AC48" s="28" t="s">
        <v>237</v>
      </c>
      <c r="AD48" s="18">
        <v>2.4</v>
      </c>
      <c r="AE48" s="28">
        <v>2.7</v>
      </c>
      <c r="AF48" s="28" t="s">
        <v>238</v>
      </c>
      <c r="AG48" s="28">
        <v>1</v>
      </c>
      <c r="AH48" s="28" t="s">
        <v>239</v>
      </c>
      <c r="AI48" s="28">
        <v>94</v>
      </c>
      <c r="AJ48" s="28">
        <v>65</v>
      </c>
      <c r="AK48" s="28">
        <v>81</v>
      </c>
      <c r="AL48" s="28">
        <v>54</v>
      </c>
      <c r="AM48" s="28">
        <v>61</v>
      </c>
      <c r="AN48" s="28">
        <v>57</v>
      </c>
      <c r="AO48" s="42">
        <v>23.19</v>
      </c>
      <c r="AP48" s="28">
        <v>1</v>
      </c>
      <c r="AQ48" s="28">
        <v>1</v>
      </c>
      <c r="AR48" s="28">
        <v>0</v>
      </c>
      <c r="AS48" s="28">
        <v>1</v>
      </c>
      <c r="AT48" s="28">
        <v>0</v>
      </c>
      <c r="AU48" s="28">
        <v>0</v>
      </c>
      <c r="AV48" s="28">
        <v>0</v>
      </c>
      <c r="AW48" s="28">
        <v>1</v>
      </c>
      <c r="AX48" s="28">
        <v>1</v>
      </c>
      <c r="AY48" s="34" t="s">
        <v>260</v>
      </c>
      <c r="AZ48" s="25" t="s">
        <v>241</v>
      </c>
      <c r="BA48" s="17" t="s">
        <v>141</v>
      </c>
      <c r="BB48" s="35" t="s">
        <v>46</v>
      </c>
      <c r="BC48" s="35" t="s">
        <v>261</v>
      </c>
      <c r="BD48" s="17">
        <v>2</v>
      </c>
      <c r="BE48" s="17">
        <v>6</v>
      </c>
      <c r="BF48" s="17">
        <v>0</v>
      </c>
      <c r="BG48" s="17">
        <v>0</v>
      </c>
      <c r="BH48" s="17">
        <v>1</v>
      </c>
      <c r="BI48" s="17">
        <v>0</v>
      </c>
      <c r="BJ48" s="17">
        <v>0.91</v>
      </c>
      <c r="BK48" s="17">
        <v>0.91</v>
      </c>
      <c r="BL48" s="35" t="s">
        <v>254</v>
      </c>
      <c r="BM48" s="17" t="s">
        <v>244</v>
      </c>
      <c r="BN48" s="17"/>
      <c r="BO48" s="17"/>
      <c r="BP48" s="17"/>
      <c r="BQ48" s="17"/>
      <c r="BR48" s="36"/>
      <c r="BS48" s="36"/>
      <c r="BT48" s="17"/>
      <c r="BU48" s="17">
        <v>3.62</v>
      </c>
      <c r="BV48" s="17">
        <v>1.67</v>
      </c>
      <c r="BW48" s="17"/>
      <c r="BX48" s="17">
        <v>80</v>
      </c>
      <c r="BY48" s="17">
        <v>4.2300000000000004</v>
      </c>
      <c r="BZ48" s="17">
        <v>1.34</v>
      </c>
      <c r="CA48" s="17"/>
      <c r="CB48" s="17">
        <v>80</v>
      </c>
      <c r="CC48" s="17">
        <v>1</v>
      </c>
      <c r="CD48" s="37">
        <f t="shared" si="4"/>
        <v>0.40290146293099238</v>
      </c>
      <c r="CE48" s="17">
        <v>160</v>
      </c>
      <c r="CF48" s="22">
        <f t="shared" si="5"/>
        <v>0.40290146293099238</v>
      </c>
      <c r="CG48" s="22">
        <f t="shared" si="1"/>
        <v>0.42235549428363739</v>
      </c>
      <c r="CI48" s="37">
        <f t="shared" si="6"/>
        <v>2.5507279965099796E-2</v>
      </c>
      <c r="CJ48" s="37">
        <f t="shared" si="3"/>
        <v>2.5749513292233513E-2</v>
      </c>
    </row>
    <row r="49" spans="1:88" s="35" customFormat="1" ht="13.5" customHeight="1" x14ac:dyDescent="0.35">
      <c r="A49" s="29" t="s">
        <v>262</v>
      </c>
      <c r="B49" s="183" t="s">
        <v>263</v>
      </c>
      <c r="C49" s="29" t="s">
        <v>111</v>
      </c>
      <c r="D49" s="184" t="s">
        <v>264</v>
      </c>
      <c r="E49" s="184" t="s">
        <v>265</v>
      </c>
      <c r="F49" s="12" t="s">
        <v>1109</v>
      </c>
      <c r="G49" s="27">
        <v>0</v>
      </c>
      <c r="H49" s="27">
        <v>1</v>
      </c>
      <c r="I49" s="27">
        <v>1</v>
      </c>
      <c r="J49" s="11" t="s">
        <v>1106</v>
      </c>
      <c r="K49" s="82">
        <v>1</v>
      </c>
      <c r="L49" s="31" t="s">
        <v>266</v>
      </c>
      <c r="M49" s="31">
        <v>1</v>
      </c>
      <c r="N49" s="31">
        <v>975</v>
      </c>
      <c r="O49" s="27">
        <v>199</v>
      </c>
      <c r="P49" s="27" t="s">
        <v>147</v>
      </c>
      <c r="Q49" s="27">
        <v>2</v>
      </c>
      <c r="R49" s="27">
        <v>1</v>
      </c>
      <c r="S49" s="32">
        <v>0</v>
      </c>
      <c r="T49" s="27">
        <v>0</v>
      </c>
      <c r="U49" s="27">
        <v>0</v>
      </c>
      <c r="V49" s="27">
        <v>0</v>
      </c>
      <c r="W49" s="27">
        <v>1</v>
      </c>
      <c r="X49" s="27">
        <v>0</v>
      </c>
      <c r="Y49" s="27">
        <v>0</v>
      </c>
      <c r="Z49" s="27">
        <v>1</v>
      </c>
      <c r="AA49" s="149">
        <v>1</v>
      </c>
      <c r="AB49" s="27">
        <v>1</v>
      </c>
      <c r="AC49" s="27" t="s">
        <v>219</v>
      </c>
      <c r="AD49" s="12">
        <v>3.7</v>
      </c>
      <c r="AE49" s="27">
        <v>2.6</v>
      </c>
      <c r="AF49" s="27" t="s">
        <v>220</v>
      </c>
      <c r="AG49" s="27">
        <v>0</v>
      </c>
      <c r="AH49" s="27" t="s">
        <v>267</v>
      </c>
      <c r="AI49" s="27">
        <v>86</v>
      </c>
      <c r="AJ49" s="27">
        <v>68</v>
      </c>
      <c r="AK49" s="27">
        <v>74</v>
      </c>
      <c r="AL49" s="27">
        <v>43</v>
      </c>
      <c r="AM49" s="27">
        <v>60</v>
      </c>
      <c r="AN49" s="27">
        <v>48</v>
      </c>
      <c r="AO49" s="33"/>
      <c r="AP49" s="27">
        <v>1</v>
      </c>
      <c r="AQ49" s="27">
        <v>0</v>
      </c>
      <c r="AR49" s="27">
        <v>1</v>
      </c>
      <c r="AS49" s="27">
        <v>0</v>
      </c>
      <c r="AT49" s="27">
        <v>0</v>
      </c>
      <c r="AU49" s="27">
        <v>0</v>
      </c>
      <c r="AV49" s="27">
        <v>1</v>
      </c>
      <c r="AW49" s="27">
        <v>1</v>
      </c>
      <c r="AX49" s="27">
        <v>1</v>
      </c>
      <c r="AY49" s="34" t="s">
        <v>268</v>
      </c>
      <c r="AZ49" s="25" t="s">
        <v>269</v>
      </c>
      <c r="BA49" s="17" t="s">
        <v>183</v>
      </c>
      <c r="BB49" s="150" t="s">
        <v>270</v>
      </c>
      <c r="BC49" s="150" t="s">
        <v>271</v>
      </c>
      <c r="BD49" s="17">
        <v>6</v>
      </c>
      <c r="BE49" s="17">
        <v>7</v>
      </c>
      <c r="BF49" s="17">
        <v>1</v>
      </c>
      <c r="BG49" s="17">
        <v>1</v>
      </c>
      <c r="BH49" s="17">
        <v>0</v>
      </c>
      <c r="BI49" s="17">
        <v>0</v>
      </c>
      <c r="BJ49" s="17">
        <v>0.87</v>
      </c>
      <c r="BK49" s="17">
        <v>0.87</v>
      </c>
      <c r="BL49" s="150" t="s">
        <v>97</v>
      </c>
      <c r="BM49" s="17">
        <v>980</v>
      </c>
      <c r="BN49" s="17"/>
      <c r="BO49" s="17"/>
      <c r="BP49" s="17"/>
      <c r="BQ49" s="17"/>
      <c r="BR49" s="36"/>
      <c r="BS49" s="36"/>
      <c r="BT49" s="17"/>
      <c r="BU49" s="17">
        <v>3.8</v>
      </c>
      <c r="BV49" s="17">
        <v>1.05</v>
      </c>
      <c r="BW49" s="17"/>
      <c r="BX49" s="17">
        <v>50</v>
      </c>
      <c r="BY49" s="17">
        <v>5.5</v>
      </c>
      <c r="BZ49" s="17">
        <v>0.67</v>
      </c>
      <c r="CA49" s="17"/>
      <c r="CB49" s="17">
        <v>50</v>
      </c>
      <c r="CC49" s="17">
        <v>1</v>
      </c>
      <c r="CD49" s="37">
        <f t="shared" si="4"/>
        <v>1.9301987305347601</v>
      </c>
      <c r="CE49" s="17">
        <v>100</v>
      </c>
      <c r="CF49" s="22">
        <f t="shared" si="5"/>
        <v>1.9301987305347601</v>
      </c>
      <c r="CG49" s="22">
        <f t="shared" si="1"/>
        <v>2.0693902537343156</v>
      </c>
      <c r="CH49" s="150"/>
      <c r="CI49" s="37">
        <f t="shared" si="6"/>
        <v>5.8628335696789997E-2</v>
      </c>
      <c r="CJ49" s="37">
        <f t="shared" si="3"/>
        <v>6.4058292259834698E-2</v>
      </c>
    </row>
    <row r="50" spans="1:88" s="35" customFormat="1" x14ac:dyDescent="0.35">
      <c r="A50" s="29" t="s">
        <v>262</v>
      </c>
      <c r="B50" s="183" t="s">
        <v>263</v>
      </c>
      <c r="C50" s="29" t="s">
        <v>111</v>
      </c>
      <c r="D50" s="184" t="s">
        <v>264</v>
      </c>
      <c r="E50" s="184" t="s">
        <v>265</v>
      </c>
      <c r="F50" s="11" t="s">
        <v>1109</v>
      </c>
      <c r="G50" s="27">
        <v>0</v>
      </c>
      <c r="H50" s="27">
        <v>1</v>
      </c>
      <c r="I50" s="27">
        <v>1</v>
      </c>
      <c r="J50" s="11" t="s">
        <v>1106</v>
      </c>
      <c r="K50" s="82">
        <v>1</v>
      </c>
      <c r="L50" s="31" t="s">
        <v>266</v>
      </c>
      <c r="M50" s="31">
        <v>1</v>
      </c>
      <c r="N50" s="31">
        <v>975</v>
      </c>
      <c r="O50" s="27">
        <v>199</v>
      </c>
      <c r="P50" s="27" t="s">
        <v>147</v>
      </c>
      <c r="Q50" s="27">
        <v>2</v>
      </c>
      <c r="R50" s="27">
        <v>1</v>
      </c>
      <c r="S50" s="32">
        <v>0</v>
      </c>
      <c r="T50" s="27">
        <v>0</v>
      </c>
      <c r="U50" s="27">
        <v>0</v>
      </c>
      <c r="V50" s="27">
        <v>0</v>
      </c>
      <c r="W50" s="27">
        <v>1</v>
      </c>
      <c r="X50" s="27">
        <v>0</v>
      </c>
      <c r="Y50" s="27">
        <v>0</v>
      </c>
      <c r="Z50" s="27">
        <v>1</v>
      </c>
      <c r="AA50" s="149">
        <v>1</v>
      </c>
      <c r="AB50" s="27">
        <v>1</v>
      </c>
      <c r="AC50" s="27" t="s">
        <v>219</v>
      </c>
      <c r="AD50" s="11">
        <v>3.7</v>
      </c>
      <c r="AE50" s="27">
        <v>2.6</v>
      </c>
      <c r="AF50" s="27" t="s">
        <v>220</v>
      </c>
      <c r="AG50" s="27">
        <v>0</v>
      </c>
      <c r="AH50" s="27" t="s">
        <v>267</v>
      </c>
      <c r="AI50" s="27">
        <v>86</v>
      </c>
      <c r="AJ50" s="27">
        <v>68</v>
      </c>
      <c r="AK50" s="27">
        <v>74</v>
      </c>
      <c r="AL50" s="27">
        <v>43</v>
      </c>
      <c r="AM50" s="27">
        <v>60</v>
      </c>
      <c r="AN50" s="27">
        <v>48</v>
      </c>
      <c r="AO50" s="33"/>
      <c r="AP50" s="27">
        <v>1</v>
      </c>
      <c r="AQ50" s="27">
        <v>0</v>
      </c>
      <c r="AR50" s="27">
        <v>1</v>
      </c>
      <c r="AS50" s="27">
        <v>0</v>
      </c>
      <c r="AT50" s="27">
        <v>0</v>
      </c>
      <c r="AU50" s="27">
        <v>0</v>
      </c>
      <c r="AV50" s="27">
        <v>1</v>
      </c>
      <c r="AW50" s="27">
        <v>1</v>
      </c>
      <c r="AX50" s="27">
        <v>1</v>
      </c>
      <c r="AY50" s="34" t="s">
        <v>272</v>
      </c>
      <c r="AZ50" s="25" t="s">
        <v>269</v>
      </c>
      <c r="BA50" s="17" t="s">
        <v>183</v>
      </c>
      <c r="BB50" s="150" t="s">
        <v>273</v>
      </c>
      <c r="BC50" s="150" t="s">
        <v>274</v>
      </c>
      <c r="BD50" s="17">
        <v>2</v>
      </c>
      <c r="BE50" s="17">
        <v>7</v>
      </c>
      <c r="BF50" s="17">
        <v>1</v>
      </c>
      <c r="BG50" s="17">
        <v>1</v>
      </c>
      <c r="BH50" s="17">
        <v>0</v>
      </c>
      <c r="BI50" s="17">
        <v>0</v>
      </c>
      <c r="BJ50" s="17">
        <v>0.85</v>
      </c>
      <c r="BK50" s="17">
        <v>0.85</v>
      </c>
      <c r="BL50" s="150" t="s">
        <v>97</v>
      </c>
      <c r="BM50" s="17">
        <v>980</v>
      </c>
      <c r="BN50" s="17"/>
      <c r="BO50" s="17"/>
      <c r="BP50" s="17"/>
      <c r="BQ50" s="17"/>
      <c r="BR50" s="36"/>
      <c r="BS50" s="36"/>
      <c r="BT50" s="17"/>
      <c r="BU50" s="17">
        <v>3.9</v>
      </c>
      <c r="BV50" s="17">
        <v>0.83</v>
      </c>
      <c r="BW50" s="17"/>
      <c r="BX50" s="17">
        <v>50</v>
      </c>
      <c r="BY50" s="17">
        <v>6</v>
      </c>
      <c r="BZ50" s="17">
        <v>0.64</v>
      </c>
      <c r="CA50" s="17"/>
      <c r="CB50" s="17">
        <v>50</v>
      </c>
      <c r="CC50" s="17">
        <v>1</v>
      </c>
      <c r="CD50" s="37">
        <f t="shared" si="4"/>
        <v>2.8335720623765566</v>
      </c>
      <c r="CE50" s="17">
        <v>100</v>
      </c>
      <c r="CF50" s="22">
        <f t="shared" si="5"/>
        <v>2.8335720623765566</v>
      </c>
      <c r="CG50" s="22">
        <f t="shared" si="1"/>
        <v>3.0734404237675008</v>
      </c>
      <c r="CH50" s="150"/>
      <c r="CI50" s="37">
        <f t="shared" si="6"/>
        <v>8.0145653163404662E-2</v>
      </c>
      <c r="CJ50" s="37">
        <f t="shared" si="3"/>
        <v>9.3067618193528961E-2</v>
      </c>
    </row>
    <row r="51" spans="1:88" s="35" customFormat="1" x14ac:dyDescent="0.35">
      <c r="A51" s="29" t="s">
        <v>262</v>
      </c>
      <c r="B51" s="183" t="s">
        <v>263</v>
      </c>
      <c r="C51" s="29" t="s">
        <v>111</v>
      </c>
      <c r="D51" s="184" t="s">
        <v>264</v>
      </c>
      <c r="E51" s="184" t="s">
        <v>265</v>
      </c>
      <c r="F51" s="12" t="s">
        <v>1109</v>
      </c>
      <c r="G51" s="27">
        <v>0</v>
      </c>
      <c r="H51" s="27">
        <v>1</v>
      </c>
      <c r="I51" s="27">
        <v>1</v>
      </c>
      <c r="J51" s="11" t="s">
        <v>1106</v>
      </c>
      <c r="K51" s="82">
        <v>1</v>
      </c>
      <c r="L51" s="31" t="s">
        <v>266</v>
      </c>
      <c r="M51" s="31">
        <v>1</v>
      </c>
      <c r="N51" s="31">
        <v>975</v>
      </c>
      <c r="O51" s="27">
        <v>199</v>
      </c>
      <c r="P51" s="27" t="s">
        <v>147</v>
      </c>
      <c r="Q51" s="27">
        <v>2</v>
      </c>
      <c r="R51" s="27">
        <v>1</v>
      </c>
      <c r="S51" s="32">
        <v>0</v>
      </c>
      <c r="T51" s="27">
        <v>0</v>
      </c>
      <c r="U51" s="27">
        <v>0</v>
      </c>
      <c r="V51" s="27">
        <v>0</v>
      </c>
      <c r="W51" s="27">
        <v>1</v>
      </c>
      <c r="X51" s="27">
        <v>0</v>
      </c>
      <c r="Y51" s="27">
        <v>0</v>
      </c>
      <c r="Z51" s="27">
        <v>1</v>
      </c>
      <c r="AA51" s="149">
        <v>1</v>
      </c>
      <c r="AB51" s="27">
        <v>1</v>
      </c>
      <c r="AC51" s="27" t="s">
        <v>219</v>
      </c>
      <c r="AD51" s="12">
        <v>3.7</v>
      </c>
      <c r="AE51" s="27">
        <v>2.6</v>
      </c>
      <c r="AF51" s="27" t="s">
        <v>220</v>
      </c>
      <c r="AG51" s="27">
        <v>0</v>
      </c>
      <c r="AH51" s="27" t="s">
        <v>267</v>
      </c>
      <c r="AI51" s="27">
        <v>86</v>
      </c>
      <c r="AJ51" s="27">
        <v>68</v>
      </c>
      <c r="AK51" s="27">
        <v>74</v>
      </c>
      <c r="AL51" s="27">
        <v>43</v>
      </c>
      <c r="AM51" s="27">
        <v>60</v>
      </c>
      <c r="AN51" s="27">
        <v>48</v>
      </c>
      <c r="AO51" s="33"/>
      <c r="AP51" s="27">
        <v>1</v>
      </c>
      <c r="AQ51" s="27">
        <v>0</v>
      </c>
      <c r="AR51" s="27">
        <v>1</v>
      </c>
      <c r="AS51" s="27">
        <v>0</v>
      </c>
      <c r="AT51" s="27">
        <v>0</v>
      </c>
      <c r="AU51" s="27">
        <v>0</v>
      </c>
      <c r="AV51" s="27">
        <v>1</v>
      </c>
      <c r="AW51" s="27">
        <v>1</v>
      </c>
      <c r="AX51" s="27">
        <v>1</v>
      </c>
      <c r="AY51" s="34" t="s">
        <v>275</v>
      </c>
      <c r="AZ51" s="25" t="s">
        <v>269</v>
      </c>
      <c r="BA51" s="17" t="s">
        <v>183</v>
      </c>
      <c r="BB51" s="150" t="s">
        <v>46</v>
      </c>
      <c r="BC51" s="150" t="s">
        <v>276</v>
      </c>
      <c r="BD51" s="17">
        <v>3</v>
      </c>
      <c r="BE51" s="17">
        <v>7</v>
      </c>
      <c r="BF51" s="17">
        <v>0</v>
      </c>
      <c r="BG51" s="17">
        <v>0</v>
      </c>
      <c r="BH51" s="17">
        <v>1</v>
      </c>
      <c r="BI51" s="17">
        <v>0</v>
      </c>
      <c r="BJ51" s="17">
        <v>0.87</v>
      </c>
      <c r="BK51" s="17">
        <v>0.87</v>
      </c>
      <c r="BL51" s="150" t="s">
        <v>97</v>
      </c>
      <c r="BM51" s="17">
        <v>980</v>
      </c>
      <c r="BN51" s="17"/>
      <c r="BO51" s="17"/>
      <c r="BP51" s="17"/>
      <c r="BQ51" s="17"/>
      <c r="BR51" s="36"/>
      <c r="BS51" s="36"/>
      <c r="BT51" s="17"/>
      <c r="BU51" s="17">
        <v>3.9</v>
      </c>
      <c r="BV51" s="17">
        <v>1.25</v>
      </c>
      <c r="BW51" s="17"/>
      <c r="BX51" s="17">
        <v>50</v>
      </c>
      <c r="BY51" s="17">
        <v>4.7</v>
      </c>
      <c r="BZ51" s="17">
        <v>1.36</v>
      </c>
      <c r="CA51" s="17"/>
      <c r="CB51" s="17">
        <v>50</v>
      </c>
      <c r="CC51" s="17">
        <v>0</v>
      </c>
      <c r="CD51" s="37">
        <f t="shared" si="4"/>
        <v>0.61248309937811929</v>
      </c>
      <c r="CE51" s="17">
        <v>100</v>
      </c>
      <c r="CF51" s="22">
        <f t="shared" si="5"/>
        <v>0.61248309937811929</v>
      </c>
      <c r="CG51" s="22">
        <f t="shared" si="1"/>
        <v>0.65665080821958455</v>
      </c>
      <c r="CH51" s="150"/>
      <c r="CI51" s="37">
        <f t="shared" si="6"/>
        <v>4.1875677735119139E-2</v>
      </c>
      <c r="CJ51" s="37">
        <f t="shared" si="3"/>
        <v>4.2369177384260624E-2</v>
      </c>
    </row>
    <row r="52" spans="1:88" s="35" customFormat="1" ht="12.65" customHeight="1" x14ac:dyDescent="0.35">
      <c r="A52" s="29" t="s">
        <v>262</v>
      </c>
      <c r="B52" s="183" t="s">
        <v>263</v>
      </c>
      <c r="C52" s="29" t="s">
        <v>111</v>
      </c>
      <c r="D52" s="184" t="s">
        <v>264</v>
      </c>
      <c r="E52" s="184" t="s">
        <v>265</v>
      </c>
      <c r="F52" s="11" t="s">
        <v>1109</v>
      </c>
      <c r="G52" s="27">
        <v>0</v>
      </c>
      <c r="H52" s="27">
        <v>1</v>
      </c>
      <c r="I52" s="27">
        <v>1</v>
      </c>
      <c r="J52" s="11" t="s">
        <v>1106</v>
      </c>
      <c r="K52" s="82">
        <v>1</v>
      </c>
      <c r="L52" s="31" t="s">
        <v>266</v>
      </c>
      <c r="M52" s="31">
        <v>1</v>
      </c>
      <c r="N52" s="31">
        <v>975</v>
      </c>
      <c r="O52" s="27">
        <v>199</v>
      </c>
      <c r="P52" s="27" t="s">
        <v>147</v>
      </c>
      <c r="Q52" s="27">
        <v>2</v>
      </c>
      <c r="R52" s="27">
        <v>2</v>
      </c>
      <c r="S52" s="32">
        <v>0</v>
      </c>
      <c r="T52" s="27">
        <v>0</v>
      </c>
      <c r="U52" s="27">
        <v>0</v>
      </c>
      <c r="V52" s="27">
        <v>0</v>
      </c>
      <c r="W52" s="27">
        <v>1</v>
      </c>
      <c r="X52" s="27">
        <v>0</v>
      </c>
      <c r="Y52" s="27">
        <v>0</v>
      </c>
      <c r="Z52" s="27">
        <v>1</v>
      </c>
      <c r="AA52" s="179">
        <v>1</v>
      </c>
      <c r="AB52" s="27">
        <v>1</v>
      </c>
      <c r="AC52" s="27" t="s">
        <v>277</v>
      </c>
      <c r="AD52" s="11">
        <v>2</v>
      </c>
      <c r="AE52" s="27">
        <v>2.9</v>
      </c>
      <c r="AF52" s="27" t="s">
        <v>220</v>
      </c>
      <c r="AG52" s="27">
        <v>0</v>
      </c>
      <c r="AH52" s="27" t="s">
        <v>267</v>
      </c>
      <c r="AI52" s="27">
        <v>86</v>
      </c>
      <c r="AJ52" s="27">
        <v>68</v>
      </c>
      <c r="AK52" s="27">
        <v>74</v>
      </c>
      <c r="AL52" s="27">
        <v>43</v>
      </c>
      <c r="AM52" s="27">
        <v>60</v>
      </c>
      <c r="AN52" s="27">
        <v>48</v>
      </c>
      <c r="AO52" s="33"/>
      <c r="AP52" s="27">
        <v>1</v>
      </c>
      <c r="AQ52" s="27">
        <v>0</v>
      </c>
      <c r="AR52" s="27">
        <v>1</v>
      </c>
      <c r="AS52" s="27">
        <v>0</v>
      </c>
      <c r="AT52" s="27">
        <v>0</v>
      </c>
      <c r="AU52" s="27">
        <v>0</v>
      </c>
      <c r="AV52" s="27">
        <v>1</v>
      </c>
      <c r="AW52" s="27">
        <v>1</v>
      </c>
      <c r="AX52" s="27">
        <v>1</v>
      </c>
      <c r="AY52" s="34" t="s">
        <v>278</v>
      </c>
      <c r="AZ52" s="25" t="s">
        <v>269</v>
      </c>
      <c r="BA52" s="17" t="s">
        <v>183</v>
      </c>
      <c r="BB52" s="150" t="s">
        <v>270</v>
      </c>
      <c r="BC52" s="150" t="s">
        <v>271</v>
      </c>
      <c r="BD52" s="17">
        <v>6</v>
      </c>
      <c r="BE52" s="17">
        <v>7</v>
      </c>
      <c r="BF52" s="17">
        <v>1</v>
      </c>
      <c r="BG52" s="17">
        <v>1</v>
      </c>
      <c r="BH52" s="17">
        <v>0</v>
      </c>
      <c r="BI52" s="17">
        <v>0</v>
      </c>
      <c r="BJ52" s="17">
        <v>0.88</v>
      </c>
      <c r="BK52" s="17">
        <v>0.88</v>
      </c>
      <c r="BL52" s="150" t="s">
        <v>97</v>
      </c>
      <c r="BM52" s="17">
        <v>980</v>
      </c>
      <c r="BN52" s="17"/>
      <c r="BO52" s="17"/>
      <c r="BP52" s="17"/>
      <c r="BQ52" s="17"/>
      <c r="BR52" s="36"/>
      <c r="BS52" s="36"/>
      <c r="BT52" s="17"/>
      <c r="BU52" s="17">
        <v>3.5</v>
      </c>
      <c r="BV52" s="17">
        <v>1.06</v>
      </c>
      <c r="BW52" s="17"/>
      <c r="BX52" s="17">
        <v>50</v>
      </c>
      <c r="BY52" s="17">
        <v>5.2</v>
      </c>
      <c r="BZ52" s="17">
        <v>0.71</v>
      </c>
      <c r="CA52" s="17"/>
      <c r="CB52" s="17">
        <v>49</v>
      </c>
      <c r="CC52" s="17">
        <v>1</v>
      </c>
      <c r="CD52" s="37">
        <f t="shared" si="4"/>
        <v>1.8807297098451841</v>
      </c>
      <c r="CE52" s="17">
        <v>99</v>
      </c>
      <c r="CF52" s="22">
        <f t="shared" si="5"/>
        <v>1.8807297098451841</v>
      </c>
      <c r="CG52" s="22">
        <f t="shared" si="1"/>
        <v>2.0048646070513629</v>
      </c>
      <c r="CH52" s="150"/>
      <c r="CI52" s="37">
        <f t="shared" si="6"/>
        <v>5.8272528121338193E-2</v>
      </c>
      <c r="CJ52" s="37">
        <f t="shared" si="3"/>
        <v>6.2738619335346218E-2</v>
      </c>
    </row>
    <row r="53" spans="1:88" s="35" customFormat="1" ht="16.5" customHeight="1" x14ac:dyDescent="0.35">
      <c r="A53" s="29" t="s">
        <v>262</v>
      </c>
      <c r="B53" s="183" t="s">
        <v>263</v>
      </c>
      <c r="C53" s="29" t="s">
        <v>111</v>
      </c>
      <c r="D53" s="184" t="s">
        <v>264</v>
      </c>
      <c r="E53" s="184" t="s">
        <v>265</v>
      </c>
      <c r="F53" s="12" t="s">
        <v>1109</v>
      </c>
      <c r="G53" s="27">
        <v>0</v>
      </c>
      <c r="H53" s="27">
        <v>1</v>
      </c>
      <c r="I53" s="27">
        <v>1</v>
      </c>
      <c r="J53" s="11" t="s">
        <v>1106</v>
      </c>
      <c r="K53" s="82">
        <v>1</v>
      </c>
      <c r="L53" s="31" t="s">
        <v>266</v>
      </c>
      <c r="M53" s="31">
        <v>1</v>
      </c>
      <c r="N53" s="31">
        <v>975</v>
      </c>
      <c r="O53" s="27">
        <v>199</v>
      </c>
      <c r="P53" s="27" t="s">
        <v>147</v>
      </c>
      <c r="Q53" s="27">
        <v>2</v>
      </c>
      <c r="R53" s="27">
        <v>2</v>
      </c>
      <c r="S53" s="32">
        <v>0</v>
      </c>
      <c r="T53" s="27">
        <v>0</v>
      </c>
      <c r="U53" s="27">
        <v>0</v>
      </c>
      <c r="V53" s="27">
        <v>0</v>
      </c>
      <c r="W53" s="27">
        <v>1</v>
      </c>
      <c r="X53" s="27">
        <v>0</v>
      </c>
      <c r="Y53" s="27">
        <v>0</v>
      </c>
      <c r="Z53" s="27">
        <v>1</v>
      </c>
      <c r="AA53" s="149">
        <v>1</v>
      </c>
      <c r="AB53" s="27">
        <v>1</v>
      </c>
      <c r="AC53" s="27" t="s">
        <v>277</v>
      </c>
      <c r="AD53" s="12">
        <v>2</v>
      </c>
      <c r="AE53" s="27">
        <v>2.9</v>
      </c>
      <c r="AF53" s="27" t="s">
        <v>220</v>
      </c>
      <c r="AG53" s="27">
        <v>0</v>
      </c>
      <c r="AH53" s="27" t="s">
        <v>267</v>
      </c>
      <c r="AI53" s="27">
        <v>86</v>
      </c>
      <c r="AJ53" s="27">
        <v>68</v>
      </c>
      <c r="AK53" s="27">
        <v>74</v>
      </c>
      <c r="AL53" s="27">
        <v>43</v>
      </c>
      <c r="AM53" s="27">
        <v>60</v>
      </c>
      <c r="AN53" s="27">
        <v>48</v>
      </c>
      <c r="AO53" s="33"/>
      <c r="AP53" s="27">
        <v>1</v>
      </c>
      <c r="AQ53" s="27">
        <v>0</v>
      </c>
      <c r="AR53" s="27">
        <v>1</v>
      </c>
      <c r="AS53" s="27">
        <v>0</v>
      </c>
      <c r="AT53" s="27">
        <v>0</v>
      </c>
      <c r="AU53" s="27">
        <v>0</v>
      </c>
      <c r="AV53" s="27">
        <v>1</v>
      </c>
      <c r="AW53" s="27">
        <v>1</v>
      </c>
      <c r="AX53" s="27">
        <v>1</v>
      </c>
      <c r="AY53" s="34" t="s">
        <v>279</v>
      </c>
      <c r="AZ53" s="25" t="s">
        <v>269</v>
      </c>
      <c r="BA53" s="17" t="s">
        <v>183</v>
      </c>
      <c r="BB53" s="150" t="s">
        <v>273</v>
      </c>
      <c r="BC53" s="150" t="s">
        <v>274</v>
      </c>
      <c r="BD53" s="17">
        <v>2</v>
      </c>
      <c r="BE53" s="17">
        <v>7</v>
      </c>
      <c r="BF53" s="17">
        <v>1</v>
      </c>
      <c r="BG53" s="17">
        <v>1</v>
      </c>
      <c r="BH53" s="17">
        <v>0</v>
      </c>
      <c r="BI53" s="17">
        <v>0</v>
      </c>
      <c r="BJ53" s="17">
        <v>0.85</v>
      </c>
      <c r="BK53" s="17">
        <v>0.85</v>
      </c>
      <c r="BL53" s="150" t="s">
        <v>97</v>
      </c>
      <c r="BM53" s="17">
        <v>980</v>
      </c>
      <c r="BN53" s="17"/>
      <c r="BO53" s="17"/>
      <c r="BP53" s="17"/>
      <c r="BQ53" s="17"/>
      <c r="BR53" s="36"/>
      <c r="BS53" s="36"/>
      <c r="BT53" s="17"/>
      <c r="BU53" s="17">
        <v>3.9</v>
      </c>
      <c r="BV53" s="17">
        <v>0.81</v>
      </c>
      <c r="BW53" s="17"/>
      <c r="BX53" s="17">
        <v>50</v>
      </c>
      <c r="BY53" s="17">
        <v>5.4</v>
      </c>
      <c r="BZ53" s="17">
        <v>1.02</v>
      </c>
      <c r="CA53" s="17"/>
      <c r="CB53" s="17">
        <v>49</v>
      </c>
      <c r="CC53" s="17">
        <v>1</v>
      </c>
      <c r="CD53" s="37">
        <f t="shared" si="4"/>
        <v>1.6305609015036098</v>
      </c>
      <c r="CE53" s="17">
        <v>99</v>
      </c>
      <c r="CF53" s="22">
        <f t="shared" si="5"/>
        <v>1.6305609015036098</v>
      </c>
      <c r="CG53" s="22">
        <f t="shared" si="1"/>
        <v>1.768591614321894</v>
      </c>
      <c r="CH53" s="150"/>
      <c r="CI53" s="37">
        <f t="shared" si="6"/>
        <v>5.3836086767893317E-2</v>
      </c>
      <c r="CJ53" s="37">
        <f t="shared" si="3"/>
        <v>5.7785476033360136E-2</v>
      </c>
    </row>
    <row r="54" spans="1:88" s="35" customFormat="1" ht="18" customHeight="1" x14ac:dyDescent="0.35">
      <c r="A54" s="38" t="s">
        <v>262</v>
      </c>
      <c r="B54" s="185" t="s">
        <v>263</v>
      </c>
      <c r="C54" s="38" t="s">
        <v>111</v>
      </c>
      <c r="D54" s="186" t="s">
        <v>264</v>
      </c>
      <c r="E54" s="186" t="s">
        <v>265</v>
      </c>
      <c r="F54" s="18" t="s">
        <v>1109</v>
      </c>
      <c r="G54" s="28">
        <v>0</v>
      </c>
      <c r="H54" s="28">
        <v>1</v>
      </c>
      <c r="I54" s="28">
        <v>1</v>
      </c>
      <c r="J54" s="18" t="s">
        <v>1106</v>
      </c>
      <c r="K54" s="83">
        <v>1</v>
      </c>
      <c r="L54" s="40" t="s">
        <v>266</v>
      </c>
      <c r="M54" s="40">
        <v>1</v>
      </c>
      <c r="N54" s="31">
        <v>975</v>
      </c>
      <c r="O54" s="28">
        <v>199</v>
      </c>
      <c r="P54" s="28" t="s">
        <v>147</v>
      </c>
      <c r="Q54" s="28">
        <v>2</v>
      </c>
      <c r="R54" s="28">
        <v>2</v>
      </c>
      <c r="S54" s="41">
        <v>0</v>
      </c>
      <c r="T54" s="28">
        <v>0</v>
      </c>
      <c r="U54" s="28">
        <v>0</v>
      </c>
      <c r="V54" s="28">
        <v>0</v>
      </c>
      <c r="W54" s="28">
        <v>1</v>
      </c>
      <c r="X54" s="28">
        <v>0</v>
      </c>
      <c r="Y54" s="28">
        <v>0</v>
      </c>
      <c r="Z54" s="28">
        <v>1</v>
      </c>
      <c r="AA54" s="149">
        <v>1</v>
      </c>
      <c r="AB54" s="17">
        <v>1</v>
      </c>
      <c r="AC54" s="28" t="s">
        <v>277</v>
      </c>
      <c r="AD54" s="18">
        <v>2</v>
      </c>
      <c r="AE54" s="28">
        <v>2.9</v>
      </c>
      <c r="AF54" s="28" t="s">
        <v>220</v>
      </c>
      <c r="AG54" s="28">
        <v>0</v>
      </c>
      <c r="AH54" s="28" t="s">
        <v>267</v>
      </c>
      <c r="AI54" s="28">
        <v>86</v>
      </c>
      <c r="AJ54" s="27">
        <v>68</v>
      </c>
      <c r="AK54" s="27">
        <v>74</v>
      </c>
      <c r="AL54" s="27">
        <v>43</v>
      </c>
      <c r="AM54" s="27">
        <v>60</v>
      </c>
      <c r="AN54" s="27">
        <v>48</v>
      </c>
      <c r="AO54" s="42"/>
      <c r="AP54" s="27">
        <v>1</v>
      </c>
      <c r="AQ54" s="27">
        <v>0</v>
      </c>
      <c r="AR54" s="27">
        <v>1</v>
      </c>
      <c r="AS54" s="27">
        <v>0</v>
      </c>
      <c r="AT54" s="27">
        <v>0</v>
      </c>
      <c r="AU54" s="27">
        <v>0</v>
      </c>
      <c r="AV54" s="27">
        <v>1</v>
      </c>
      <c r="AW54" s="27">
        <v>1</v>
      </c>
      <c r="AX54" s="27">
        <v>1</v>
      </c>
      <c r="AY54" s="34" t="s">
        <v>280</v>
      </c>
      <c r="AZ54" s="25" t="s">
        <v>269</v>
      </c>
      <c r="BA54" s="17" t="s">
        <v>183</v>
      </c>
      <c r="BB54" s="150" t="s">
        <v>46</v>
      </c>
      <c r="BC54" s="150" t="s">
        <v>276</v>
      </c>
      <c r="BD54" s="17">
        <v>3</v>
      </c>
      <c r="BE54" s="17">
        <v>7</v>
      </c>
      <c r="BF54" s="17">
        <v>0</v>
      </c>
      <c r="BG54" s="17">
        <v>0</v>
      </c>
      <c r="BH54" s="17">
        <v>1</v>
      </c>
      <c r="BI54" s="17">
        <v>0</v>
      </c>
      <c r="BJ54" s="17">
        <v>0.85</v>
      </c>
      <c r="BK54" s="17">
        <v>0.85</v>
      </c>
      <c r="BL54" s="150" t="s">
        <v>97</v>
      </c>
      <c r="BM54" s="17">
        <v>980</v>
      </c>
      <c r="BN54" s="17"/>
      <c r="BO54" s="17"/>
      <c r="BP54" s="17"/>
      <c r="BQ54" s="17"/>
      <c r="BR54" s="36"/>
      <c r="BS54" s="36"/>
      <c r="BT54" s="17"/>
      <c r="BU54" s="17">
        <v>3.9</v>
      </c>
      <c r="BV54" s="17">
        <v>1.21</v>
      </c>
      <c r="BW54" s="17"/>
      <c r="BX54" s="17">
        <v>50</v>
      </c>
      <c r="BY54" s="17">
        <v>3.8</v>
      </c>
      <c r="BZ54" s="17">
        <v>1.1200000000000001</v>
      </c>
      <c r="CA54" s="17"/>
      <c r="CB54" s="17">
        <v>49</v>
      </c>
      <c r="CC54" s="17">
        <v>0</v>
      </c>
      <c r="CD54" s="37">
        <f t="shared" si="4"/>
        <v>-8.5738861817536607E-2</v>
      </c>
      <c r="CE54" s="17">
        <v>99</v>
      </c>
      <c r="CF54" s="22">
        <f t="shared" si="5"/>
        <v>-8.5738861817536607E-2</v>
      </c>
      <c r="CG54" s="22">
        <f t="shared" si="1"/>
        <v>-9.2996852734643573E-2</v>
      </c>
      <c r="CH54" s="150"/>
      <c r="CI54" s="37">
        <f t="shared" si="6"/>
        <v>4.0445290297759486E-2</v>
      </c>
      <c r="CJ54" s="37">
        <f t="shared" si="3"/>
        <v>4.0456210013186951E-2</v>
      </c>
    </row>
    <row r="55" spans="1:88" s="35" customFormat="1" x14ac:dyDescent="0.35">
      <c r="A55" s="62" t="s">
        <v>281</v>
      </c>
      <c r="B55" s="192" t="s">
        <v>282</v>
      </c>
      <c r="C55" s="62" t="s">
        <v>283</v>
      </c>
      <c r="D55" s="193" t="s">
        <v>284</v>
      </c>
      <c r="E55" s="193" t="s">
        <v>285</v>
      </c>
      <c r="F55" s="23" t="s">
        <v>1109</v>
      </c>
      <c r="G55" s="63">
        <v>0</v>
      </c>
      <c r="H55" s="63">
        <v>1</v>
      </c>
      <c r="I55" s="63">
        <v>1</v>
      </c>
      <c r="J55" s="11" t="s">
        <v>1106</v>
      </c>
      <c r="K55" s="85">
        <v>1</v>
      </c>
      <c r="L55" s="64" t="s">
        <v>286</v>
      </c>
      <c r="M55" s="64">
        <v>1</v>
      </c>
      <c r="N55" s="64">
        <v>44</v>
      </c>
      <c r="O55" s="63">
        <v>206</v>
      </c>
      <c r="P55" s="63" t="s">
        <v>31</v>
      </c>
      <c r="Q55" s="63">
        <v>2</v>
      </c>
      <c r="R55" s="63">
        <v>1</v>
      </c>
      <c r="S55" s="32">
        <v>0</v>
      </c>
      <c r="T55" s="63">
        <v>0</v>
      </c>
      <c r="U55" s="63">
        <v>0</v>
      </c>
      <c r="V55" s="63">
        <v>0</v>
      </c>
      <c r="W55" s="63">
        <v>1</v>
      </c>
      <c r="X55" s="63">
        <v>0</v>
      </c>
      <c r="Y55" s="63">
        <v>0</v>
      </c>
      <c r="Z55" s="63">
        <v>1</v>
      </c>
      <c r="AA55" s="63">
        <v>0</v>
      </c>
      <c r="AB55" s="63">
        <v>0</v>
      </c>
      <c r="AC55" s="63" t="s">
        <v>287</v>
      </c>
      <c r="AD55" s="23">
        <v>3.3</v>
      </c>
      <c r="AE55" s="63">
        <v>2.8</v>
      </c>
      <c r="AF55" s="63" t="s">
        <v>288</v>
      </c>
      <c r="AG55" s="63">
        <v>0</v>
      </c>
      <c r="AH55" s="63" t="s">
        <v>35</v>
      </c>
      <c r="AI55" s="63">
        <v>46</v>
      </c>
      <c r="AJ55" s="27">
        <v>40</v>
      </c>
      <c r="AK55" s="27">
        <v>60</v>
      </c>
      <c r="AL55" s="27">
        <v>62</v>
      </c>
      <c r="AM55" s="27">
        <v>50</v>
      </c>
      <c r="AN55" s="27">
        <v>68</v>
      </c>
      <c r="AO55" s="65">
        <v>21</v>
      </c>
      <c r="AP55" s="63">
        <v>0</v>
      </c>
      <c r="AQ55" s="63">
        <v>0</v>
      </c>
      <c r="AR55" s="63">
        <v>0</v>
      </c>
      <c r="AS55" s="63">
        <v>0</v>
      </c>
      <c r="AT55" s="63">
        <v>0</v>
      </c>
      <c r="AU55" s="63">
        <v>1</v>
      </c>
      <c r="AV55" s="63">
        <v>0</v>
      </c>
      <c r="AW55" s="63">
        <v>1</v>
      </c>
      <c r="AX55" s="63">
        <v>1</v>
      </c>
      <c r="AY55" s="34" t="s">
        <v>289</v>
      </c>
      <c r="AZ55" s="25" t="s">
        <v>290</v>
      </c>
      <c r="BA55" s="17" t="s">
        <v>291</v>
      </c>
      <c r="BB55" s="150" t="s">
        <v>292</v>
      </c>
      <c r="BC55" s="150" t="s">
        <v>293</v>
      </c>
      <c r="BD55" s="17">
        <v>4</v>
      </c>
      <c r="BE55" s="17">
        <v>9</v>
      </c>
      <c r="BF55" s="17">
        <v>0</v>
      </c>
      <c r="BG55" s="17">
        <v>0</v>
      </c>
      <c r="BH55" s="17">
        <v>1</v>
      </c>
      <c r="BI55" s="17">
        <v>0</v>
      </c>
      <c r="BJ55" s="17">
        <v>0.9</v>
      </c>
      <c r="BK55" s="17">
        <v>0.9</v>
      </c>
      <c r="BL55" s="150" t="s">
        <v>97</v>
      </c>
      <c r="BM55" s="17">
        <v>46</v>
      </c>
      <c r="BN55" s="17">
        <v>0.27</v>
      </c>
      <c r="BO55" s="17" t="s">
        <v>294</v>
      </c>
      <c r="BP55" s="17"/>
      <c r="BQ55" s="17"/>
      <c r="BR55" s="36"/>
      <c r="BS55" s="36"/>
      <c r="BT55" s="17"/>
      <c r="BU55" s="17"/>
      <c r="BV55" s="17"/>
      <c r="BW55" s="17"/>
      <c r="BX55" s="17"/>
      <c r="BY55" s="17"/>
      <c r="BZ55" s="17"/>
      <c r="CA55" s="17"/>
      <c r="CB55" s="17"/>
      <c r="CC55" s="17">
        <v>1</v>
      </c>
      <c r="CD55" s="22">
        <f>( 2*BN55)/(SQRT(1-(BN55^2)))</f>
        <v>0.56082900870368635</v>
      </c>
      <c r="CE55" s="17">
        <v>206</v>
      </c>
      <c r="CF55" s="22">
        <f t="shared" ref="CF55:CF118" si="7">CD55</f>
        <v>0.56082900870368635</v>
      </c>
      <c r="CG55" s="22">
        <f t="shared" si="1"/>
        <v>0.59116568179934836</v>
      </c>
      <c r="CH55" s="187">
        <f>((1-BN55)^2)/(O55-1)</f>
        <v>2.5995121951219507E-3</v>
      </c>
      <c r="CI55" s="37">
        <f>(4*CH55)/((1-(BN55^2))^3)</f>
        <v>1.3048846047654076E-2</v>
      </c>
      <c r="CJ55" s="37">
        <f>(4*CH55)/((1-(BN55^2))^3)</f>
        <v>1.3048846047654076E-2</v>
      </c>
    </row>
    <row r="56" spans="1:88" s="35" customFormat="1" x14ac:dyDescent="0.35">
      <c r="A56" s="29" t="s">
        <v>281</v>
      </c>
      <c r="B56" s="183" t="s">
        <v>282</v>
      </c>
      <c r="C56" s="29" t="s">
        <v>283</v>
      </c>
      <c r="D56" s="184" t="s">
        <v>284</v>
      </c>
      <c r="E56" s="184" t="s">
        <v>285</v>
      </c>
      <c r="F56" s="11" t="s">
        <v>1109</v>
      </c>
      <c r="G56" s="27">
        <v>0</v>
      </c>
      <c r="H56" s="27">
        <v>1</v>
      </c>
      <c r="I56" s="27">
        <v>1</v>
      </c>
      <c r="J56" s="11" t="s">
        <v>1106</v>
      </c>
      <c r="K56" s="82">
        <v>1</v>
      </c>
      <c r="L56" s="31" t="s">
        <v>286</v>
      </c>
      <c r="M56" s="31">
        <v>1</v>
      </c>
      <c r="N56" s="31">
        <v>44</v>
      </c>
      <c r="O56" s="27">
        <v>206</v>
      </c>
      <c r="P56" s="27" t="s">
        <v>31</v>
      </c>
      <c r="Q56" s="27">
        <v>2</v>
      </c>
      <c r="R56" s="27">
        <v>1</v>
      </c>
      <c r="S56" s="32">
        <v>0</v>
      </c>
      <c r="T56" s="27">
        <v>0</v>
      </c>
      <c r="U56" s="27">
        <v>0</v>
      </c>
      <c r="V56" s="27">
        <v>0</v>
      </c>
      <c r="W56" s="27">
        <v>1</v>
      </c>
      <c r="X56" s="27">
        <v>0</v>
      </c>
      <c r="Y56" s="27">
        <v>0</v>
      </c>
      <c r="Z56" s="27">
        <v>1</v>
      </c>
      <c r="AA56" s="27">
        <v>0</v>
      </c>
      <c r="AB56" s="27">
        <v>0</v>
      </c>
      <c r="AC56" s="27" t="s">
        <v>287</v>
      </c>
      <c r="AD56" s="11">
        <v>3.3</v>
      </c>
      <c r="AE56" s="27">
        <v>2.8</v>
      </c>
      <c r="AF56" s="27" t="s">
        <v>288</v>
      </c>
      <c r="AG56" s="27">
        <v>0</v>
      </c>
      <c r="AH56" s="27" t="s">
        <v>35</v>
      </c>
      <c r="AI56" s="27">
        <v>46</v>
      </c>
      <c r="AJ56" s="27">
        <v>40</v>
      </c>
      <c r="AK56" s="27">
        <v>60</v>
      </c>
      <c r="AL56" s="27">
        <v>62</v>
      </c>
      <c r="AM56" s="27">
        <v>50</v>
      </c>
      <c r="AN56" s="27">
        <v>68</v>
      </c>
      <c r="AO56" s="33">
        <v>21</v>
      </c>
      <c r="AP56" s="27">
        <v>0</v>
      </c>
      <c r="AQ56" s="27">
        <v>0</v>
      </c>
      <c r="AR56" s="27">
        <v>0</v>
      </c>
      <c r="AS56" s="27">
        <v>0</v>
      </c>
      <c r="AT56" s="27">
        <v>0</v>
      </c>
      <c r="AU56" s="27">
        <v>1</v>
      </c>
      <c r="AV56" s="27">
        <v>0</v>
      </c>
      <c r="AW56" s="27">
        <v>1</v>
      </c>
      <c r="AX56" s="27">
        <v>1</v>
      </c>
      <c r="AY56" s="34" t="s">
        <v>295</v>
      </c>
      <c r="AZ56" s="25" t="s">
        <v>290</v>
      </c>
      <c r="BA56" s="17" t="s">
        <v>291</v>
      </c>
      <c r="BB56" s="150" t="s">
        <v>123</v>
      </c>
      <c r="BC56" s="150" t="s">
        <v>296</v>
      </c>
      <c r="BD56" s="17">
        <v>4</v>
      </c>
      <c r="BE56" s="17">
        <v>9</v>
      </c>
      <c r="BF56" s="17">
        <v>1</v>
      </c>
      <c r="BG56" s="17">
        <v>1</v>
      </c>
      <c r="BH56" s="17">
        <v>0</v>
      </c>
      <c r="BI56" s="17">
        <v>0</v>
      </c>
      <c r="BJ56" s="17">
        <v>0.9</v>
      </c>
      <c r="BK56" s="17">
        <v>0.9</v>
      </c>
      <c r="BL56" s="150" t="s">
        <v>97</v>
      </c>
      <c r="BM56" s="17">
        <v>46</v>
      </c>
      <c r="BN56" s="17">
        <v>0.4</v>
      </c>
      <c r="BO56" s="17" t="s">
        <v>294</v>
      </c>
      <c r="BP56" s="17"/>
      <c r="BQ56" s="17"/>
      <c r="BR56" s="36"/>
      <c r="BS56" s="36"/>
      <c r="BT56" s="17"/>
      <c r="BU56" s="17"/>
      <c r="BV56" s="17"/>
      <c r="BW56" s="17"/>
      <c r="BX56" s="17"/>
      <c r="BY56" s="17"/>
      <c r="BZ56" s="17"/>
      <c r="CA56" s="17"/>
      <c r="CB56" s="17"/>
      <c r="CC56" s="17">
        <v>1</v>
      </c>
      <c r="CD56" s="22">
        <f>( 2*BN56)/(SQRT(1-(BN56^2)))</f>
        <v>0.87287156094396956</v>
      </c>
      <c r="CE56" s="17">
        <v>206</v>
      </c>
      <c r="CF56" s="22">
        <f t="shared" si="7"/>
        <v>0.87287156094396956</v>
      </c>
      <c r="CG56" s="22">
        <f t="shared" si="1"/>
        <v>0.92008741245647241</v>
      </c>
      <c r="CH56" s="187">
        <f>((1-BN56)^2)/(O56-1)</f>
        <v>1.7560975609756098E-3</v>
      </c>
      <c r="CI56" s="37">
        <f>(4*CH56)/((1-(BN56^2))^3)</f>
        <v>1.1851430467657449E-2</v>
      </c>
      <c r="CJ56" s="37">
        <f t="shared" ref="CJ56:CJ57" si="8">(4*CH56)/((1-(BN56^2))^3)</f>
        <v>1.1851430467657449E-2</v>
      </c>
    </row>
    <row r="57" spans="1:88" s="35" customFormat="1" x14ac:dyDescent="0.35">
      <c r="A57" s="38" t="s">
        <v>281</v>
      </c>
      <c r="B57" s="185" t="s">
        <v>282</v>
      </c>
      <c r="C57" s="38" t="s">
        <v>283</v>
      </c>
      <c r="D57" s="186" t="s">
        <v>284</v>
      </c>
      <c r="E57" s="186" t="s">
        <v>285</v>
      </c>
      <c r="F57" s="18" t="s">
        <v>1109</v>
      </c>
      <c r="G57" s="28">
        <v>0</v>
      </c>
      <c r="H57" s="28">
        <v>1</v>
      </c>
      <c r="I57" s="28">
        <v>1</v>
      </c>
      <c r="J57" s="18" t="s">
        <v>1106</v>
      </c>
      <c r="K57" s="83">
        <v>1</v>
      </c>
      <c r="L57" s="40" t="s">
        <v>286</v>
      </c>
      <c r="M57" s="40">
        <v>1</v>
      </c>
      <c r="N57" s="40">
        <v>44</v>
      </c>
      <c r="O57" s="28">
        <v>206</v>
      </c>
      <c r="P57" s="28" t="s">
        <v>31</v>
      </c>
      <c r="Q57" s="28">
        <v>2</v>
      </c>
      <c r="R57" s="28">
        <v>1</v>
      </c>
      <c r="S57" s="41">
        <v>0</v>
      </c>
      <c r="T57" s="28">
        <v>0</v>
      </c>
      <c r="U57" s="28">
        <v>0</v>
      </c>
      <c r="V57" s="28">
        <v>0</v>
      </c>
      <c r="W57" s="28">
        <v>1</v>
      </c>
      <c r="X57" s="28">
        <v>0</v>
      </c>
      <c r="Y57" s="28">
        <v>0</v>
      </c>
      <c r="Z57" s="28">
        <v>1</v>
      </c>
      <c r="AA57" s="28">
        <v>0</v>
      </c>
      <c r="AB57" s="28">
        <v>0</v>
      </c>
      <c r="AC57" s="28" t="s">
        <v>287</v>
      </c>
      <c r="AD57" s="18">
        <v>3.3</v>
      </c>
      <c r="AE57" s="28">
        <v>2.8</v>
      </c>
      <c r="AF57" s="28" t="s">
        <v>288</v>
      </c>
      <c r="AG57" s="28">
        <v>0</v>
      </c>
      <c r="AH57" s="28" t="s">
        <v>35</v>
      </c>
      <c r="AI57" s="28">
        <v>46</v>
      </c>
      <c r="AJ57" s="28">
        <v>40</v>
      </c>
      <c r="AK57" s="28">
        <v>60</v>
      </c>
      <c r="AL57" s="28">
        <v>62</v>
      </c>
      <c r="AM57" s="28">
        <v>50</v>
      </c>
      <c r="AN57" s="28">
        <v>68</v>
      </c>
      <c r="AO57" s="42">
        <v>21</v>
      </c>
      <c r="AP57" s="28">
        <v>0</v>
      </c>
      <c r="AQ57" s="28">
        <v>0</v>
      </c>
      <c r="AR57" s="28">
        <v>0</v>
      </c>
      <c r="AS57" s="28">
        <v>0</v>
      </c>
      <c r="AT57" s="28">
        <v>0</v>
      </c>
      <c r="AU57" s="28">
        <v>1</v>
      </c>
      <c r="AV57" s="28">
        <v>0</v>
      </c>
      <c r="AW57" s="28">
        <v>1</v>
      </c>
      <c r="AX57" s="28">
        <v>1</v>
      </c>
      <c r="AY57" s="34" t="s">
        <v>297</v>
      </c>
      <c r="AZ57" s="25" t="s">
        <v>290</v>
      </c>
      <c r="BA57" s="17" t="s">
        <v>291</v>
      </c>
      <c r="BB57" s="150" t="s">
        <v>298</v>
      </c>
      <c r="BC57" s="150" t="s">
        <v>299</v>
      </c>
      <c r="BD57" s="17">
        <v>4</v>
      </c>
      <c r="BE57" s="17">
        <v>9</v>
      </c>
      <c r="BF57" s="17">
        <v>0</v>
      </c>
      <c r="BG57" s="17">
        <v>0</v>
      </c>
      <c r="BH57" s="17">
        <v>1</v>
      </c>
      <c r="BI57" s="17">
        <v>0</v>
      </c>
      <c r="BJ57" s="17">
        <v>0.9</v>
      </c>
      <c r="BK57" s="17">
        <v>0.9</v>
      </c>
      <c r="BL57" s="150" t="s">
        <v>97</v>
      </c>
      <c r="BM57" s="17">
        <v>46</v>
      </c>
      <c r="BN57" s="17">
        <v>0.35</v>
      </c>
      <c r="BO57" s="17" t="s">
        <v>294</v>
      </c>
      <c r="BP57" s="17"/>
      <c r="BQ57" s="17"/>
      <c r="BR57" s="36"/>
      <c r="BS57" s="36"/>
      <c r="BT57" s="17"/>
      <c r="BU57" s="17"/>
      <c r="BV57" s="17"/>
      <c r="BW57" s="17"/>
      <c r="BX57" s="17"/>
      <c r="BY57" s="17"/>
      <c r="BZ57" s="17"/>
      <c r="CA57" s="17"/>
      <c r="CB57" s="17"/>
      <c r="CC57" s="17">
        <v>1</v>
      </c>
      <c r="CD57" s="22">
        <f>( 2*BN57)/(SQRT(1-(BN57^2)))</f>
        <v>0.74726471775707326</v>
      </c>
      <c r="CE57" s="17">
        <v>206</v>
      </c>
      <c r="CF57" s="22">
        <f t="shared" si="7"/>
        <v>0.74726471775707326</v>
      </c>
      <c r="CG57" s="22">
        <f t="shared" si="1"/>
        <v>0.78768617439840738</v>
      </c>
      <c r="CH57" s="187">
        <f>((1-BN57)^2)/(O57-1)</f>
        <v>2.0609756097560977E-3</v>
      </c>
      <c r="CI57" s="37">
        <f>(4*CH57)/((1-(BN57^2))^3)</f>
        <v>1.2200888777555777E-2</v>
      </c>
      <c r="CJ57" s="37">
        <f t="shared" si="8"/>
        <v>1.2200888777555777E-2</v>
      </c>
    </row>
    <row r="58" spans="1:88" s="35" customFormat="1" x14ac:dyDescent="0.35">
      <c r="A58" s="29" t="s">
        <v>300</v>
      </c>
      <c r="B58" s="183" t="s">
        <v>301</v>
      </c>
      <c r="C58" s="29" t="s">
        <v>52</v>
      </c>
      <c r="D58" s="184" t="s">
        <v>302</v>
      </c>
      <c r="E58" s="184" t="s">
        <v>303</v>
      </c>
      <c r="F58" s="11" t="s">
        <v>1109</v>
      </c>
      <c r="G58" s="27">
        <v>0</v>
      </c>
      <c r="H58" s="27">
        <v>1</v>
      </c>
      <c r="I58" s="27">
        <v>2</v>
      </c>
      <c r="J58" s="11" t="s">
        <v>1106</v>
      </c>
      <c r="K58" s="82">
        <v>1</v>
      </c>
      <c r="L58" s="31" t="s">
        <v>304</v>
      </c>
      <c r="M58" s="31">
        <v>1</v>
      </c>
      <c r="N58" s="31">
        <v>5</v>
      </c>
      <c r="O58" s="27">
        <v>160</v>
      </c>
      <c r="P58" s="27" t="s">
        <v>31</v>
      </c>
      <c r="Q58" s="27">
        <v>4</v>
      </c>
      <c r="R58" s="27">
        <v>1</v>
      </c>
      <c r="S58" s="32">
        <v>0</v>
      </c>
      <c r="T58" s="27">
        <v>1</v>
      </c>
      <c r="U58" s="27">
        <v>0</v>
      </c>
      <c r="V58" s="27">
        <v>0</v>
      </c>
      <c r="W58" s="27">
        <v>0</v>
      </c>
      <c r="X58" s="27">
        <v>0</v>
      </c>
      <c r="Y58" s="27">
        <v>1</v>
      </c>
      <c r="Z58" s="27">
        <v>0</v>
      </c>
      <c r="AA58" s="97">
        <v>1</v>
      </c>
      <c r="AB58" s="27">
        <v>0</v>
      </c>
      <c r="AC58" s="27" t="s">
        <v>305</v>
      </c>
      <c r="AD58" s="11">
        <v>4.3</v>
      </c>
      <c r="AE58" s="27">
        <v>2.9</v>
      </c>
      <c r="AF58" s="27" t="s">
        <v>306</v>
      </c>
      <c r="AG58" s="27">
        <v>0</v>
      </c>
      <c r="AH58" s="27" t="s">
        <v>307</v>
      </c>
      <c r="AI58" s="27">
        <v>47</v>
      </c>
      <c r="AJ58" s="27">
        <f t="shared" ref="AJ58:AJ87" si="9">(40 + 39) /2</f>
        <v>39.5</v>
      </c>
      <c r="AK58" s="27">
        <f t="shared" ref="AK58:AK87" si="10" xml:space="preserve"> (60 + 76)/2</f>
        <v>68</v>
      </c>
      <c r="AL58" s="27">
        <f t="shared" ref="AL58:AL87" si="11" xml:space="preserve"> (62 + 52)/2</f>
        <v>57</v>
      </c>
      <c r="AM58" s="27">
        <f t="shared" ref="AM58:AM87" si="12">(50 + 54)/2</f>
        <v>52</v>
      </c>
      <c r="AN58" s="27">
        <v>67</v>
      </c>
      <c r="AO58" s="33">
        <v>20.5</v>
      </c>
      <c r="AP58" s="27">
        <v>0</v>
      </c>
      <c r="AQ58" s="27">
        <v>1</v>
      </c>
      <c r="AR58" s="27">
        <v>0</v>
      </c>
      <c r="AS58" s="27">
        <v>1</v>
      </c>
      <c r="AT58" s="27">
        <v>0</v>
      </c>
      <c r="AU58" s="27">
        <v>0</v>
      </c>
      <c r="AV58" s="27">
        <v>0</v>
      </c>
      <c r="AW58" s="27">
        <v>1</v>
      </c>
      <c r="AX58" s="27">
        <v>1</v>
      </c>
      <c r="AY58" s="34" t="s">
        <v>308</v>
      </c>
      <c r="AZ58" s="25" t="s">
        <v>163</v>
      </c>
      <c r="BA58" s="17" t="s">
        <v>141</v>
      </c>
      <c r="BB58" s="150" t="s">
        <v>309</v>
      </c>
      <c r="BC58" s="150" t="s">
        <v>310</v>
      </c>
      <c r="BD58" s="17">
        <v>8</v>
      </c>
      <c r="BE58" s="17">
        <v>7</v>
      </c>
      <c r="BF58" s="17">
        <v>1</v>
      </c>
      <c r="BG58" s="17">
        <v>1</v>
      </c>
      <c r="BH58" s="17">
        <v>0</v>
      </c>
      <c r="BI58" s="17">
        <v>0</v>
      </c>
      <c r="BJ58" s="17"/>
      <c r="BK58" s="17">
        <v>0.8</v>
      </c>
      <c r="BL58" s="150"/>
      <c r="BM58" s="17">
        <v>8</v>
      </c>
      <c r="BN58" s="17"/>
      <c r="BO58" s="17"/>
      <c r="BP58" s="17"/>
      <c r="BQ58" s="17"/>
      <c r="BR58" s="36"/>
      <c r="BS58" s="36"/>
      <c r="BT58" s="17"/>
      <c r="BU58" s="17">
        <v>5.92</v>
      </c>
      <c r="BV58" s="17">
        <v>0.8</v>
      </c>
      <c r="BW58" s="17"/>
      <c r="BX58" s="17">
        <v>41</v>
      </c>
      <c r="BY58" s="17">
        <v>6.36</v>
      </c>
      <c r="BZ58" s="17">
        <v>0.66</v>
      </c>
      <c r="CA58" s="17"/>
      <c r="CB58" s="17">
        <v>40</v>
      </c>
      <c r="CC58" s="17">
        <v>1</v>
      </c>
      <c r="CD58" s="37">
        <f t="shared" ref="CD58:CD91" si="13">(BY58-BU58)/SQRT((((CB58-1)*BZ58^2)+((BX58-1)*BV58^2))/((CB58+BX58)-2))</f>
        <v>0.59926727181361983</v>
      </c>
      <c r="CE58" s="17">
        <v>81</v>
      </c>
      <c r="CF58" s="22">
        <f t="shared" si="7"/>
        <v>0.59926727181361983</v>
      </c>
      <c r="CG58" s="22">
        <f t="shared" si="1"/>
        <v>0.67000117823304883</v>
      </c>
      <c r="CH58" s="150"/>
      <c r="CI58" s="37">
        <f t="shared" ref="CI58:CI89" si="14">((BX58+CB58)/(BX58*CB58))+((CF58^2)/(2*(BX58+CB58)))</f>
        <v>5.1607041822605317E-2</v>
      </c>
      <c r="CJ58" s="37">
        <f t="shared" si="3"/>
        <v>5.2231393135563541E-2</v>
      </c>
    </row>
    <row r="59" spans="1:88" s="35" customFormat="1" x14ac:dyDescent="0.35">
      <c r="A59" s="29" t="s">
        <v>300</v>
      </c>
      <c r="B59" s="183" t="s">
        <v>301</v>
      </c>
      <c r="C59" s="29" t="s">
        <v>52</v>
      </c>
      <c r="D59" s="184" t="s">
        <v>302</v>
      </c>
      <c r="E59" s="184" t="s">
        <v>303</v>
      </c>
      <c r="F59" s="12" t="s">
        <v>1109</v>
      </c>
      <c r="G59" s="27">
        <v>0</v>
      </c>
      <c r="H59" s="27">
        <v>1</v>
      </c>
      <c r="I59" s="27">
        <v>2</v>
      </c>
      <c r="J59" s="11" t="s">
        <v>1106</v>
      </c>
      <c r="K59" s="82">
        <v>1</v>
      </c>
      <c r="L59" s="31" t="s">
        <v>304</v>
      </c>
      <c r="M59" s="31">
        <v>1</v>
      </c>
      <c r="N59" s="31">
        <v>5</v>
      </c>
      <c r="O59" s="27">
        <v>160</v>
      </c>
      <c r="P59" s="27" t="s">
        <v>31</v>
      </c>
      <c r="Q59" s="27">
        <v>4</v>
      </c>
      <c r="R59" s="27">
        <v>1</v>
      </c>
      <c r="S59" s="32">
        <v>0</v>
      </c>
      <c r="T59" s="27">
        <v>1</v>
      </c>
      <c r="U59" s="27">
        <v>0</v>
      </c>
      <c r="V59" s="27">
        <v>0</v>
      </c>
      <c r="W59" s="27">
        <v>0</v>
      </c>
      <c r="X59" s="27">
        <v>0</v>
      </c>
      <c r="Y59" s="27">
        <v>1</v>
      </c>
      <c r="Z59" s="27">
        <v>0</v>
      </c>
      <c r="AA59" s="97">
        <v>1</v>
      </c>
      <c r="AB59" s="27">
        <v>0</v>
      </c>
      <c r="AC59" s="27" t="s">
        <v>305</v>
      </c>
      <c r="AD59" s="11">
        <v>4.3</v>
      </c>
      <c r="AE59" s="27">
        <v>2.9</v>
      </c>
      <c r="AF59" s="27" t="s">
        <v>306</v>
      </c>
      <c r="AG59" s="27">
        <v>0</v>
      </c>
      <c r="AH59" s="27" t="s">
        <v>307</v>
      </c>
      <c r="AI59" s="27">
        <v>47</v>
      </c>
      <c r="AJ59" s="27">
        <f t="shared" si="9"/>
        <v>39.5</v>
      </c>
      <c r="AK59" s="27">
        <f t="shared" si="10"/>
        <v>68</v>
      </c>
      <c r="AL59" s="27">
        <f t="shared" si="11"/>
        <v>57</v>
      </c>
      <c r="AM59" s="27">
        <f t="shared" si="12"/>
        <v>52</v>
      </c>
      <c r="AN59" s="27">
        <v>68</v>
      </c>
      <c r="AO59" s="33">
        <v>20.5</v>
      </c>
      <c r="AP59" s="27">
        <v>0</v>
      </c>
      <c r="AQ59" s="27">
        <v>1</v>
      </c>
      <c r="AR59" s="27">
        <v>0</v>
      </c>
      <c r="AS59" s="27">
        <v>1</v>
      </c>
      <c r="AT59" s="27">
        <v>0</v>
      </c>
      <c r="AU59" s="27">
        <v>0</v>
      </c>
      <c r="AV59" s="27">
        <v>0</v>
      </c>
      <c r="AW59" s="27">
        <v>1</v>
      </c>
      <c r="AX59" s="27">
        <v>1</v>
      </c>
      <c r="AY59" s="34" t="s">
        <v>311</v>
      </c>
      <c r="AZ59" s="25" t="s">
        <v>163</v>
      </c>
      <c r="BA59" s="17" t="s">
        <v>141</v>
      </c>
      <c r="BB59" s="150" t="s">
        <v>312</v>
      </c>
      <c r="BC59" s="150" t="s">
        <v>313</v>
      </c>
      <c r="BD59" s="17">
        <v>1</v>
      </c>
      <c r="BE59" s="17">
        <v>7</v>
      </c>
      <c r="BF59" s="17">
        <v>0</v>
      </c>
      <c r="BG59" s="17">
        <v>0</v>
      </c>
      <c r="BH59" s="17">
        <v>1</v>
      </c>
      <c r="BI59" s="17">
        <v>0</v>
      </c>
      <c r="BJ59" s="17"/>
      <c r="BK59" s="17">
        <v>0.8</v>
      </c>
      <c r="BL59" s="150"/>
      <c r="BM59" s="17">
        <v>8</v>
      </c>
      <c r="BN59" s="17"/>
      <c r="BO59" s="17"/>
      <c r="BP59" s="17"/>
      <c r="BQ59" s="17"/>
      <c r="BR59" s="36"/>
      <c r="BS59" s="36"/>
      <c r="BT59" s="17"/>
      <c r="BU59" s="17">
        <v>4.49</v>
      </c>
      <c r="BV59" s="17">
        <v>1.63</v>
      </c>
      <c r="BW59" s="17"/>
      <c r="BX59" s="17">
        <v>41</v>
      </c>
      <c r="BY59" s="17">
        <v>6.15</v>
      </c>
      <c r="BZ59" s="17">
        <v>1.1399999999999999</v>
      </c>
      <c r="CA59" s="17"/>
      <c r="CB59" s="17">
        <v>40</v>
      </c>
      <c r="CC59" s="17">
        <v>1</v>
      </c>
      <c r="CD59" s="37">
        <f t="shared" si="13"/>
        <v>1.1776780627385433</v>
      </c>
      <c r="CE59" s="17">
        <v>81</v>
      </c>
      <c r="CF59" s="22">
        <f t="shared" si="7"/>
        <v>1.1776780627385433</v>
      </c>
      <c r="CG59" s="22">
        <f t="shared" si="1"/>
        <v>1.3166841019468225</v>
      </c>
      <c r="CH59" s="150"/>
      <c r="CI59" s="37">
        <f t="shared" si="14"/>
        <v>5.7951513158337839E-2</v>
      </c>
      <c r="CJ59" s="37">
        <f t="shared" si="3"/>
        <v>6.0362756714587823E-2</v>
      </c>
    </row>
    <row r="60" spans="1:88" s="35" customFormat="1" x14ac:dyDescent="0.35">
      <c r="A60" s="29" t="s">
        <v>300</v>
      </c>
      <c r="B60" s="183" t="s">
        <v>301</v>
      </c>
      <c r="C60" s="29" t="s">
        <v>52</v>
      </c>
      <c r="D60" s="184" t="s">
        <v>302</v>
      </c>
      <c r="E60" s="184" t="s">
        <v>303</v>
      </c>
      <c r="F60" s="11" t="s">
        <v>1109</v>
      </c>
      <c r="G60" s="27">
        <v>0</v>
      </c>
      <c r="H60" s="27">
        <v>1</v>
      </c>
      <c r="I60" s="27">
        <v>2</v>
      </c>
      <c r="J60" s="11" t="s">
        <v>1106</v>
      </c>
      <c r="K60" s="82">
        <v>1</v>
      </c>
      <c r="L60" s="31" t="s">
        <v>304</v>
      </c>
      <c r="M60" s="31">
        <v>1</v>
      </c>
      <c r="N60" s="31">
        <v>5</v>
      </c>
      <c r="O60" s="27">
        <v>160</v>
      </c>
      <c r="P60" s="27" t="s">
        <v>31</v>
      </c>
      <c r="Q60" s="27">
        <v>4</v>
      </c>
      <c r="R60" s="27">
        <v>1</v>
      </c>
      <c r="S60" s="32">
        <v>0</v>
      </c>
      <c r="T60" s="27">
        <v>1</v>
      </c>
      <c r="U60" s="27">
        <v>0</v>
      </c>
      <c r="V60" s="27">
        <v>0</v>
      </c>
      <c r="W60" s="27">
        <v>0</v>
      </c>
      <c r="X60" s="27">
        <v>0</v>
      </c>
      <c r="Y60" s="27">
        <v>1</v>
      </c>
      <c r="Z60" s="27">
        <v>0</v>
      </c>
      <c r="AA60" s="97">
        <v>1</v>
      </c>
      <c r="AB60" s="27">
        <v>0</v>
      </c>
      <c r="AC60" s="27" t="s">
        <v>305</v>
      </c>
      <c r="AD60" s="11">
        <v>4.3</v>
      </c>
      <c r="AE60" s="27">
        <v>2.9</v>
      </c>
      <c r="AF60" s="27" t="s">
        <v>306</v>
      </c>
      <c r="AG60" s="27">
        <v>0</v>
      </c>
      <c r="AH60" s="27" t="s">
        <v>307</v>
      </c>
      <c r="AI60" s="27">
        <v>47</v>
      </c>
      <c r="AJ60" s="27">
        <f t="shared" si="9"/>
        <v>39.5</v>
      </c>
      <c r="AK60" s="27">
        <f t="shared" si="10"/>
        <v>68</v>
      </c>
      <c r="AL60" s="27">
        <f t="shared" si="11"/>
        <v>57</v>
      </c>
      <c r="AM60" s="27">
        <f t="shared" si="12"/>
        <v>52</v>
      </c>
      <c r="AN60" s="27">
        <v>69</v>
      </c>
      <c r="AO60" s="33">
        <v>20.5</v>
      </c>
      <c r="AP60" s="27">
        <v>0</v>
      </c>
      <c r="AQ60" s="27">
        <v>1</v>
      </c>
      <c r="AR60" s="27">
        <v>0</v>
      </c>
      <c r="AS60" s="27">
        <v>1</v>
      </c>
      <c r="AT60" s="27">
        <v>0</v>
      </c>
      <c r="AU60" s="27">
        <v>0</v>
      </c>
      <c r="AV60" s="27">
        <v>0</v>
      </c>
      <c r="AW60" s="27">
        <v>1</v>
      </c>
      <c r="AX60" s="27">
        <v>1</v>
      </c>
      <c r="AY60" s="34" t="s">
        <v>314</v>
      </c>
      <c r="AZ60" s="25" t="s">
        <v>163</v>
      </c>
      <c r="BA60" s="17" t="s">
        <v>141</v>
      </c>
      <c r="BB60" s="150" t="s">
        <v>315</v>
      </c>
      <c r="BC60" s="150" t="s">
        <v>316</v>
      </c>
      <c r="BD60" s="17">
        <v>1</v>
      </c>
      <c r="BE60" s="17">
        <v>7</v>
      </c>
      <c r="BF60" s="17">
        <v>0</v>
      </c>
      <c r="BG60" s="17">
        <v>0</v>
      </c>
      <c r="BH60" s="17">
        <v>1</v>
      </c>
      <c r="BI60" s="17">
        <v>0</v>
      </c>
      <c r="BJ60" s="17"/>
      <c r="BK60" s="17">
        <v>0.8</v>
      </c>
      <c r="BL60" s="150"/>
      <c r="BM60" s="17">
        <v>8</v>
      </c>
      <c r="BN60" s="17"/>
      <c r="BO60" s="17"/>
      <c r="BP60" s="17"/>
      <c r="BQ60" s="17"/>
      <c r="BR60" s="36"/>
      <c r="BS60" s="36"/>
      <c r="BT60" s="17"/>
      <c r="BU60" s="17">
        <v>5.34</v>
      </c>
      <c r="BV60" s="17">
        <v>1.41</v>
      </c>
      <c r="BW60" s="17"/>
      <c r="BX60" s="17">
        <v>41</v>
      </c>
      <c r="BY60" s="17">
        <v>5.6</v>
      </c>
      <c r="BZ60" s="17">
        <v>1.37</v>
      </c>
      <c r="CA60" s="17"/>
      <c r="CB60" s="17">
        <v>40</v>
      </c>
      <c r="CC60" s="17">
        <v>0</v>
      </c>
      <c r="CD60" s="37">
        <f t="shared" si="13"/>
        <v>0.18699695220456844</v>
      </c>
      <c r="CE60" s="17">
        <v>81</v>
      </c>
      <c r="CF60" s="22">
        <f t="shared" si="7"/>
        <v>0.18699695220456844</v>
      </c>
      <c r="CG60" s="22">
        <f t="shared" si="1"/>
        <v>0.2090689483573471</v>
      </c>
      <c r="CH60" s="150"/>
      <c r="CI60" s="37">
        <f t="shared" si="14"/>
        <v>4.9606094890919258E-2</v>
      </c>
      <c r="CJ60" s="37">
        <f t="shared" si="3"/>
        <v>4.9666888365522868E-2</v>
      </c>
    </row>
    <row r="61" spans="1:88" s="35" customFormat="1" x14ac:dyDescent="0.35">
      <c r="A61" s="29" t="s">
        <v>300</v>
      </c>
      <c r="B61" s="183" t="s">
        <v>301</v>
      </c>
      <c r="C61" s="29" t="s">
        <v>52</v>
      </c>
      <c r="D61" s="184" t="s">
        <v>302</v>
      </c>
      <c r="E61" s="184" t="s">
        <v>303</v>
      </c>
      <c r="F61" s="11" t="s">
        <v>1109</v>
      </c>
      <c r="G61" s="27">
        <v>0</v>
      </c>
      <c r="H61" s="27">
        <v>1</v>
      </c>
      <c r="I61" s="27">
        <v>2</v>
      </c>
      <c r="J61" s="11" t="s">
        <v>1106</v>
      </c>
      <c r="K61" s="82">
        <v>1</v>
      </c>
      <c r="L61" s="31" t="s">
        <v>304</v>
      </c>
      <c r="M61" s="31">
        <v>1</v>
      </c>
      <c r="N61" s="31">
        <v>5</v>
      </c>
      <c r="O61" s="27">
        <v>160</v>
      </c>
      <c r="P61" s="27" t="s">
        <v>31</v>
      </c>
      <c r="Q61" s="27">
        <v>4</v>
      </c>
      <c r="R61" s="27">
        <v>1</v>
      </c>
      <c r="S61" s="32">
        <v>0</v>
      </c>
      <c r="T61" s="27">
        <v>1</v>
      </c>
      <c r="U61" s="27">
        <v>0</v>
      </c>
      <c r="V61" s="27">
        <v>0</v>
      </c>
      <c r="W61" s="27">
        <v>0</v>
      </c>
      <c r="X61" s="27">
        <v>0</v>
      </c>
      <c r="Y61" s="27">
        <v>1</v>
      </c>
      <c r="Z61" s="27">
        <v>0</v>
      </c>
      <c r="AA61" s="97">
        <v>1</v>
      </c>
      <c r="AB61" s="27">
        <v>0</v>
      </c>
      <c r="AC61" s="27" t="s">
        <v>305</v>
      </c>
      <c r="AD61" s="11">
        <v>4.3</v>
      </c>
      <c r="AE61" s="27">
        <v>2.9</v>
      </c>
      <c r="AF61" s="27" t="s">
        <v>306</v>
      </c>
      <c r="AG61" s="27">
        <v>0</v>
      </c>
      <c r="AH61" s="27" t="s">
        <v>307</v>
      </c>
      <c r="AI61" s="27">
        <v>47</v>
      </c>
      <c r="AJ61" s="27">
        <f t="shared" si="9"/>
        <v>39.5</v>
      </c>
      <c r="AK61" s="27">
        <f t="shared" si="10"/>
        <v>68</v>
      </c>
      <c r="AL61" s="27">
        <f t="shared" si="11"/>
        <v>57</v>
      </c>
      <c r="AM61" s="27">
        <f t="shared" si="12"/>
        <v>52</v>
      </c>
      <c r="AN61" s="27">
        <v>70</v>
      </c>
      <c r="AO61" s="33">
        <v>20.5</v>
      </c>
      <c r="AP61" s="27">
        <v>0</v>
      </c>
      <c r="AQ61" s="27">
        <v>1</v>
      </c>
      <c r="AR61" s="27">
        <v>0</v>
      </c>
      <c r="AS61" s="27">
        <v>1</v>
      </c>
      <c r="AT61" s="27">
        <v>0</v>
      </c>
      <c r="AU61" s="27">
        <v>0</v>
      </c>
      <c r="AV61" s="27">
        <v>0</v>
      </c>
      <c r="AW61" s="27">
        <v>1</v>
      </c>
      <c r="AX61" s="27">
        <v>1</v>
      </c>
      <c r="AY61" s="34" t="s">
        <v>317</v>
      </c>
      <c r="AZ61" s="25" t="s">
        <v>163</v>
      </c>
      <c r="BA61" s="17" t="s">
        <v>141</v>
      </c>
      <c r="BB61" s="150" t="s">
        <v>318</v>
      </c>
      <c r="BC61" s="150" t="s">
        <v>319</v>
      </c>
      <c r="BD61" s="17">
        <v>1</v>
      </c>
      <c r="BE61" s="17">
        <v>7</v>
      </c>
      <c r="BF61" s="17">
        <v>0</v>
      </c>
      <c r="BG61" s="17">
        <v>0</v>
      </c>
      <c r="BH61" s="17">
        <v>1</v>
      </c>
      <c r="BI61" s="17">
        <v>0</v>
      </c>
      <c r="BJ61" s="17"/>
      <c r="BK61" s="17">
        <v>0.8</v>
      </c>
      <c r="BL61" s="150"/>
      <c r="BM61" s="17">
        <v>8</v>
      </c>
      <c r="BN61" s="17"/>
      <c r="BO61" s="17"/>
      <c r="BP61" s="17"/>
      <c r="BQ61" s="17"/>
      <c r="BR61" s="36"/>
      <c r="BS61" s="36"/>
      <c r="BT61" s="17"/>
      <c r="BU61" s="17">
        <v>4.5599999999999996</v>
      </c>
      <c r="BV61" s="17">
        <v>1.58</v>
      </c>
      <c r="BW61" s="17"/>
      <c r="BX61" s="17">
        <v>41</v>
      </c>
      <c r="BY61" s="17">
        <v>5.5</v>
      </c>
      <c r="BZ61" s="17">
        <v>1.36</v>
      </c>
      <c r="CA61" s="17"/>
      <c r="CB61" s="17">
        <v>40</v>
      </c>
      <c r="CC61" s="17">
        <v>1</v>
      </c>
      <c r="CD61" s="37">
        <f t="shared" si="13"/>
        <v>0.63707314152849503</v>
      </c>
      <c r="CE61" s="17">
        <v>81</v>
      </c>
      <c r="CF61" s="22">
        <f t="shared" si="7"/>
        <v>0.63707314152849503</v>
      </c>
      <c r="CG61" s="22">
        <f t="shared" si="1"/>
        <v>0.71226942554852957</v>
      </c>
      <c r="CH61" s="150"/>
      <c r="CI61" s="37">
        <f t="shared" si="14"/>
        <v>5.1895566048469802E-2</v>
      </c>
      <c r="CJ61" s="37">
        <f t="shared" si="3"/>
        <v>5.2521896584977495E-2</v>
      </c>
    </row>
    <row r="62" spans="1:88" s="35" customFormat="1" x14ac:dyDescent="0.35">
      <c r="A62" s="29" t="s">
        <v>300</v>
      </c>
      <c r="B62" s="183" t="s">
        <v>301</v>
      </c>
      <c r="C62" s="29" t="s">
        <v>52</v>
      </c>
      <c r="D62" s="184" t="s">
        <v>302</v>
      </c>
      <c r="E62" s="184" t="s">
        <v>303</v>
      </c>
      <c r="F62" s="11" t="s">
        <v>1109</v>
      </c>
      <c r="G62" s="27">
        <v>0</v>
      </c>
      <c r="H62" s="27">
        <v>1</v>
      </c>
      <c r="I62" s="27">
        <v>2</v>
      </c>
      <c r="J62" s="11" t="s">
        <v>1106</v>
      </c>
      <c r="K62" s="82">
        <v>1</v>
      </c>
      <c r="L62" s="31" t="s">
        <v>304</v>
      </c>
      <c r="M62" s="31">
        <v>1</v>
      </c>
      <c r="N62" s="31">
        <v>5</v>
      </c>
      <c r="O62" s="27">
        <v>160</v>
      </c>
      <c r="P62" s="27" t="s">
        <v>31</v>
      </c>
      <c r="Q62" s="27">
        <v>4</v>
      </c>
      <c r="R62" s="27">
        <v>1</v>
      </c>
      <c r="S62" s="32">
        <v>0</v>
      </c>
      <c r="T62" s="27">
        <v>1</v>
      </c>
      <c r="U62" s="27">
        <v>0</v>
      </c>
      <c r="V62" s="27">
        <v>0</v>
      </c>
      <c r="W62" s="27">
        <v>0</v>
      </c>
      <c r="X62" s="27">
        <v>0</v>
      </c>
      <c r="Y62" s="27">
        <v>1</v>
      </c>
      <c r="Z62" s="27">
        <v>0</v>
      </c>
      <c r="AA62" s="97">
        <v>1</v>
      </c>
      <c r="AB62" s="27">
        <v>0</v>
      </c>
      <c r="AC62" s="27" t="s">
        <v>305</v>
      </c>
      <c r="AD62" s="11">
        <v>4.3</v>
      </c>
      <c r="AE62" s="27">
        <v>2.9</v>
      </c>
      <c r="AF62" s="27" t="s">
        <v>306</v>
      </c>
      <c r="AG62" s="27">
        <v>0</v>
      </c>
      <c r="AH62" s="27" t="s">
        <v>307</v>
      </c>
      <c r="AI62" s="27">
        <v>47</v>
      </c>
      <c r="AJ62" s="27">
        <f t="shared" si="9"/>
        <v>39.5</v>
      </c>
      <c r="AK62" s="27">
        <f t="shared" si="10"/>
        <v>68</v>
      </c>
      <c r="AL62" s="27">
        <f t="shared" si="11"/>
        <v>57</v>
      </c>
      <c r="AM62" s="27">
        <f t="shared" si="12"/>
        <v>52</v>
      </c>
      <c r="AN62" s="27">
        <v>71</v>
      </c>
      <c r="AO62" s="33">
        <v>20.5</v>
      </c>
      <c r="AP62" s="27">
        <v>0</v>
      </c>
      <c r="AQ62" s="27">
        <v>1</v>
      </c>
      <c r="AR62" s="27">
        <v>0</v>
      </c>
      <c r="AS62" s="27">
        <v>1</v>
      </c>
      <c r="AT62" s="27">
        <v>0</v>
      </c>
      <c r="AU62" s="27">
        <v>0</v>
      </c>
      <c r="AV62" s="27">
        <v>0</v>
      </c>
      <c r="AW62" s="27">
        <v>1</v>
      </c>
      <c r="AX62" s="27">
        <v>1</v>
      </c>
      <c r="AY62" s="34" t="s">
        <v>320</v>
      </c>
      <c r="AZ62" s="25" t="s">
        <v>163</v>
      </c>
      <c r="BA62" s="17" t="s">
        <v>141</v>
      </c>
      <c r="BB62" s="150" t="s">
        <v>321</v>
      </c>
      <c r="BC62" s="150" t="s">
        <v>322</v>
      </c>
      <c r="BD62" s="17">
        <v>1</v>
      </c>
      <c r="BE62" s="17">
        <v>7</v>
      </c>
      <c r="BF62" s="17">
        <v>0</v>
      </c>
      <c r="BG62" s="17">
        <v>0</v>
      </c>
      <c r="BH62" s="17">
        <v>1</v>
      </c>
      <c r="BI62" s="17">
        <v>0</v>
      </c>
      <c r="BJ62" s="17"/>
      <c r="BK62" s="17">
        <v>0.8</v>
      </c>
      <c r="BL62" s="150"/>
      <c r="BM62" s="17">
        <v>8</v>
      </c>
      <c r="BN62" s="17"/>
      <c r="BO62" s="17"/>
      <c r="BP62" s="17"/>
      <c r="BQ62" s="17"/>
      <c r="BR62" s="36"/>
      <c r="BS62" s="36"/>
      <c r="BT62" s="17"/>
      <c r="BU62" s="17">
        <v>4.5599999999999996</v>
      </c>
      <c r="BV62" s="17">
        <v>1.8</v>
      </c>
      <c r="BW62" s="17"/>
      <c r="BX62" s="17">
        <v>41</v>
      </c>
      <c r="BY62" s="17">
        <v>4.7300000000000004</v>
      </c>
      <c r="BZ62" s="17">
        <v>1.83</v>
      </c>
      <c r="CA62" s="17"/>
      <c r="CB62" s="17">
        <v>40</v>
      </c>
      <c r="CC62" s="17">
        <v>0</v>
      </c>
      <c r="CD62" s="37">
        <f t="shared" si="13"/>
        <v>9.3670512363038069E-2</v>
      </c>
      <c r="CE62" s="17">
        <v>81</v>
      </c>
      <c r="CF62" s="22">
        <f t="shared" si="7"/>
        <v>9.3670512363038069E-2</v>
      </c>
      <c r="CG62" s="22">
        <f t="shared" si="1"/>
        <v>0.10472681656549379</v>
      </c>
      <c r="CH62" s="150"/>
      <c r="CI62" s="37">
        <f t="shared" si="14"/>
        <v>4.9444405414083188E-2</v>
      </c>
      <c r="CJ62" s="37">
        <f t="shared" si="3"/>
        <v>4.945794579199423E-2</v>
      </c>
    </row>
    <row r="63" spans="1:88" s="35" customFormat="1" x14ac:dyDescent="0.35">
      <c r="A63" s="29" t="s">
        <v>300</v>
      </c>
      <c r="B63" s="183" t="s">
        <v>301</v>
      </c>
      <c r="C63" s="29" t="s">
        <v>52</v>
      </c>
      <c r="D63" s="184" t="s">
        <v>302</v>
      </c>
      <c r="E63" s="184" t="s">
        <v>303</v>
      </c>
      <c r="F63" s="11" t="s">
        <v>1109</v>
      </c>
      <c r="G63" s="27">
        <v>0</v>
      </c>
      <c r="H63" s="27">
        <v>1</v>
      </c>
      <c r="I63" s="27">
        <v>2</v>
      </c>
      <c r="J63" s="11" t="s">
        <v>1106</v>
      </c>
      <c r="K63" s="82">
        <v>1</v>
      </c>
      <c r="L63" s="31" t="s">
        <v>304</v>
      </c>
      <c r="M63" s="31">
        <v>1</v>
      </c>
      <c r="N63" s="31">
        <v>5</v>
      </c>
      <c r="O63" s="27">
        <v>160</v>
      </c>
      <c r="P63" s="27" t="s">
        <v>31</v>
      </c>
      <c r="Q63" s="27">
        <v>4</v>
      </c>
      <c r="R63" s="27">
        <v>2</v>
      </c>
      <c r="S63" s="32">
        <v>0</v>
      </c>
      <c r="T63" s="27">
        <v>1</v>
      </c>
      <c r="U63" s="27">
        <v>0</v>
      </c>
      <c r="V63" s="27">
        <v>0</v>
      </c>
      <c r="W63" s="27">
        <v>0</v>
      </c>
      <c r="X63" s="27">
        <v>0</v>
      </c>
      <c r="Y63" s="27">
        <v>1</v>
      </c>
      <c r="Z63" s="27">
        <v>0</v>
      </c>
      <c r="AA63" s="97">
        <v>1</v>
      </c>
      <c r="AB63" s="27">
        <v>0</v>
      </c>
      <c r="AC63" s="27" t="s">
        <v>305</v>
      </c>
      <c r="AD63" s="11">
        <v>4.3</v>
      </c>
      <c r="AE63" s="27">
        <v>2.9</v>
      </c>
      <c r="AF63" s="27" t="s">
        <v>306</v>
      </c>
      <c r="AG63" s="27">
        <v>0</v>
      </c>
      <c r="AH63" s="27" t="s">
        <v>307</v>
      </c>
      <c r="AI63" s="27">
        <v>47</v>
      </c>
      <c r="AJ63" s="27">
        <f t="shared" si="9"/>
        <v>39.5</v>
      </c>
      <c r="AK63" s="27">
        <f t="shared" si="10"/>
        <v>68</v>
      </c>
      <c r="AL63" s="27">
        <f t="shared" si="11"/>
        <v>57</v>
      </c>
      <c r="AM63" s="27">
        <f t="shared" si="12"/>
        <v>52</v>
      </c>
      <c r="AN63" s="27">
        <v>72</v>
      </c>
      <c r="AO63" s="33">
        <v>20.5</v>
      </c>
      <c r="AP63" s="27">
        <v>0</v>
      </c>
      <c r="AQ63" s="27">
        <v>0</v>
      </c>
      <c r="AR63" s="27">
        <v>0</v>
      </c>
      <c r="AS63" s="27">
        <v>0</v>
      </c>
      <c r="AT63" s="27">
        <v>0</v>
      </c>
      <c r="AU63" s="27">
        <v>1</v>
      </c>
      <c r="AV63" s="27">
        <v>0</v>
      </c>
      <c r="AW63" s="27">
        <v>1</v>
      </c>
      <c r="AX63" s="27">
        <v>0</v>
      </c>
      <c r="AY63" s="34" t="s">
        <v>323</v>
      </c>
      <c r="AZ63" s="25" t="s">
        <v>163</v>
      </c>
      <c r="BA63" s="17" t="s">
        <v>61</v>
      </c>
      <c r="BB63" s="150" t="s">
        <v>309</v>
      </c>
      <c r="BC63" s="150" t="s">
        <v>310</v>
      </c>
      <c r="BD63" s="17">
        <v>8</v>
      </c>
      <c r="BE63" s="17">
        <v>7</v>
      </c>
      <c r="BF63" s="17">
        <v>1</v>
      </c>
      <c r="BG63" s="17">
        <v>1</v>
      </c>
      <c r="BH63" s="17">
        <v>0</v>
      </c>
      <c r="BI63" s="17">
        <v>0</v>
      </c>
      <c r="BJ63" s="17"/>
      <c r="BK63" s="17">
        <v>0.8</v>
      </c>
      <c r="BL63" s="150"/>
      <c r="BM63" s="17">
        <v>8</v>
      </c>
      <c r="BN63" s="17"/>
      <c r="BO63" s="17"/>
      <c r="BP63" s="17"/>
      <c r="BQ63" s="17"/>
      <c r="BR63" s="36"/>
      <c r="BS63" s="36"/>
      <c r="BT63" s="17"/>
      <c r="BU63" s="17">
        <v>5.85</v>
      </c>
      <c r="BV63" s="17">
        <v>1.1000000000000001</v>
      </c>
      <c r="BW63" s="17"/>
      <c r="BX63" s="17">
        <v>40</v>
      </c>
      <c r="BY63" s="17">
        <v>6.36</v>
      </c>
      <c r="BZ63" s="17">
        <v>0.66</v>
      </c>
      <c r="CA63" s="17"/>
      <c r="CB63" s="17">
        <v>40</v>
      </c>
      <c r="CC63" s="17">
        <v>1</v>
      </c>
      <c r="CD63" s="37">
        <f t="shared" si="13"/>
        <v>0.56224167622059074</v>
      </c>
      <c r="CE63" s="17">
        <v>80</v>
      </c>
      <c r="CF63" s="22">
        <f t="shared" si="7"/>
        <v>0.56224167622059074</v>
      </c>
      <c r="CG63" s="22">
        <f t="shared" si="1"/>
        <v>0.62860530390633396</v>
      </c>
      <c r="CH63" s="150"/>
      <c r="CI63" s="37">
        <f t="shared" si="14"/>
        <v>5.1975723140495873E-2</v>
      </c>
      <c r="CJ63" s="37">
        <f t="shared" si="3"/>
        <v>5.2439164370982561E-2</v>
      </c>
    </row>
    <row r="64" spans="1:88" s="35" customFormat="1" x14ac:dyDescent="0.35">
      <c r="A64" s="29" t="s">
        <v>300</v>
      </c>
      <c r="B64" s="183" t="s">
        <v>301</v>
      </c>
      <c r="C64" s="29" t="s">
        <v>52</v>
      </c>
      <c r="D64" s="184" t="s">
        <v>302</v>
      </c>
      <c r="E64" s="184" t="s">
        <v>303</v>
      </c>
      <c r="F64" s="11" t="s">
        <v>1109</v>
      </c>
      <c r="G64" s="27">
        <v>0</v>
      </c>
      <c r="H64" s="27">
        <v>1</v>
      </c>
      <c r="I64" s="27">
        <v>2</v>
      </c>
      <c r="J64" s="11" t="s">
        <v>1106</v>
      </c>
      <c r="K64" s="82">
        <v>1</v>
      </c>
      <c r="L64" s="31" t="s">
        <v>304</v>
      </c>
      <c r="M64" s="31">
        <v>1</v>
      </c>
      <c r="N64" s="31">
        <v>5</v>
      </c>
      <c r="O64" s="27">
        <v>160</v>
      </c>
      <c r="P64" s="27" t="s">
        <v>31</v>
      </c>
      <c r="Q64" s="27">
        <v>4</v>
      </c>
      <c r="R64" s="27">
        <v>2</v>
      </c>
      <c r="S64" s="32">
        <v>0</v>
      </c>
      <c r="T64" s="27">
        <v>1</v>
      </c>
      <c r="U64" s="27">
        <v>0</v>
      </c>
      <c r="V64" s="27">
        <v>0</v>
      </c>
      <c r="W64" s="27">
        <v>0</v>
      </c>
      <c r="X64" s="27">
        <v>0</v>
      </c>
      <c r="Y64" s="27">
        <v>1</v>
      </c>
      <c r="Z64" s="27">
        <v>0</v>
      </c>
      <c r="AA64" s="97">
        <v>1</v>
      </c>
      <c r="AB64" s="27">
        <v>0</v>
      </c>
      <c r="AC64" s="27" t="s">
        <v>305</v>
      </c>
      <c r="AD64" s="11">
        <v>4.3</v>
      </c>
      <c r="AE64" s="27">
        <v>2.9</v>
      </c>
      <c r="AF64" s="27" t="s">
        <v>306</v>
      </c>
      <c r="AG64" s="27">
        <v>0</v>
      </c>
      <c r="AH64" s="27" t="s">
        <v>307</v>
      </c>
      <c r="AI64" s="27">
        <v>47</v>
      </c>
      <c r="AJ64" s="27">
        <f t="shared" si="9"/>
        <v>39.5</v>
      </c>
      <c r="AK64" s="27">
        <f t="shared" si="10"/>
        <v>68</v>
      </c>
      <c r="AL64" s="27">
        <f t="shared" si="11"/>
        <v>57</v>
      </c>
      <c r="AM64" s="27">
        <f t="shared" si="12"/>
        <v>52</v>
      </c>
      <c r="AN64" s="27">
        <v>73</v>
      </c>
      <c r="AO64" s="33">
        <v>20.5</v>
      </c>
      <c r="AP64" s="27">
        <v>0</v>
      </c>
      <c r="AQ64" s="27">
        <v>0</v>
      </c>
      <c r="AR64" s="27">
        <v>0</v>
      </c>
      <c r="AS64" s="27">
        <v>0</v>
      </c>
      <c r="AT64" s="27">
        <v>0</v>
      </c>
      <c r="AU64" s="27">
        <v>1</v>
      </c>
      <c r="AV64" s="27">
        <v>0</v>
      </c>
      <c r="AW64" s="27">
        <v>1</v>
      </c>
      <c r="AX64" s="27">
        <v>0</v>
      </c>
      <c r="AY64" s="34" t="s">
        <v>324</v>
      </c>
      <c r="AZ64" s="25" t="s">
        <v>163</v>
      </c>
      <c r="BA64" s="17" t="s">
        <v>61</v>
      </c>
      <c r="BB64" s="150" t="s">
        <v>312</v>
      </c>
      <c r="BC64" s="150" t="s">
        <v>313</v>
      </c>
      <c r="BD64" s="17">
        <v>1</v>
      </c>
      <c r="BE64" s="17">
        <v>7</v>
      </c>
      <c r="BF64" s="17">
        <v>0</v>
      </c>
      <c r="BG64" s="17">
        <v>0</v>
      </c>
      <c r="BH64" s="17">
        <v>1</v>
      </c>
      <c r="BI64" s="17">
        <v>0</v>
      </c>
      <c r="BJ64" s="17"/>
      <c r="BK64" s="17">
        <v>0.8</v>
      </c>
      <c r="BL64" s="150"/>
      <c r="BM64" s="17">
        <v>8</v>
      </c>
      <c r="BN64" s="17"/>
      <c r="BO64" s="17"/>
      <c r="BP64" s="17"/>
      <c r="BQ64" s="17"/>
      <c r="BR64" s="36"/>
      <c r="BS64" s="36"/>
      <c r="BT64" s="17"/>
      <c r="BU64" s="17">
        <v>4.03</v>
      </c>
      <c r="BV64" s="17">
        <v>1.69</v>
      </c>
      <c r="BW64" s="17"/>
      <c r="BX64" s="17">
        <v>40</v>
      </c>
      <c r="BY64" s="17">
        <v>6.15</v>
      </c>
      <c r="BZ64" s="17">
        <v>1.1399999999999999</v>
      </c>
      <c r="CA64" s="17"/>
      <c r="CB64" s="17">
        <v>40</v>
      </c>
      <c r="CC64" s="17">
        <v>1</v>
      </c>
      <c r="CD64" s="37">
        <f t="shared" si="13"/>
        <v>1.470715822052973</v>
      </c>
      <c r="CE64" s="17">
        <v>80</v>
      </c>
      <c r="CF64" s="22">
        <f t="shared" si="7"/>
        <v>1.470715822052973</v>
      </c>
      <c r="CG64" s="22">
        <f t="shared" si="1"/>
        <v>1.644310276847466</v>
      </c>
      <c r="CH64" s="150"/>
      <c r="CI64" s="37">
        <f t="shared" si="14"/>
        <v>6.3518781432730959E-2</v>
      </c>
      <c r="CJ64" s="37">
        <f t="shared" si="3"/>
        <v>6.6689853620655493E-2</v>
      </c>
    </row>
    <row r="65" spans="1:88" s="35" customFormat="1" x14ac:dyDescent="0.35">
      <c r="A65" s="29" t="s">
        <v>300</v>
      </c>
      <c r="B65" s="183" t="s">
        <v>301</v>
      </c>
      <c r="C65" s="29" t="s">
        <v>52</v>
      </c>
      <c r="D65" s="184" t="s">
        <v>302</v>
      </c>
      <c r="E65" s="184" t="s">
        <v>303</v>
      </c>
      <c r="F65" s="11" t="s">
        <v>1109</v>
      </c>
      <c r="G65" s="27">
        <v>0</v>
      </c>
      <c r="H65" s="27">
        <v>1</v>
      </c>
      <c r="I65" s="27">
        <v>2</v>
      </c>
      <c r="J65" s="11" t="s">
        <v>1106</v>
      </c>
      <c r="K65" s="82">
        <v>1</v>
      </c>
      <c r="L65" s="31" t="s">
        <v>304</v>
      </c>
      <c r="M65" s="31">
        <v>1</v>
      </c>
      <c r="N65" s="31">
        <v>5</v>
      </c>
      <c r="O65" s="27">
        <v>160</v>
      </c>
      <c r="P65" s="27" t="s">
        <v>31</v>
      </c>
      <c r="Q65" s="27">
        <v>4</v>
      </c>
      <c r="R65" s="27">
        <v>2</v>
      </c>
      <c r="S65" s="32">
        <v>0</v>
      </c>
      <c r="T65" s="27">
        <v>1</v>
      </c>
      <c r="U65" s="27">
        <v>0</v>
      </c>
      <c r="V65" s="27">
        <v>0</v>
      </c>
      <c r="W65" s="27">
        <v>0</v>
      </c>
      <c r="X65" s="27">
        <v>0</v>
      </c>
      <c r="Y65" s="27">
        <v>1</v>
      </c>
      <c r="Z65" s="27">
        <v>0</v>
      </c>
      <c r="AA65" s="97">
        <v>1</v>
      </c>
      <c r="AB65" s="27">
        <v>0</v>
      </c>
      <c r="AC65" s="27" t="s">
        <v>305</v>
      </c>
      <c r="AD65" s="11">
        <v>4.3</v>
      </c>
      <c r="AE65" s="27">
        <v>2.9</v>
      </c>
      <c r="AF65" s="27" t="s">
        <v>306</v>
      </c>
      <c r="AG65" s="27">
        <v>0</v>
      </c>
      <c r="AH65" s="27" t="s">
        <v>307</v>
      </c>
      <c r="AI65" s="27">
        <v>47</v>
      </c>
      <c r="AJ65" s="27">
        <f t="shared" si="9"/>
        <v>39.5</v>
      </c>
      <c r="AK65" s="27">
        <f t="shared" si="10"/>
        <v>68</v>
      </c>
      <c r="AL65" s="27">
        <f t="shared" si="11"/>
        <v>57</v>
      </c>
      <c r="AM65" s="27">
        <f t="shared" si="12"/>
        <v>52</v>
      </c>
      <c r="AN65" s="27">
        <v>74</v>
      </c>
      <c r="AO65" s="33">
        <v>20.5</v>
      </c>
      <c r="AP65" s="27">
        <v>0</v>
      </c>
      <c r="AQ65" s="27">
        <v>0</v>
      </c>
      <c r="AR65" s="27">
        <v>0</v>
      </c>
      <c r="AS65" s="27">
        <v>0</v>
      </c>
      <c r="AT65" s="27">
        <v>0</v>
      </c>
      <c r="AU65" s="27">
        <v>1</v>
      </c>
      <c r="AV65" s="27">
        <v>0</v>
      </c>
      <c r="AW65" s="27">
        <v>1</v>
      </c>
      <c r="AX65" s="27">
        <v>0</v>
      </c>
      <c r="AY65" s="34" t="s">
        <v>325</v>
      </c>
      <c r="AZ65" s="25" t="s">
        <v>163</v>
      </c>
      <c r="BA65" s="17" t="s">
        <v>61</v>
      </c>
      <c r="BB65" s="150" t="s">
        <v>315</v>
      </c>
      <c r="BC65" s="150" t="s">
        <v>316</v>
      </c>
      <c r="BD65" s="17">
        <v>1</v>
      </c>
      <c r="BE65" s="17">
        <v>7</v>
      </c>
      <c r="BF65" s="17">
        <v>0</v>
      </c>
      <c r="BG65" s="17">
        <v>0</v>
      </c>
      <c r="BH65" s="17">
        <v>1</v>
      </c>
      <c r="BI65" s="17">
        <v>0</v>
      </c>
      <c r="BJ65" s="17"/>
      <c r="BK65" s="17">
        <v>0.8</v>
      </c>
      <c r="BL65" s="150"/>
      <c r="BM65" s="17">
        <v>8</v>
      </c>
      <c r="BN65" s="17"/>
      <c r="BO65" s="17"/>
      <c r="BP65" s="17"/>
      <c r="BQ65" s="17"/>
      <c r="BR65" s="36"/>
      <c r="BS65" s="36"/>
      <c r="BT65" s="17"/>
      <c r="BU65" s="17">
        <v>4.5999999999999996</v>
      </c>
      <c r="BV65" s="17">
        <v>1.85</v>
      </c>
      <c r="BW65" s="17"/>
      <c r="BX65" s="17">
        <v>40</v>
      </c>
      <c r="BY65" s="17">
        <v>5.6</v>
      </c>
      <c r="BZ65" s="17">
        <v>1.37</v>
      </c>
      <c r="CA65" s="17"/>
      <c r="CB65" s="17">
        <v>40</v>
      </c>
      <c r="CC65" s="17">
        <v>1</v>
      </c>
      <c r="CD65" s="37">
        <f t="shared" si="13"/>
        <v>0.61432989120822779</v>
      </c>
      <c r="CE65" s="17">
        <v>80</v>
      </c>
      <c r="CF65" s="22">
        <f t="shared" si="7"/>
        <v>0.61432989120822779</v>
      </c>
      <c r="CG65" s="22">
        <f t="shared" si="1"/>
        <v>0.6868416986758239</v>
      </c>
      <c r="CH65" s="150"/>
      <c r="CI65" s="37">
        <f t="shared" si="14"/>
        <v>5.2358757595199458E-2</v>
      </c>
      <c r="CJ65" s="37">
        <f t="shared" si="3"/>
        <v>5.2912046413826491E-2</v>
      </c>
    </row>
    <row r="66" spans="1:88" s="35" customFormat="1" x14ac:dyDescent="0.35">
      <c r="A66" s="29" t="s">
        <v>300</v>
      </c>
      <c r="B66" s="183" t="s">
        <v>301</v>
      </c>
      <c r="C66" s="29" t="s">
        <v>52</v>
      </c>
      <c r="D66" s="184" t="s">
        <v>302</v>
      </c>
      <c r="E66" s="184" t="s">
        <v>303</v>
      </c>
      <c r="F66" s="11" t="s">
        <v>1109</v>
      </c>
      <c r="G66" s="27">
        <v>0</v>
      </c>
      <c r="H66" s="27">
        <v>1</v>
      </c>
      <c r="I66" s="27">
        <v>2</v>
      </c>
      <c r="J66" s="11" t="s">
        <v>1106</v>
      </c>
      <c r="K66" s="82">
        <v>1</v>
      </c>
      <c r="L66" s="31" t="s">
        <v>304</v>
      </c>
      <c r="M66" s="31">
        <v>1</v>
      </c>
      <c r="N66" s="31">
        <v>5</v>
      </c>
      <c r="O66" s="27">
        <v>160</v>
      </c>
      <c r="P66" s="27" t="s">
        <v>31</v>
      </c>
      <c r="Q66" s="27">
        <v>4</v>
      </c>
      <c r="R66" s="27">
        <v>2</v>
      </c>
      <c r="S66" s="32">
        <v>0</v>
      </c>
      <c r="T66" s="27">
        <v>1</v>
      </c>
      <c r="U66" s="27">
        <v>0</v>
      </c>
      <c r="V66" s="27">
        <v>0</v>
      </c>
      <c r="W66" s="27">
        <v>0</v>
      </c>
      <c r="X66" s="27">
        <v>0</v>
      </c>
      <c r="Y66" s="27">
        <v>1</v>
      </c>
      <c r="Z66" s="27">
        <v>0</v>
      </c>
      <c r="AA66" s="97">
        <v>1</v>
      </c>
      <c r="AB66" s="27">
        <v>0</v>
      </c>
      <c r="AC66" s="27" t="s">
        <v>305</v>
      </c>
      <c r="AD66" s="11">
        <v>4.3</v>
      </c>
      <c r="AE66" s="27">
        <v>2.9</v>
      </c>
      <c r="AF66" s="27" t="s">
        <v>306</v>
      </c>
      <c r="AG66" s="27">
        <v>0</v>
      </c>
      <c r="AH66" s="27" t="s">
        <v>307</v>
      </c>
      <c r="AI66" s="27">
        <v>47</v>
      </c>
      <c r="AJ66" s="27">
        <f t="shared" si="9"/>
        <v>39.5</v>
      </c>
      <c r="AK66" s="27">
        <f t="shared" si="10"/>
        <v>68</v>
      </c>
      <c r="AL66" s="27">
        <f t="shared" si="11"/>
        <v>57</v>
      </c>
      <c r="AM66" s="27">
        <f t="shared" si="12"/>
        <v>52</v>
      </c>
      <c r="AN66" s="27">
        <v>75</v>
      </c>
      <c r="AO66" s="33">
        <v>20.5</v>
      </c>
      <c r="AP66" s="27">
        <v>0</v>
      </c>
      <c r="AQ66" s="27">
        <v>0</v>
      </c>
      <c r="AR66" s="27">
        <v>0</v>
      </c>
      <c r="AS66" s="27">
        <v>0</v>
      </c>
      <c r="AT66" s="27">
        <v>0</v>
      </c>
      <c r="AU66" s="27">
        <v>1</v>
      </c>
      <c r="AV66" s="27">
        <v>0</v>
      </c>
      <c r="AW66" s="27">
        <v>1</v>
      </c>
      <c r="AX66" s="27">
        <v>0</v>
      </c>
      <c r="AY66" s="34" t="s">
        <v>326</v>
      </c>
      <c r="AZ66" s="25" t="s">
        <v>163</v>
      </c>
      <c r="BA66" s="17" t="s">
        <v>61</v>
      </c>
      <c r="BB66" s="150" t="s">
        <v>318</v>
      </c>
      <c r="BC66" s="150" t="s">
        <v>319</v>
      </c>
      <c r="BD66" s="17">
        <v>1</v>
      </c>
      <c r="BE66" s="17">
        <v>7</v>
      </c>
      <c r="BF66" s="17">
        <v>0</v>
      </c>
      <c r="BG66" s="17">
        <v>0</v>
      </c>
      <c r="BH66" s="17">
        <v>1</v>
      </c>
      <c r="BI66" s="17">
        <v>0</v>
      </c>
      <c r="BJ66" s="17"/>
      <c r="BK66" s="17">
        <v>0.8</v>
      </c>
      <c r="BL66" s="150"/>
      <c r="BM66" s="17">
        <v>8</v>
      </c>
      <c r="BN66" s="17"/>
      <c r="BO66" s="17"/>
      <c r="BP66" s="17"/>
      <c r="BQ66" s="17"/>
      <c r="BR66" s="36"/>
      <c r="BS66" s="36"/>
      <c r="BT66" s="17"/>
      <c r="BU66" s="17">
        <v>4.33</v>
      </c>
      <c r="BV66" s="17">
        <v>1.69</v>
      </c>
      <c r="BW66" s="17"/>
      <c r="BX66" s="17">
        <v>40</v>
      </c>
      <c r="BY66" s="17">
        <v>5.5</v>
      </c>
      <c r="BZ66" s="17">
        <v>1.36</v>
      </c>
      <c r="CA66" s="17"/>
      <c r="CB66" s="17">
        <v>40</v>
      </c>
      <c r="CC66" s="17">
        <v>1</v>
      </c>
      <c r="CD66" s="37">
        <f t="shared" si="13"/>
        <v>0.76276146005516787</v>
      </c>
      <c r="CE66" s="17">
        <v>80</v>
      </c>
      <c r="CF66" s="22">
        <f t="shared" si="7"/>
        <v>0.76276146005516787</v>
      </c>
      <c r="CG66" s="22">
        <f t="shared" si="1"/>
        <v>0.8527932376501729</v>
      </c>
      <c r="CH66" s="150"/>
      <c r="CI66" s="37">
        <f t="shared" si="14"/>
        <v>5.3636281530909324E-2</v>
      </c>
      <c r="CJ66" s="37">
        <f t="shared" si="3"/>
        <v>5.4602888013809268E-2</v>
      </c>
    </row>
    <row r="67" spans="1:88" s="35" customFormat="1" x14ac:dyDescent="0.35">
      <c r="A67" s="29" t="s">
        <v>300</v>
      </c>
      <c r="B67" s="183" t="s">
        <v>301</v>
      </c>
      <c r="C67" s="29" t="s">
        <v>52</v>
      </c>
      <c r="D67" s="184" t="s">
        <v>302</v>
      </c>
      <c r="E67" s="184" t="s">
        <v>303</v>
      </c>
      <c r="F67" s="11" t="s">
        <v>1109</v>
      </c>
      <c r="G67" s="27">
        <v>0</v>
      </c>
      <c r="H67" s="27">
        <v>1</v>
      </c>
      <c r="I67" s="27">
        <v>2</v>
      </c>
      <c r="J67" s="11" t="s">
        <v>1106</v>
      </c>
      <c r="K67" s="82">
        <v>1</v>
      </c>
      <c r="L67" s="40" t="s">
        <v>304</v>
      </c>
      <c r="M67" s="40">
        <v>1</v>
      </c>
      <c r="N67" s="40">
        <v>5</v>
      </c>
      <c r="O67" s="28">
        <v>160</v>
      </c>
      <c r="P67" s="28" t="s">
        <v>31</v>
      </c>
      <c r="Q67" s="28">
        <v>4</v>
      </c>
      <c r="R67" s="28">
        <v>2</v>
      </c>
      <c r="S67" s="41">
        <v>0</v>
      </c>
      <c r="T67" s="28">
        <v>1</v>
      </c>
      <c r="U67" s="28">
        <v>0</v>
      </c>
      <c r="V67" s="28">
        <v>0</v>
      </c>
      <c r="W67" s="28">
        <v>0</v>
      </c>
      <c r="X67" s="28">
        <v>0</v>
      </c>
      <c r="Y67" s="28">
        <v>1</v>
      </c>
      <c r="Z67" s="28">
        <v>0</v>
      </c>
      <c r="AA67" s="92">
        <v>1</v>
      </c>
      <c r="AB67" s="28">
        <v>0</v>
      </c>
      <c r="AC67" s="28" t="s">
        <v>305</v>
      </c>
      <c r="AD67" s="18">
        <v>4.3</v>
      </c>
      <c r="AE67" s="28">
        <v>2.9</v>
      </c>
      <c r="AF67" s="28" t="s">
        <v>306</v>
      </c>
      <c r="AG67" s="28">
        <v>0</v>
      </c>
      <c r="AH67" s="28" t="s">
        <v>307</v>
      </c>
      <c r="AI67" s="28">
        <v>47</v>
      </c>
      <c r="AJ67" s="28">
        <f t="shared" si="9"/>
        <v>39.5</v>
      </c>
      <c r="AK67" s="28">
        <f t="shared" si="10"/>
        <v>68</v>
      </c>
      <c r="AL67" s="28">
        <f t="shared" si="11"/>
        <v>57</v>
      </c>
      <c r="AM67" s="28">
        <f t="shared" si="12"/>
        <v>52</v>
      </c>
      <c r="AN67" s="28">
        <v>76</v>
      </c>
      <c r="AO67" s="42">
        <v>20.5</v>
      </c>
      <c r="AP67" s="28">
        <v>0</v>
      </c>
      <c r="AQ67" s="28">
        <v>0</v>
      </c>
      <c r="AR67" s="28">
        <v>0</v>
      </c>
      <c r="AS67" s="28">
        <v>0</v>
      </c>
      <c r="AT67" s="28">
        <v>0</v>
      </c>
      <c r="AU67" s="28">
        <v>1</v>
      </c>
      <c r="AV67" s="28">
        <v>0</v>
      </c>
      <c r="AW67" s="28">
        <v>1</v>
      </c>
      <c r="AX67" s="28">
        <v>0</v>
      </c>
      <c r="AY67" s="34" t="s">
        <v>327</v>
      </c>
      <c r="AZ67" s="25" t="s">
        <v>163</v>
      </c>
      <c r="BA67" s="17" t="s">
        <v>61</v>
      </c>
      <c r="BB67" s="150" t="s">
        <v>321</v>
      </c>
      <c r="BC67" s="150" t="s">
        <v>322</v>
      </c>
      <c r="BD67" s="17">
        <v>1</v>
      </c>
      <c r="BE67" s="17">
        <v>7</v>
      </c>
      <c r="BF67" s="17">
        <v>0</v>
      </c>
      <c r="BG67" s="17">
        <v>0</v>
      </c>
      <c r="BH67" s="17">
        <v>1</v>
      </c>
      <c r="BI67" s="17">
        <v>0</v>
      </c>
      <c r="BJ67" s="17"/>
      <c r="BK67" s="17">
        <v>0.8</v>
      </c>
      <c r="BL67" s="150"/>
      <c r="BM67" s="17">
        <v>8</v>
      </c>
      <c r="BN67" s="17"/>
      <c r="BO67" s="17"/>
      <c r="BP67" s="17"/>
      <c r="BQ67" s="17"/>
      <c r="BR67" s="36"/>
      <c r="BS67" s="36"/>
      <c r="BT67" s="17"/>
      <c r="BU67" s="17">
        <v>3.83</v>
      </c>
      <c r="BV67" s="17">
        <v>2.0499999999999998</v>
      </c>
      <c r="BW67" s="17"/>
      <c r="BX67" s="17">
        <v>40</v>
      </c>
      <c r="BY67" s="17">
        <v>4.7300000000000004</v>
      </c>
      <c r="BZ67" s="17">
        <v>1.83</v>
      </c>
      <c r="CA67" s="17"/>
      <c r="CB67" s="17">
        <v>40</v>
      </c>
      <c r="CC67" s="17">
        <v>0</v>
      </c>
      <c r="CD67" s="37">
        <f t="shared" si="13"/>
        <v>0.46317357013512978</v>
      </c>
      <c r="CE67" s="17">
        <v>80</v>
      </c>
      <c r="CF67" s="22">
        <f t="shared" si="7"/>
        <v>0.46317357013512978</v>
      </c>
      <c r="CG67" s="22">
        <f t="shared" ref="CG67:CG130" si="15">(CF67/SQRT(BK67))</f>
        <v>0.51784379410170833</v>
      </c>
      <c r="CH67" s="150"/>
      <c r="CI67" s="37">
        <f t="shared" si="14"/>
        <v>5.1340810975448264E-2</v>
      </c>
      <c r="CJ67" s="37">
        <f t="shared" ref="CJ67:CJ130" si="16">((BX67+CB67)/(BX67*CB67))+((CG67^2)/(2*(BX87+CB67)))</f>
        <v>5.1697229082845908E-2</v>
      </c>
    </row>
    <row r="68" spans="1:88" s="35" customFormat="1" x14ac:dyDescent="0.35">
      <c r="A68" s="29" t="s">
        <v>300</v>
      </c>
      <c r="B68" s="183" t="s">
        <v>301</v>
      </c>
      <c r="C68" s="29" t="s">
        <v>52</v>
      </c>
      <c r="D68" s="184" t="s">
        <v>302</v>
      </c>
      <c r="E68" s="184" t="s">
        <v>303</v>
      </c>
      <c r="F68" s="11" t="s">
        <v>1109</v>
      </c>
      <c r="G68" s="27">
        <v>0</v>
      </c>
      <c r="H68" s="27">
        <v>1</v>
      </c>
      <c r="I68" s="27">
        <v>2</v>
      </c>
      <c r="J68" s="11" t="s">
        <v>1106</v>
      </c>
      <c r="K68" s="82">
        <v>1</v>
      </c>
      <c r="L68" s="31" t="s">
        <v>328</v>
      </c>
      <c r="M68" s="31">
        <v>2</v>
      </c>
      <c r="N68" s="31">
        <v>5</v>
      </c>
      <c r="O68" s="27">
        <v>216</v>
      </c>
      <c r="P68" s="27" t="s">
        <v>31</v>
      </c>
      <c r="Q68" s="27">
        <v>5</v>
      </c>
      <c r="R68" s="27">
        <v>2</v>
      </c>
      <c r="S68" s="32">
        <v>0</v>
      </c>
      <c r="T68" s="27">
        <v>1</v>
      </c>
      <c r="U68" s="27">
        <v>0</v>
      </c>
      <c r="V68" s="27">
        <v>0</v>
      </c>
      <c r="W68" s="27">
        <v>0</v>
      </c>
      <c r="X68" s="27">
        <v>0</v>
      </c>
      <c r="Y68" s="27">
        <v>1</v>
      </c>
      <c r="Z68" s="27">
        <v>0</v>
      </c>
      <c r="AA68" s="97">
        <v>1</v>
      </c>
      <c r="AB68" s="27">
        <v>0</v>
      </c>
      <c r="AC68" s="27" t="s">
        <v>329</v>
      </c>
      <c r="AD68" s="11">
        <v>4.3</v>
      </c>
      <c r="AE68" s="27">
        <v>2.9</v>
      </c>
      <c r="AF68" s="27" t="s">
        <v>330</v>
      </c>
      <c r="AG68" s="27">
        <v>0</v>
      </c>
      <c r="AH68" s="27" t="s">
        <v>307</v>
      </c>
      <c r="AI68" s="27">
        <v>47</v>
      </c>
      <c r="AJ68" s="27">
        <f t="shared" si="9"/>
        <v>39.5</v>
      </c>
      <c r="AK68" s="27">
        <f t="shared" si="10"/>
        <v>68</v>
      </c>
      <c r="AL68" s="27">
        <f t="shared" si="11"/>
        <v>57</v>
      </c>
      <c r="AM68" s="27">
        <f t="shared" si="12"/>
        <v>52</v>
      </c>
      <c r="AN68" s="27">
        <v>77</v>
      </c>
      <c r="AO68" s="33">
        <v>20.7</v>
      </c>
      <c r="AP68" s="27">
        <v>0</v>
      </c>
      <c r="AQ68" s="27">
        <v>0</v>
      </c>
      <c r="AR68" s="27">
        <v>0</v>
      </c>
      <c r="AS68" s="27">
        <v>0</v>
      </c>
      <c r="AT68" s="27">
        <v>0</v>
      </c>
      <c r="AU68" s="27">
        <v>1</v>
      </c>
      <c r="AV68" s="27">
        <v>0</v>
      </c>
      <c r="AW68" s="27">
        <v>1</v>
      </c>
      <c r="AX68" s="27">
        <v>0</v>
      </c>
      <c r="AY68" s="34" t="s">
        <v>338</v>
      </c>
      <c r="AZ68" s="25" t="s">
        <v>163</v>
      </c>
      <c r="BA68" s="17" t="s">
        <v>61</v>
      </c>
      <c r="BB68" s="150" t="s">
        <v>315</v>
      </c>
      <c r="BC68" s="150" t="s">
        <v>316</v>
      </c>
      <c r="BD68" s="17">
        <v>1</v>
      </c>
      <c r="BE68" s="17">
        <v>7</v>
      </c>
      <c r="BF68" s="17">
        <v>0</v>
      </c>
      <c r="BG68" s="17">
        <v>0</v>
      </c>
      <c r="BH68" s="17">
        <v>1</v>
      </c>
      <c r="BI68" s="17">
        <v>0</v>
      </c>
      <c r="BJ68" s="17"/>
      <c r="BK68" s="17">
        <v>0.8</v>
      </c>
      <c r="BL68" s="150"/>
      <c r="BM68" s="17">
        <v>11</v>
      </c>
      <c r="BN68" s="17"/>
      <c r="BO68" s="17"/>
      <c r="BP68" s="17"/>
      <c r="BQ68" s="17"/>
      <c r="BR68" s="36"/>
      <c r="BS68" s="36"/>
      <c r="BT68" s="17"/>
      <c r="BU68" s="17">
        <v>5.62</v>
      </c>
      <c r="BV68" s="17">
        <v>1.37</v>
      </c>
      <c r="BW68" s="17"/>
      <c r="BX68" s="17">
        <v>39</v>
      </c>
      <c r="BY68" s="17">
        <v>5.34</v>
      </c>
      <c r="BZ68" s="17">
        <v>1.62</v>
      </c>
      <c r="CA68" s="17"/>
      <c r="CB68" s="17">
        <v>41</v>
      </c>
      <c r="CC68" s="17">
        <v>0</v>
      </c>
      <c r="CD68" s="37">
        <f t="shared" si="13"/>
        <v>-0.18624361536878611</v>
      </c>
      <c r="CE68" s="17">
        <v>80</v>
      </c>
      <c r="CF68" s="22">
        <f t="shared" si="7"/>
        <v>-0.18624361536878611</v>
      </c>
      <c r="CG68" s="22">
        <f t="shared" si="15"/>
        <v>-0.20822669216996517</v>
      </c>
      <c r="CH68" s="150"/>
      <c r="CI68" s="37">
        <f t="shared" si="14"/>
        <v>5.0248061320124895E-2</v>
      </c>
      <c r="CJ68" s="37">
        <f t="shared" si="16"/>
        <v>5.0269502265069307E-2</v>
      </c>
    </row>
    <row r="69" spans="1:88" s="35" customFormat="1" x14ac:dyDescent="0.35">
      <c r="A69" s="29" t="s">
        <v>300</v>
      </c>
      <c r="B69" s="183" t="s">
        <v>301</v>
      </c>
      <c r="C69" s="29" t="s">
        <v>52</v>
      </c>
      <c r="D69" s="184" t="s">
        <v>302</v>
      </c>
      <c r="E69" s="184" t="s">
        <v>303</v>
      </c>
      <c r="F69" s="12" t="s">
        <v>1109</v>
      </c>
      <c r="G69" s="27">
        <v>0</v>
      </c>
      <c r="H69" s="27">
        <v>1</v>
      </c>
      <c r="I69" s="27">
        <v>2</v>
      </c>
      <c r="J69" s="11" t="s">
        <v>1106</v>
      </c>
      <c r="K69" s="82">
        <v>1</v>
      </c>
      <c r="L69" s="31" t="s">
        <v>328</v>
      </c>
      <c r="M69" s="31">
        <v>2</v>
      </c>
      <c r="N69" s="31">
        <v>5</v>
      </c>
      <c r="O69" s="27">
        <v>216</v>
      </c>
      <c r="P69" s="27" t="s">
        <v>31</v>
      </c>
      <c r="Q69" s="27">
        <v>5</v>
      </c>
      <c r="R69" s="27">
        <v>2</v>
      </c>
      <c r="S69" s="32">
        <v>0</v>
      </c>
      <c r="T69" s="27">
        <v>1</v>
      </c>
      <c r="U69" s="27">
        <v>0</v>
      </c>
      <c r="V69" s="27">
        <v>0</v>
      </c>
      <c r="W69" s="27">
        <v>0</v>
      </c>
      <c r="X69" s="27">
        <v>0</v>
      </c>
      <c r="Y69" s="27">
        <v>1</v>
      </c>
      <c r="Z69" s="27">
        <v>0</v>
      </c>
      <c r="AA69" s="2">
        <v>1</v>
      </c>
      <c r="AB69" s="27">
        <v>0</v>
      </c>
      <c r="AC69" s="27" t="s">
        <v>329</v>
      </c>
      <c r="AD69" s="12">
        <v>4.3</v>
      </c>
      <c r="AE69" s="27">
        <v>2.9</v>
      </c>
      <c r="AF69" s="27" t="s">
        <v>330</v>
      </c>
      <c r="AG69" s="27">
        <v>0</v>
      </c>
      <c r="AH69" s="27" t="s">
        <v>307</v>
      </c>
      <c r="AI69" s="27">
        <v>47</v>
      </c>
      <c r="AJ69" s="27">
        <f t="shared" si="9"/>
        <v>39.5</v>
      </c>
      <c r="AK69" s="27">
        <f t="shared" si="10"/>
        <v>68</v>
      </c>
      <c r="AL69" s="27">
        <f t="shared" si="11"/>
        <v>57</v>
      </c>
      <c r="AM69" s="27">
        <f t="shared" si="12"/>
        <v>52</v>
      </c>
      <c r="AN69" s="27">
        <v>78</v>
      </c>
      <c r="AO69" s="33">
        <v>20.7</v>
      </c>
      <c r="AP69" s="27">
        <v>0</v>
      </c>
      <c r="AQ69" s="27">
        <v>0</v>
      </c>
      <c r="AR69" s="27">
        <v>0</v>
      </c>
      <c r="AS69" s="27">
        <v>0</v>
      </c>
      <c r="AT69" s="27">
        <v>0</v>
      </c>
      <c r="AU69" s="27">
        <v>1</v>
      </c>
      <c r="AV69" s="27">
        <v>0</v>
      </c>
      <c r="AW69" s="27">
        <v>1</v>
      </c>
      <c r="AX69" s="27">
        <v>0</v>
      </c>
      <c r="AY69" s="34" t="s">
        <v>339</v>
      </c>
      <c r="AZ69" s="25" t="s">
        <v>163</v>
      </c>
      <c r="BA69" s="17" t="s">
        <v>61</v>
      </c>
      <c r="BB69" s="150" t="s">
        <v>318</v>
      </c>
      <c r="BC69" s="150" t="s">
        <v>319</v>
      </c>
      <c r="BD69" s="17">
        <v>1</v>
      </c>
      <c r="BE69" s="17">
        <v>7</v>
      </c>
      <c r="BF69" s="17">
        <v>0</v>
      </c>
      <c r="BG69" s="17">
        <v>0</v>
      </c>
      <c r="BH69" s="17">
        <v>1</v>
      </c>
      <c r="BI69" s="17">
        <v>0</v>
      </c>
      <c r="BJ69" s="17"/>
      <c r="BK69" s="17">
        <v>0.8</v>
      </c>
      <c r="BL69" s="150"/>
      <c r="BM69" s="17">
        <v>11</v>
      </c>
      <c r="BN69" s="17"/>
      <c r="BO69" s="17"/>
      <c r="BP69" s="17"/>
      <c r="BQ69" s="17"/>
      <c r="BR69" s="36"/>
      <c r="BS69" s="36"/>
      <c r="BT69" s="17"/>
      <c r="BU69" s="17">
        <v>5.28</v>
      </c>
      <c r="BV69" s="17">
        <v>1.28</v>
      </c>
      <c r="BW69" s="17"/>
      <c r="BX69" s="17">
        <v>39</v>
      </c>
      <c r="BY69" s="17">
        <v>5.59</v>
      </c>
      <c r="BZ69" s="17">
        <v>1.41</v>
      </c>
      <c r="CA69" s="17"/>
      <c r="CB69" s="17">
        <v>41</v>
      </c>
      <c r="CC69" s="17">
        <v>0</v>
      </c>
      <c r="CD69" s="37">
        <f t="shared" si="13"/>
        <v>0.22993051294552691</v>
      </c>
      <c r="CE69" s="17">
        <v>80</v>
      </c>
      <c r="CF69" s="22">
        <f t="shared" si="7"/>
        <v>0.22993051294552691</v>
      </c>
      <c r="CG69" s="22">
        <f t="shared" si="15"/>
        <v>0.25707012852379679</v>
      </c>
      <c r="CH69" s="150"/>
      <c r="CI69" s="37">
        <f t="shared" si="14"/>
        <v>5.0361694798360869E-2</v>
      </c>
      <c r="CJ69" s="37">
        <f t="shared" si="16"/>
        <v>5.0386565516471339E-2</v>
      </c>
    </row>
    <row r="70" spans="1:88" s="35" customFormat="1" x14ac:dyDescent="0.35">
      <c r="A70" s="29" t="s">
        <v>300</v>
      </c>
      <c r="B70" s="183" t="s">
        <v>301</v>
      </c>
      <c r="C70" s="29" t="s">
        <v>52</v>
      </c>
      <c r="D70" s="184" t="s">
        <v>302</v>
      </c>
      <c r="E70" s="184" t="s">
        <v>303</v>
      </c>
      <c r="F70" s="11" t="s">
        <v>1109</v>
      </c>
      <c r="G70" s="27">
        <v>0</v>
      </c>
      <c r="H70" s="27">
        <v>1</v>
      </c>
      <c r="I70" s="27">
        <v>2</v>
      </c>
      <c r="J70" s="11" t="s">
        <v>1106</v>
      </c>
      <c r="K70" s="82">
        <v>1</v>
      </c>
      <c r="L70" s="31" t="s">
        <v>328</v>
      </c>
      <c r="M70" s="31">
        <v>2</v>
      </c>
      <c r="N70" s="31">
        <v>5</v>
      </c>
      <c r="O70" s="27">
        <v>216</v>
      </c>
      <c r="P70" s="27" t="s">
        <v>31</v>
      </c>
      <c r="Q70" s="27">
        <v>5</v>
      </c>
      <c r="R70" s="27">
        <v>2</v>
      </c>
      <c r="S70" s="32">
        <v>0</v>
      </c>
      <c r="T70" s="27">
        <v>1</v>
      </c>
      <c r="U70" s="27">
        <v>0</v>
      </c>
      <c r="V70" s="27">
        <v>0</v>
      </c>
      <c r="W70" s="27">
        <v>0</v>
      </c>
      <c r="X70" s="27">
        <v>0</v>
      </c>
      <c r="Y70" s="27">
        <v>1</v>
      </c>
      <c r="Z70" s="27">
        <v>0</v>
      </c>
      <c r="AA70" s="97">
        <v>1</v>
      </c>
      <c r="AB70" s="27">
        <v>0</v>
      </c>
      <c r="AC70" s="27" t="s">
        <v>329</v>
      </c>
      <c r="AD70" s="11">
        <v>4.3</v>
      </c>
      <c r="AE70" s="27">
        <v>2.9</v>
      </c>
      <c r="AF70" s="27" t="s">
        <v>330</v>
      </c>
      <c r="AG70" s="27">
        <v>0</v>
      </c>
      <c r="AH70" s="27" t="s">
        <v>307</v>
      </c>
      <c r="AI70" s="27">
        <v>47</v>
      </c>
      <c r="AJ70" s="27">
        <f t="shared" si="9"/>
        <v>39.5</v>
      </c>
      <c r="AK70" s="27">
        <f t="shared" si="10"/>
        <v>68</v>
      </c>
      <c r="AL70" s="27">
        <f t="shared" si="11"/>
        <v>57</v>
      </c>
      <c r="AM70" s="27">
        <f t="shared" si="12"/>
        <v>52</v>
      </c>
      <c r="AN70" s="27">
        <v>79</v>
      </c>
      <c r="AO70" s="33">
        <v>20.7</v>
      </c>
      <c r="AP70" s="27">
        <v>0</v>
      </c>
      <c r="AQ70" s="27">
        <v>0</v>
      </c>
      <c r="AR70" s="27">
        <v>0</v>
      </c>
      <c r="AS70" s="27">
        <v>0</v>
      </c>
      <c r="AT70" s="27">
        <v>0</v>
      </c>
      <c r="AU70" s="27">
        <v>1</v>
      </c>
      <c r="AV70" s="27">
        <v>0</v>
      </c>
      <c r="AW70" s="27">
        <v>1</v>
      </c>
      <c r="AX70" s="27">
        <v>0</v>
      </c>
      <c r="AY70" s="34" t="s">
        <v>340</v>
      </c>
      <c r="AZ70" s="25" t="s">
        <v>163</v>
      </c>
      <c r="BA70" s="17" t="s">
        <v>61</v>
      </c>
      <c r="BB70" s="150" t="s">
        <v>321</v>
      </c>
      <c r="BC70" s="150" t="s">
        <v>322</v>
      </c>
      <c r="BD70" s="17">
        <v>1</v>
      </c>
      <c r="BE70" s="17">
        <v>7</v>
      </c>
      <c r="BF70" s="17">
        <v>0</v>
      </c>
      <c r="BG70" s="17">
        <v>0</v>
      </c>
      <c r="BH70" s="17">
        <v>1</v>
      </c>
      <c r="BI70" s="17">
        <v>0</v>
      </c>
      <c r="BJ70" s="17"/>
      <c r="BK70" s="17">
        <v>0.8</v>
      </c>
      <c r="BL70" s="150"/>
      <c r="BM70" s="17">
        <v>11</v>
      </c>
      <c r="BN70" s="17"/>
      <c r="BO70" s="17"/>
      <c r="BP70" s="17"/>
      <c r="BQ70" s="17"/>
      <c r="BR70" s="36"/>
      <c r="BS70" s="36"/>
      <c r="BT70" s="17"/>
      <c r="BU70" s="17">
        <v>5.08</v>
      </c>
      <c r="BV70" s="17">
        <v>1.72</v>
      </c>
      <c r="BW70" s="17"/>
      <c r="BX70" s="17">
        <v>39</v>
      </c>
      <c r="BY70" s="17">
        <v>4.78</v>
      </c>
      <c r="BZ70" s="17">
        <v>1.68</v>
      </c>
      <c r="CA70" s="17"/>
      <c r="CB70" s="17">
        <v>41</v>
      </c>
      <c r="CC70" s="17">
        <v>0</v>
      </c>
      <c r="CD70" s="37">
        <f t="shared" si="13"/>
        <v>-0.17651162401011622</v>
      </c>
      <c r="CE70" s="17">
        <v>80</v>
      </c>
      <c r="CF70" s="22">
        <f t="shared" si="7"/>
        <v>-0.17651162401011622</v>
      </c>
      <c r="CG70" s="22">
        <f t="shared" si="15"/>
        <v>-0.19734599505275194</v>
      </c>
      <c r="CH70" s="150"/>
      <c r="CI70" s="37">
        <f t="shared" si="14"/>
        <v>5.0225996752281468E-2</v>
      </c>
      <c r="CJ70" s="37">
        <f t="shared" si="16"/>
        <v>5.0242929553048148E-2</v>
      </c>
    </row>
    <row r="71" spans="1:88" s="35" customFormat="1" x14ac:dyDescent="0.35">
      <c r="A71" s="29" t="s">
        <v>300</v>
      </c>
      <c r="B71" s="183" t="s">
        <v>301</v>
      </c>
      <c r="C71" s="29" t="s">
        <v>52</v>
      </c>
      <c r="D71" s="184" t="s">
        <v>302</v>
      </c>
      <c r="E71" s="184" t="s">
        <v>303</v>
      </c>
      <c r="F71" s="11" t="s">
        <v>1109</v>
      </c>
      <c r="G71" s="27">
        <v>0</v>
      </c>
      <c r="H71" s="27">
        <v>1</v>
      </c>
      <c r="I71" s="27">
        <v>2</v>
      </c>
      <c r="J71" s="11" t="s">
        <v>1106</v>
      </c>
      <c r="K71" s="82">
        <v>1</v>
      </c>
      <c r="L71" s="31" t="s">
        <v>328</v>
      </c>
      <c r="M71" s="31">
        <v>2</v>
      </c>
      <c r="N71" s="31">
        <v>5</v>
      </c>
      <c r="O71" s="27">
        <v>216</v>
      </c>
      <c r="P71" s="27" t="s">
        <v>31</v>
      </c>
      <c r="Q71" s="27">
        <v>5</v>
      </c>
      <c r="R71" s="27">
        <v>3</v>
      </c>
      <c r="S71" s="32">
        <v>0</v>
      </c>
      <c r="T71" s="27">
        <v>0</v>
      </c>
      <c r="U71" s="27">
        <v>1</v>
      </c>
      <c r="V71" s="27">
        <v>0</v>
      </c>
      <c r="W71" s="27">
        <v>0</v>
      </c>
      <c r="X71" s="27">
        <v>0</v>
      </c>
      <c r="Y71" s="27">
        <v>0</v>
      </c>
      <c r="Z71" s="27">
        <v>1</v>
      </c>
      <c r="AA71" s="97">
        <v>1</v>
      </c>
      <c r="AB71" s="27">
        <v>0</v>
      </c>
      <c r="AC71" s="27" t="s">
        <v>329</v>
      </c>
      <c r="AD71" s="11">
        <v>4.3</v>
      </c>
      <c r="AE71" s="27">
        <v>2.9</v>
      </c>
      <c r="AF71" s="27" t="s">
        <v>330</v>
      </c>
      <c r="AG71" s="27">
        <v>0</v>
      </c>
      <c r="AH71" s="27" t="s">
        <v>307</v>
      </c>
      <c r="AI71" s="27">
        <v>47</v>
      </c>
      <c r="AJ71" s="27">
        <f t="shared" si="9"/>
        <v>39.5</v>
      </c>
      <c r="AK71" s="27">
        <f t="shared" si="10"/>
        <v>68</v>
      </c>
      <c r="AL71" s="27">
        <f t="shared" si="11"/>
        <v>57</v>
      </c>
      <c r="AM71" s="27">
        <f t="shared" si="12"/>
        <v>52</v>
      </c>
      <c r="AN71" s="27">
        <v>80</v>
      </c>
      <c r="AO71" s="33">
        <v>20.7</v>
      </c>
      <c r="AP71" s="27">
        <v>0</v>
      </c>
      <c r="AQ71" s="27">
        <v>1</v>
      </c>
      <c r="AR71" s="27">
        <v>0</v>
      </c>
      <c r="AS71" s="27">
        <v>1</v>
      </c>
      <c r="AT71" s="27">
        <v>0</v>
      </c>
      <c r="AU71" s="27">
        <v>0</v>
      </c>
      <c r="AV71" s="27">
        <v>0</v>
      </c>
      <c r="AW71" s="27">
        <v>1</v>
      </c>
      <c r="AX71" s="27">
        <v>1</v>
      </c>
      <c r="AY71" s="34" t="s">
        <v>341</v>
      </c>
      <c r="AZ71" s="25" t="s">
        <v>163</v>
      </c>
      <c r="BA71" s="17" t="s">
        <v>141</v>
      </c>
      <c r="BB71" s="150" t="s">
        <v>309</v>
      </c>
      <c r="BC71" s="150" t="s">
        <v>310</v>
      </c>
      <c r="BD71" s="17">
        <v>8</v>
      </c>
      <c r="BE71" s="17">
        <v>7</v>
      </c>
      <c r="BF71" s="17">
        <v>1</v>
      </c>
      <c r="BG71" s="17">
        <v>1</v>
      </c>
      <c r="BH71" s="17">
        <v>0</v>
      </c>
      <c r="BI71" s="17">
        <v>0</v>
      </c>
      <c r="BJ71" s="17"/>
      <c r="BK71" s="17">
        <v>0.8</v>
      </c>
      <c r="BL71" s="150"/>
      <c r="BM71" s="17">
        <v>11</v>
      </c>
      <c r="BN71" s="17"/>
      <c r="BO71" s="17"/>
      <c r="BP71" s="17"/>
      <c r="BQ71" s="17"/>
      <c r="BR71" s="36"/>
      <c r="BS71" s="36"/>
      <c r="BT71" s="17"/>
      <c r="BU71" s="17">
        <v>6.22</v>
      </c>
      <c r="BV71" s="17">
        <v>0.75</v>
      </c>
      <c r="BW71" s="17"/>
      <c r="BX71" s="17">
        <v>41</v>
      </c>
      <c r="BY71" s="17">
        <v>6.18</v>
      </c>
      <c r="BZ71" s="17">
        <v>0.65</v>
      </c>
      <c r="CA71" s="17"/>
      <c r="CB71" s="17">
        <v>51</v>
      </c>
      <c r="CC71" s="17">
        <v>0</v>
      </c>
      <c r="CD71" s="37">
        <f t="shared" si="13"/>
        <v>-5.7453107825894627E-2</v>
      </c>
      <c r="CE71" s="17">
        <v>92</v>
      </c>
      <c r="CF71" s="22">
        <f t="shared" si="7"/>
        <v>-5.7453107825894627E-2</v>
      </c>
      <c r="CG71" s="22">
        <f t="shared" si="15"/>
        <v>-6.4234527308662775E-2</v>
      </c>
      <c r="CH71" s="150"/>
      <c r="CI71" s="37">
        <f t="shared" si="14"/>
        <v>4.4016026494035528E-2</v>
      </c>
      <c r="CJ71" s="37">
        <f t="shared" si="16"/>
        <v>4.4014331427483559E-2</v>
      </c>
    </row>
    <row r="72" spans="1:88" s="35" customFormat="1" x14ac:dyDescent="0.35">
      <c r="A72" s="29" t="s">
        <v>300</v>
      </c>
      <c r="B72" s="183" t="s">
        <v>301</v>
      </c>
      <c r="C72" s="29" t="s">
        <v>52</v>
      </c>
      <c r="D72" s="184" t="s">
        <v>302</v>
      </c>
      <c r="E72" s="184" t="s">
        <v>303</v>
      </c>
      <c r="F72" s="11" t="s">
        <v>1109</v>
      </c>
      <c r="G72" s="27">
        <v>0</v>
      </c>
      <c r="H72" s="27">
        <v>1</v>
      </c>
      <c r="I72" s="27">
        <v>2</v>
      </c>
      <c r="J72" s="11" t="s">
        <v>1106</v>
      </c>
      <c r="K72" s="82">
        <v>1</v>
      </c>
      <c r="L72" s="31" t="s">
        <v>328</v>
      </c>
      <c r="M72" s="31">
        <v>2</v>
      </c>
      <c r="N72" s="31">
        <v>5</v>
      </c>
      <c r="O72" s="27">
        <v>216</v>
      </c>
      <c r="P72" s="27" t="s">
        <v>31</v>
      </c>
      <c r="Q72" s="27">
        <v>5</v>
      </c>
      <c r="R72" s="27">
        <v>3</v>
      </c>
      <c r="S72" s="32">
        <v>0</v>
      </c>
      <c r="T72" s="27">
        <v>0</v>
      </c>
      <c r="U72" s="27">
        <v>1</v>
      </c>
      <c r="V72" s="27">
        <v>0</v>
      </c>
      <c r="W72" s="27">
        <v>0</v>
      </c>
      <c r="X72" s="27">
        <v>0</v>
      </c>
      <c r="Y72" s="27">
        <v>0</v>
      </c>
      <c r="Z72" s="27">
        <v>1</v>
      </c>
      <c r="AA72" s="97">
        <v>1</v>
      </c>
      <c r="AB72" s="27">
        <v>0</v>
      </c>
      <c r="AC72" s="27" t="s">
        <v>329</v>
      </c>
      <c r="AD72" s="11">
        <v>4.3</v>
      </c>
      <c r="AE72" s="27">
        <v>2.9</v>
      </c>
      <c r="AF72" s="27" t="s">
        <v>330</v>
      </c>
      <c r="AG72" s="27">
        <v>0</v>
      </c>
      <c r="AH72" s="27" t="s">
        <v>307</v>
      </c>
      <c r="AI72" s="27">
        <v>47</v>
      </c>
      <c r="AJ72" s="27">
        <f t="shared" si="9"/>
        <v>39.5</v>
      </c>
      <c r="AK72" s="27">
        <f t="shared" si="10"/>
        <v>68</v>
      </c>
      <c r="AL72" s="27">
        <f t="shared" si="11"/>
        <v>57</v>
      </c>
      <c r="AM72" s="27">
        <f t="shared" si="12"/>
        <v>52</v>
      </c>
      <c r="AN72" s="27">
        <v>81</v>
      </c>
      <c r="AO72" s="33">
        <v>20.7</v>
      </c>
      <c r="AP72" s="27">
        <v>0</v>
      </c>
      <c r="AQ72" s="27">
        <v>1</v>
      </c>
      <c r="AR72" s="27">
        <v>0</v>
      </c>
      <c r="AS72" s="27">
        <v>1</v>
      </c>
      <c r="AT72" s="27">
        <v>0</v>
      </c>
      <c r="AU72" s="27">
        <v>0</v>
      </c>
      <c r="AV72" s="27">
        <v>0</v>
      </c>
      <c r="AW72" s="27">
        <v>1</v>
      </c>
      <c r="AX72" s="27">
        <v>1</v>
      </c>
      <c r="AY72" s="34" t="s">
        <v>342</v>
      </c>
      <c r="AZ72" s="25" t="s">
        <v>163</v>
      </c>
      <c r="BA72" s="17" t="s">
        <v>141</v>
      </c>
      <c r="BB72" s="150" t="s">
        <v>312</v>
      </c>
      <c r="BC72" s="150" t="s">
        <v>313</v>
      </c>
      <c r="BD72" s="17">
        <v>1</v>
      </c>
      <c r="BE72" s="17">
        <v>7</v>
      </c>
      <c r="BF72" s="17">
        <v>0</v>
      </c>
      <c r="BG72" s="17">
        <v>0</v>
      </c>
      <c r="BH72" s="17">
        <v>1</v>
      </c>
      <c r="BI72" s="17">
        <v>0</v>
      </c>
      <c r="BJ72" s="17"/>
      <c r="BK72" s="17">
        <v>0.8</v>
      </c>
      <c r="BL72" s="150"/>
      <c r="BM72" s="17">
        <v>11</v>
      </c>
      <c r="BN72" s="17"/>
      <c r="BO72" s="17"/>
      <c r="BP72" s="17"/>
      <c r="BQ72" s="17"/>
      <c r="BR72" s="36"/>
      <c r="BS72" s="36"/>
      <c r="BT72" s="17"/>
      <c r="BU72" s="17">
        <v>3.63</v>
      </c>
      <c r="BV72" s="17">
        <v>1.93</v>
      </c>
      <c r="BW72" s="17"/>
      <c r="BX72" s="17">
        <v>41</v>
      </c>
      <c r="BY72" s="17">
        <v>5.63</v>
      </c>
      <c r="BZ72" s="17">
        <v>1.65</v>
      </c>
      <c r="CA72" s="17"/>
      <c r="CB72" s="17">
        <v>51</v>
      </c>
      <c r="CC72" s="17">
        <v>1</v>
      </c>
      <c r="CD72" s="37">
        <f t="shared" si="13"/>
        <v>1.1236644669289837</v>
      </c>
      <c r="CE72" s="17">
        <v>92</v>
      </c>
      <c r="CF72" s="22">
        <f t="shared" si="7"/>
        <v>1.1236644669289837</v>
      </c>
      <c r="CG72" s="22">
        <f t="shared" si="15"/>
        <v>1.2562950659771359</v>
      </c>
      <c r="CH72" s="150"/>
      <c r="CI72" s="37">
        <f t="shared" si="14"/>
        <v>5.0860162225774344E-2</v>
      </c>
      <c r="CJ72" s="37">
        <f t="shared" si="16"/>
        <v>4.929431956586338E-2</v>
      </c>
    </row>
    <row r="73" spans="1:88" s="35" customFormat="1" x14ac:dyDescent="0.35">
      <c r="A73" s="29" t="s">
        <v>300</v>
      </c>
      <c r="B73" s="183" t="s">
        <v>301</v>
      </c>
      <c r="C73" s="29" t="s">
        <v>52</v>
      </c>
      <c r="D73" s="184" t="s">
        <v>302</v>
      </c>
      <c r="E73" s="184" t="s">
        <v>303</v>
      </c>
      <c r="F73" s="11" t="s">
        <v>1109</v>
      </c>
      <c r="G73" s="27">
        <v>0</v>
      </c>
      <c r="H73" s="27">
        <v>1</v>
      </c>
      <c r="I73" s="27">
        <v>2</v>
      </c>
      <c r="J73" s="11" t="s">
        <v>1106</v>
      </c>
      <c r="K73" s="82">
        <v>1</v>
      </c>
      <c r="L73" s="31" t="s">
        <v>328</v>
      </c>
      <c r="M73" s="31">
        <v>2</v>
      </c>
      <c r="N73" s="31">
        <v>5</v>
      </c>
      <c r="O73" s="27">
        <v>216</v>
      </c>
      <c r="P73" s="27" t="s">
        <v>31</v>
      </c>
      <c r="Q73" s="27">
        <v>5</v>
      </c>
      <c r="R73" s="27">
        <v>3</v>
      </c>
      <c r="S73" s="32">
        <v>0</v>
      </c>
      <c r="T73" s="27">
        <v>0</v>
      </c>
      <c r="U73" s="27">
        <v>1</v>
      </c>
      <c r="V73" s="27">
        <v>0</v>
      </c>
      <c r="W73" s="27">
        <v>0</v>
      </c>
      <c r="X73" s="27">
        <v>0</v>
      </c>
      <c r="Y73" s="27">
        <v>0</v>
      </c>
      <c r="Z73" s="27">
        <v>1</v>
      </c>
      <c r="AA73" s="97">
        <v>1</v>
      </c>
      <c r="AB73" s="27">
        <v>0</v>
      </c>
      <c r="AC73" s="27" t="s">
        <v>329</v>
      </c>
      <c r="AD73" s="11">
        <v>4.3</v>
      </c>
      <c r="AE73" s="27">
        <v>2.9</v>
      </c>
      <c r="AF73" s="27" t="s">
        <v>330</v>
      </c>
      <c r="AG73" s="27">
        <v>0</v>
      </c>
      <c r="AH73" s="27" t="s">
        <v>307</v>
      </c>
      <c r="AI73" s="27">
        <v>47</v>
      </c>
      <c r="AJ73" s="27">
        <f t="shared" si="9"/>
        <v>39.5</v>
      </c>
      <c r="AK73" s="27">
        <f t="shared" si="10"/>
        <v>68</v>
      </c>
      <c r="AL73" s="27">
        <f t="shared" si="11"/>
        <v>57</v>
      </c>
      <c r="AM73" s="27">
        <f t="shared" si="12"/>
        <v>52</v>
      </c>
      <c r="AN73" s="27">
        <v>82</v>
      </c>
      <c r="AO73" s="33">
        <v>20.7</v>
      </c>
      <c r="AP73" s="27">
        <v>0</v>
      </c>
      <c r="AQ73" s="27">
        <v>1</v>
      </c>
      <c r="AR73" s="27">
        <v>0</v>
      </c>
      <c r="AS73" s="27">
        <v>1</v>
      </c>
      <c r="AT73" s="27">
        <v>0</v>
      </c>
      <c r="AU73" s="27">
        <v>0</v>
      </c>
      <c r="AV73" s="27">
        <v>0</v>
      </c>
      <c r="AW73" s="27">
        <v>1</v>
      </c>
      <c r="AX73" s="27">
        <v>1</v>
      </c>
      <c r="AY73" s="34" t="s">
        <v>343</v>
      </c>
      <c r="AZ73" s="25" t="s">
        <v>163</v>
      </c>
      <c r="BA73" s="17" t="s">
        <v>141</v>
      </c>
      <c r="BB73" s="150" t="s">
        <v>315</v>
      </c>
      <c r="BC73" s="150" t="s">
        <v>316</v>
      </c>
      <c r="BD73" s="17">
        <v>1</v>
      </c>
      <c r="BE73" s="17">
        <v>7</v>
      </c>
      <c r="BF73" s="17">
        <v>0</v>
      </c>
      <c r="BG73" s="17">
        <v>0</v>
      </c>
      <c r="BH73" s="17">
        <v>1</v>
      </c>
      <c r="BI73" s="17">
        <v>0</v>
      </c>
      <c r="BJ73" s="17"/>
      <c r="BK73" s="17">
        <v>0.8</v>
      </c>
      <c r="BL73" s="150"/>
      <c r="BM73" s="17">
        <v>11</v>
      </c>
      <c r="BN73" s="17"/>
      <c r="BO73" s="17"/>
      <c r="BP73" s="17"/>
      <c r="BQ73" s="17"/>
      <c r="BR73" s="36"/>
      <c r="BS73" s="36"/>
      <c r="BT73" s="17"/>
      <c r="BU73" s="17">
        <v>5.24</v>
      </c>
      <c r="BV73" s="17">
        <v>1.59</v>
      </c>
      <c r="BW73" s="17"/>
      <c r="BX73" s="17">
        <v>41</v>
      </c>
      <c r="BY73" s="17">
        <v>5.37</v>
      </c>
      <c r="BZ73" s="17">
        <v>1.79</v>
      </c>
      <c r="CA73" s="17"/>
      <c r="CB73" s="17">
        <v>51</v>
      </c>
      <c r="CC73" s="17">
        <v>0</v>
      </c>
      <c r="CD73" s="37">
        <f t="shared" si="13"/>
        <v>7.6290560166149046E-2</v>
      </c>
      <c r="CE73" s="17">
        <v>92</v>
      </c>
      <c r="CF73" s="22">
        <f t="shared" si="7"/>
        <v>7.6290560166149046E-2</v>
      </c>
      <c r="CG73" s="22">
        <f t="shared" si="15"/>
        <v>8.5295439286523458E-2</v>
      </c>
      <c r="CH73" s="150"/>
      <c r="CI73" s="37">
        <f t="shared" si="14"/>
        <v>4.4029718830837755E-2</v>
      </c>
      <c r="CJ73" s="37">
        <f t="shared" si="16"/>
        <v>4.4022500838227757E-2</v>
      </c>
    </row>
    <row r="74" spans="1:88" s="35" customFormat="1" x14ac:dyDescent="0.35">
      <c r="A74" s="29" t="s">
        <v>300</v>
      </c>
      <c r="B74" s="183" t="s">
        <v>301</v>
      </c>
      <c r="C74" s="29" t="s">
        <v>52</v>
      </c>
      <c r="D74" s="184" t="s">
        <v>302</v>
      </c>
      <c r="E74" s="184" t="s">
        <v>303</v>
      </c>
      <c r="F74" s="12" t="s">
        <v>1109</v>
      </c>
      <c r="G74" s="27">
        <v>0</v>
      </c>
      <c r="H74" s="27">
        <v>1</v>
      </c>
      <c r="I74" s="27">
        <v>2</v>
      </c>
      <c r="J74" s="11" t="s">
        <v>1106</v>
      </c>
      <c r="K74" s="82">
        <v>1</v>
      </c>
      <c r="L74" s="31" t="s">
        <v>328</v>
      </c>
      <c r="M74" s="31">
        <v>2</v>
      </c>
      <c r="N74" s="31">
        <v>5</v>
      </c>
      <c r="O74" s="27">
        <v>216</v>
      </c>
      <c r="P74" s="27" t="s">
        <v>31</v>
      </c>
      <c r="Q74" s="27">
        <v>5</v>
      </c>
      <c r="R74" s="27">
        <v>3</v>
      </c>
      <c r="S74" s="32">
        <v>0</v>
      </c>
      <c r="T74" s="27">
        <v>0</v>
      </c>
      <c r="U74" s="27">
        <v>1</v>
      </c>
      <c r="V74" s="27">
        <v>0</v>
      </c>
      <c r="W74" s="27">
        <v>0</v>
      </c>
      <c r="X74" s="27">
        <v>0</v>
      </c>
      <c r="Y74" s="27">
        <v>0</v>
      </c>
      <c r="Z74" s="27">
        <v>1</v>
      </c>
      <c r="AA74" s="97">
        <v>1</v>
      </c>
      <c r="AB74" s="27">
        <v>0</v>
      </c>
      <c r="AC74" s="27" t="s">
        <v>329</v>
      </c>
      <c r="AD74" s="11">
        <v>4.3</v>
      </c>
      <c r="AE74" s="27">
        <v>2.9</v>
      </c>
      <c r="AF74" s="27" t="s">
        <v>330</v>
      </c>
      <c r="AG74" s="27">
        <v>0</v>
      </c>
      <c r="AH74" s="27" t="s">
        <v>307</v>
      </c>
      <c r="AI74" s="27">
        <v>47</v>
      </c>
      <c r="AJ74" s="27">
        <f t="shared" si="9"/>
        <v>39.5</v>
      </c>
      <c r="AK74" s="27">
        <f t="shared" si="10"/>
        <v>68</v>
      </c>
      <c r="AL74" s="27">
        <f t="shared" si="11"/>
        <v>57</v>
      </c>
      <c r="AM74" s="27">
        <f t="shared" si="12"/>
        <v>52</v>
      </c>
      <c r="AN74" s="27">
        <v>83</v>
      </c>
      <c r="AO74" s="33">
        <v>20.7</v>
      </c>
      <c r="AP74" s="27">
        <v>0</v>
      </c>
      <c r="AQ74" s="27">
        <v>1</v>
      </c>
      <c r="AR74" s="27">
        <v>0</v>
      </c>
      <c r="AS74" s="27">
        <v>1</v>
      </c>
      <c r="AT74" s="27">
        <v>0</v>
      </c>
      <c r="AU74" s="27">
        <v>0</v>
      </c>
      <c r="AV74" s="27">
        <v>0</v>
      </c>
      <c r="AW74" s="27">
        <v>1</v>
      </c>
      <c r="AX74" s="27">
        <v>1</v>
      </c>
      <c r="AY74" s="34" t="s">
        <v>344</v>
      </c>
      <c r="AZ74" s="25" t="s">
        <v>163</v>
      </c>
      <c r="BA74" s="17" t="s">
        <v>141</v>
      </c>
      <c r="BB74" s="150" t="s">
        <v>318</v>
      </c>
      <c r="BC74" s="150" t="s">
        <v>319</v>
      </c>
      <c r="BD74" s="17">
        <v>1</v>
      </c>
      <c r="BE74" s="17">
        <v>7</v>
      </c>
      <c r="BF74" s="17">
        <v>0</v>
      </c>
      <c r="BG74" s="17">
        <v>0</v>
      </c>
      <c r="BH74" s="17">
        <v>1</v>
      </c>
      <c r="BI74" s="17">
        <v>0</v>
      </c>
      <c r="BJ74" s="17"/>
      <c r="BK74" s="17">
        <v>0.8</v>
      </c>
      <c r="BL74" s="150"/>
      <c r="BM74" s="17">
        <v>11</v>
      </c>
      <c r="BN74" s="17"/>
      <c r="BO74" s="17"/>
      <c r="BP74" s="17"/>
      <c r="BQ74" s="17"/>
      <c r="BR74" s="36"/>
      <c r="BS74" s="36"/>
      <c r="BT74" s="17"/>
      <c r="BU74" s="17">
        <v>5.24</v>
      </c>
      <c r="BV74" s="17">
        <v>1.68</v>
      </c>
      <c r="BW74" s="17"/>
      <c r="BX74" s="17">
        <v>41</v>
      </c>
      <c r="BY74" s="17">
        <v>5.78</v>
      </c>
      <c r="BZ74" s="17">
        <v>1.5</v>
      </c>
      <c r="CA74" s="17"/>
      <c r="CB74" s="17">
        <v>51</v>
      </c>
      <c r="CC74" s="17">
        <v>0</v>
      </c>
      <c r="CD74" s="37">
        <f t="shared" si="13"/>
        <v>0.34122584056499311</v>
      </c>
      <c r="CE74" s="17">
        <v>92</v>
      </c>
      <c r="CF74" s="22">
        <f t="shared" si="7"/>
        <v>0.34122584056499311</v>
      </c>
      <c r="CG74" s="22">
        <f t="shared" si="15"/>
        <v>0.38150208759141491</v>
      </c>
      <c r="CH74" s="150"/>
      <c r="CI74" s="37">
        <f t="shared" si="14"/>
        <v>4.4630886356374827E-2</v>
      </c>
      <c r="CJ74" s="37">
        <f t="shared" si="16"/>
        <v>4.4421179606079414E-2</v>
      </c>
    </row>
    <row r="75" spans="1:88" s="35" customFormat="1" x14ac:dyDescent="0.35">
      <c r="A75" s="29" t="s">
        <v>300</v>
      </c>
      <c r="B75" s="183" t="s">
        <v>301</v>
      </c>
      <c r="C75" s="29" t="s">
        <v>52</v>
      </c>
      <c r="D75" s="184" t="s">
        <v>302</v>
      </c>
      <c r="E75" s="184" t="s">
        <v>303</v>
      </c>
      <c r="F75" s="11" t="s">
        <v>1109</v>
      </c>
      <c r="G75" s="27">
        <v>0</v>
      </c>
      <c r="H75" s="27">
        <v>1</v>
      </c>
      <c r="I75" s="27">
        <v>2</v>
      </c>
      <c r="J75" s="11" t="s">
        <v>1106</v>
      </c>
      <c r="K75" s="82">
        <v>1</v>
      </c>
      <c r="L75" s="31" t="s">
        <v>328</v>
      </c>
      <c r="M75" s="31">
        <v>2</v>
      </c>
      <c r="N75" s="31">
        <v>5</v>
      </c>
      <c r="O75" s="27">
        <v>216</v>
      </c>
      <c r="P75" s="27" t="s">
        <v>31</v>
      </c>
      <c r="Q75" s="27">
        <v>5</v>
      </c>
      <c r="R75" s="27">
        <v>3</v>
      </c>
      <c r="S75" s="32">
        <v>0</v>
      </c>
      <c r="T75" s="27">
        <v>0</v>
      </c>
      <c r="U75" s="27">
        <v>1</v>
      </c>
      <c r="V75" s="27">
        <v>0</v>
      </c>
      <c r="W75" s="27">
        <v>0</v>
      </c>
      <c r="X75" s="27">
        <v>0</v>
      </c>
      <c r="Y75" s="27">
        <v>0</v>
      </c>
      <c r="Z75" s="27">
        <v>1</v>
      </c>
      <c r="AA75" s="97">
        <v>1</v>
      </c>
      <c r="AB75" s="27">
        <v>0</v>
      </c>
      <c r="AC75" s="27" t="s">
        <v>329</v>
      </c>
      <c r="AD75" s="11">
        <v>4.3</v>
      </c>
      <c r="AE75" s="27">
        <v>2.9</v>
      </c>
      <c r="AF75" s="27" t="s">
        <v>330</v>
      </c>
      <c r="AG75" s="27">
        <v>0</v>
      </c>
      <c r="AH75" s="27" t="s">
        <v>307</v>
      </c>
      <c r="AI75" s="27">
        <v>47</v>
      </c>
      <c r="AJ75" s="27">
        <f t="shared" si="9"/>
        <v>39.5</v>
      </c>
      <c r="AK75" s="27">
        <f t="shared" si="10"/>
        <v>68</v>
      </c>
      <c r="AL75" s="27">
        <f t="shared" si="11"/>
        <v>57</v>
      </c>
      <c r="AM75" s="27">
        <f t="shared" si="12"/>
        <v>52</v>
      </c>
      <c r="AN75" s="27">
        <v>84</v>
      </c>
      <c r="AO75" s="33">
        <v>20.7</v>
      </c>
      <c r="AP75" s="27">
        <v>0</v>
      </c>
      <c r="AQ75" s="27">
        <v>1</v>
      </c>
      <c r="AR75" s="27">
        <v>0</v>
      </c>
      <c r="AS75" s="27">
        <v>1</v>
      </c>
      <c r="AT75" s="27">
        <v>0</v>
      </c>
      <c r="AU75" s="27">
        <v>0</v>
      </c>
      <c r="AV75" s="27">
        <v>0</v>
      </c>
      <c r="AW75" s="27">
        <v>1</v>
      </c>
      <c r="AX75" s="27">
        <v>1</v>
      </c>
      <c r="AY75" s="34" t="s">
        <v>345</v>
      </c>
      <c r="AZ75" s="25" t="s">
        <v>163</v>
      </c>
      <c r="BA75" s="17" t="s">
        <v>141</v>
      </c>
      <c r="BB75" s="150" t="s">
        <v>321</v>
      </c>
      <c r="BC75" s="150" t="s">
        <v>322</v>
      </c>
      <c r="BD75" s="17">
        <v>1</v>
      </c>
      <c r="BE75" s="17">
        <v>7</v>
      </c>
      <c r="BF75" s="17">
        <v>0</v>
      </c>
      <c r="BG75" s="17">
        <v>0</v>
      </c>
      <c r="BH75" s="17">
        <v>1</v>
      </c>
      <c r="BI75" s="17">
        <v>0</v>
      </c>
      <c r="BJ75" s="17"/>
      <c r="BK75" s="17">
        <v>0.8</v>
      </c>
      <c r="BL75" s="150"/>
      <c r="BM75" s="17">
        <v>11</v>
      </c>
      <c r="BN75" s="17"/>
      <c r="BO75" s="17"/>
      <c r="BP75" s="17"/>
      <c r="BQ75" s="17"/>
      <c r="BR75" s="36"/>
      <c r="BS75" s="36"/>
      <c r="BT75" s="17"/>
      <c r="BU75" s="17">
        <v>4.93</v>
      </c>
      <c r="BV75" s="17">
        <v>1.86</v>
      </c>
      <c r="BW75" s="17"/>
      <c r="BX75" s="17">
        <v>41</v>
      </c>
      <c r="BY75" s="17">
        <v>5.22</v>
      </c>
      <c r="BZ75" s="17">
        <v>1.72</v>
      </c>
      <c r="CA75" s="17"/>
      <c r="CB75" s="17">
        <v>51</v>
      </c>
      <c r="CC75" s="17">
        <v>0</v>
      </c>
      <c r="CD75" s="37">
        <f t="shared" si="13"/>
        <v>0.16259438541314244</v>
      </c>
      <c r="CE75" s="17">
        <v>92</v>
      </c>
      <c r="CF75" s="22">
        <f t="shared" si="7"/>
        <v>0.16259438541314244</v>
      </c>
      <c r="CG75" s="22">
        <f t="shared" si="15"/>
        <v>0.18178604927179337</v>
      </c>
      <c r="CH75" s="150"/>
      <c r="CI75" s="37">
        <f t="shared" si="14"/>
        <v>4.414176602973674E-2</v>
      </c>
      <c r="CJ75" s="37">
        <f t="shared" si="16"/>
        <v>4.4094151480710921E-2</v>
      </c>
    </row>
    <row r="76" spans="1:88" s="35" customFormat="1" x14ac:dyDescent="0.35">
      <c r="A76" s="29" t="s">
        <v>300</v>
      </c>
      <c r="B76" s="183" t="s">
        <v>301</v>
      </c>
      <c r="C76" s="29" t="s">
        <v>52</v>
      </c>
      <c r="D76" s="184" t="s">
        <v>302</v>
      </c>
      <c r="E76" s="184" t="s">
        <v>303</v>
      </c>
      <c r="F76" s="12" t="s">
        <v>1109</v>
      </c>
      <c r="G76" s="27">
        <v>0</v>
      </c>
      <c r="H76" s="27">
        <v>1</v>
      </c>
      <c r="I76" s="27">
        <v>2</v>
      </c>
      <c r="J76" s="11" t="s">
        <v>1106</v>
      </c>
      <c r="K76" s="82">
        <v>1</v>
      </c>
      <c r="L76" s="31" t="s">
        <v>328</v>
      </c>
      <c r="M76" s="31">
        <v>2</v>
      </c>
      <c r="N76" s="31">
        <v>5</v>
      </c>
      <c r="O76" s="27">
        <v>216</v>
      </c>
      <c r="P76" s="27" t="s">
        <v>31</v>
      </c>
      <c r="Q76" s="27">
        <v>5</v>
      </c>
      <c r="R76" s="27">
        <v>4</v>
      </c>
      <c r="S76" s="32">
        <v>0</v>
      </c>
      <c r="T76" s="27">
        <v>0</v>
      </c>
      <c r="U76" s="27">
        <v>1</v>
      </c>
      <c r="V76" s="27">
        <v>0</v>
      </c>
      <c r="W76" s="27">
        <v>0</v>
      </c>
      <c r="X76" s="27">
        <v>0</v>
      </c>
      <c r="Y76" s="27">
        <v>0</v>
      </c>
      <c r="Z76" s="27">
        <v>1</v>
      </c>
      <c r="AA76" s="97">
        <v>1</v>
      </c>
      <c r="AB76" s="27">
        <v>0</v>
      </c>
      <c r="AC76" s="27" t="s">
        <v>329</v>
      </c>
      <c r="AD76" s="11">
        <v>4.3</v>
      </c>
      <c r="AE76" s="27">
        <v>2.9</v>
      </c>
      <c r="AF76" s="27" t="s">
        <v>330</v>
      </c>
      <c r="AG76" s="27">
        <v>0</v>
      </c>
      <c r="AH76" s="27" t="s">
        <v>307</v>
      </c>
      <c r="AI76" s="27">
        <v>47</v>
      </c>
      <c r="AJ76" s="27">
        <f t="shared" si="9"/>
        <v>39.5</v>
      </c>
      <c r="AK76" s="27">
        <f t="shared" si="10"/>
        <v>68</v>
      </c>
      <c r="AL76" s="27">
        <f t="shared" si="11"/>
        <v>57</v>
      </c>
      <c r="AM76" s="27">
        <f t="shared" si="12"/>
        <v>52</v>
      </c>
      <c r="AN76" s="27">
        <v>85</v>
      </c>
      <c r="AO76" s="33">
        <v>20.7</v>
      </c>
      <c r="AP76" s="27">
        <v>0</v>
      </c>
      <c r="AQ76" s="27">
        <v>0</v>
      </c>
      <c r="AR76" s="27">
        <v>0</v>
      </c>
      <c r="AS76" s="27">
        <v>0</v>
      </c>
      <c r="AT76" s="27">
        <v>0</v>
      </c>
      <c r="AU76" s="27">
        <v>1</v>
      </c>
      <c r="AV76" s="27">
        <v>0</v>
      </c>
      <c r="AW76" s="27">
        <v>1</v>
      </c>
      <c r="AX76" s="27">
        <v>0</v>
      </c>
      <c r="AY76" s="34" t="s">
        <v>346</v>
      </c>
      <c r="AZ76" s="25" t="s">
        <v>163</v>
      </c>
      <c r="BA76" s="17" t="s">
        <v>61</v>
      </c>
      <c r="BB76" s="150" t="s">
        <v>309</v>
      </c>
      <c r="BC76" s="150" t="s">
        <v>310</v>
      </c>
      <c r="BD76" s="17">
        <v>8</v>
      </c>
      <c r="BE76" s="17">
        <v>7</v>
      </c>
      <c r="BF76" s="17">
        <v>1</v>
      </c>
      <c r="BG76" s="17">
        <v>1</v>
      </c>
      <c r="BH76" s="17">
        <v>0</v>
      </c>
      <c r="BI76" s="17">
        <v>0</v>
      </c>
      <c r="BJ76" s="17"/>
      <c r="BK76" s="17">
        <v>0.8</v>
      </c>
      <c r="BL76" s="150"/>
      <c r="BM76" s="17">
        <v>11</v>
      </c>
      <c r="BN76" s="17"/>
      <c r="BO76" s="17"/>
      <c r="BP76" s="17"/>
      <c r="BQ76" s="17"/>
      <c r="BR76" s="36"/>
      <c r="BS76" s="36"/>
      <c r="BT76" s="17"/>
      <c r="BU76" s="17">
        <v>6.21</v>
      </c>
      <c r="BV76" s="17">
        <v>0.81</v>
      </c>
      <c r="BW76" s="17"/>
      <c r="BX76" s="17">
        <v>39</v>
      </c>
      <c r="BY76" s="17">
        <v>6.18</v>
      </c>
      <c r="BZ76" s="17">
        <v>0.65</v>
      </c>
      <c r="CA76" s="17"/>
      <c r="CB76" s="17">
        <v>51</v>
      </c>
      <c r="CC76" s="17">
        <v>0</v>
      </c>
      <c r="CD76" s="37">
        <f t="shared" si="13"/>
        <v>-4.1468250249769856E-2</v>
      </c>
      <c r="CE76" s="17">
        <v>90</v>
      </c>
      <c r="CF76" s="22">
        <f t="shared" si="7"/>
        <v>-4.1468250249769856E-2</v>
      </c>
      <c r="CG76" s="22">
        <f t="shared" si="15"/>
        <v>-4.6362913233229018E-2</v>
      </c>
      <c r="CH76" s="150"/>
      <c r="CI76" s="37">
        <f t="shared" si="14"/>
        <v>4.525842219927375E-2</v>
      </c>
      <c r="CJ76" s="37">
        <f t="shared" si="16"/>
        <v>4.5261817692277363E-2</v>
      </c>
    </row>
    <row r="77" spans="1:88" s="35" customFormat="1" x14ac:dyDescent="0.35">
      <c r="A77" s="29" t="s">
        <v>300</v>
      </c>
      <c r="B77" s="183" t="s">
        <v>301</v>
      </c>
      <c r="C77" s="29" t="s">
        <v>52</v>
      </c>
      <c r="D77" s="184" t="s">
        <v>302</v>
      </c>
      <c r="E77" s="184" t="s">
        <v>303</v>
      </c>
      <c r="F77" s="11" t="s">
        <v>1109</v>
      </c>
      <c r="G77" s="27">
        <v>0</v>
      </c>
      <c r="H77" s="27">
        <v>1</v>
      </c>
      <c r="I77" s="27">
        <v>2</v>
      </c>
      <c r="J77" s="11" t="s">
        <v>1106</v>
      </c>
      <c r="K77" s="82">
        <v>1</v>
      </c>
      <c r="L77" s="31" t="s">
        <v>328</v>
      </c>
      <c r="M77" s="31">
        <v>2</v>
      </c>
      <c r="N77" s="31">
        <v>5</v>
      </c>
      <c r="O77" s="27">
        <v>216</v>
      </c>
      <c r="P77" s="27" t="s">
        <v>31</v>
      </c>
      <c r="Q77" s="27">
        <v>5</v>
      </c>
      <c r="R77" s="27">
        <v>4</v>
      </c>
      <c r="S77" s="32">
        <v>0</v>
      </c>
      <c r="T77" s="27">
        <v>0</v>
      </c>
      <c r="U77" s="27">
        <v>1</v>
      </c>
      <c r="V77" s="27">
        <v>0</v>
      </c>
      <c r="W77" s="27">
        <v>0</v>
      </c>
      <c r="X77" s="27">
        <v>0</v>
      </c>
      <c r="Y77" s="27">
        <v>0</v>
      </c>
      <c r="Z77" s="27">
        <v>1</v>
      </c>
      <c r="AA77" s="97">
        <v>1</v>
      </c>
      <c r="AB77" s="27">
        <v>0</v>
      </c>
      <c r="AC77" s="27" t="s">
        <v>329</v>
      </c>
      <c r="AD77" s="11">
        <v>4.3</v>
      </c>
      <c r="AE77" s="27">
        <v>2.9</v>
      </c>
      <c r="AF77" s="27" t="s">
        <v>330</v>
      </c>
      <c r="AG77" s="27">
        <v>0</v>
      </c>
      <c r="AH77" s="27" t="s">
        <v>307</v>
      </c>
      <c r="AI77" s="27">
        <v>47</v>
      </c>
      <c r="AJ77" s="27">
        <f t="shared" si="9"/>
        <v>39.5</v>
      </c>
      <c r="AK77" s="27">
        <f t="shared" si="10"/>
        <v>68</v>
      </c>
      <c r="AL77" s="27">
        <f t="shared" si="11"/>
        <v>57</v>
      </c>
      <c r="AM77" s="27">
        <f t="shared" si="12"/>
        <v>52</v>
      </c>
      <c r="AN77" s="27">
        <v>86</v>
      </c>
      <c r="AO77" s="33">
        <v>20.7</v>
      </c>
      <c r="AP77" s="27">
        <v>0</v>
      </c>
      <c r="AQ77" s="27">
        <v>0</v>
      </c>
      <c r="AR77" s="27">
        <v>0</v>
      </c>
      <c r="AS77" s="27">
        <v>0</v>
      </c>
      <c r="AT77" s="27">
        <v>0</v>
      </c>
      <c r="AU77" s="27">
        <v>1</v>
      </c>
      <c r="AV77" s="27">
        <v>0</v>
      </c>
      <c r="AW77" s="27">
        <v>1</v>
      </c>
      <c r="AX77" s="27">
        <v>0</v>
      </c>
      <c r="AY77" s="34" t="s">
        <v>347</v>
      </c>
      <c r="AZ77" s="25" t="s">
        <v>163</v>
      </c>
      <c r="BA77" s="17" t="s">
        <v>61</v>
      </c>
      <c r="BB77" s="150" t="s">
        <v>312</v>
      </c>
      <c r="BC77" s="150" t="s">
        <v>313</v>
      </c>
      <c r="BD77" s="17">
        <v>1</v>
      </c>
      <c r="BE77" s="17">
        <v>7</v>
      </c>
      <c r="BF77" s="17">
        <v>0</v>
      </c>
      <c r="BG77" s="17">
        <v>0</v>
      </c>
      <c r="BH77" s="17">
        <v>1</v>
      </c>
      <c r="BI77" s="17">
        <v>0</v>
      </c>
      <c r="BJ77" s="17"/>
      <c r="BK77" s="17">
        <v>0.8</v>
      </c>
      <c r="BL77" s="150"/>
      <c r="BM77" s="17">
        <v>11</v>
      </c>
      <c r="BN77" s="17"/>
      <c r="BO77" s="17"/>
      <c r="BP77" s="17"/>
      <c r="BQ77" s="17"/>
      <c r="BR77" s="36"/>
      <c r="BS77" s="36"/>
      <c r="BT77" s="17"/>
      <c r="BU77" s="17">
        <v>4.49</v>
      </c>
      <c r="BV77" s="17">
        <v>1.89</v>
      </c>
      <c r="BW77" s="17"/>
      <c r="BX77" s="17">
        <v>39</v>
      </c>
      <c r="BY77" s="17">
        <v>5.63</v>
      </c>
      <c r="BZ77" s="17">
        <v>1.65</v>
      </c>
      <c r="CA77" s="17"/>
      <c r="CB77" s="17">
        <v>51</v>
      </c>
      <c r="CC77" s="17">
        <v>1</v>
      </c>
      <c r="CD77" s="37">
        <f t="shared" si="13"/>
        <v>0.64858917677597594</v>
      </c>
      <c r="CE77" s="17">
        <v>90</v>
      </c>
      <c r="CF77" s="22">
        <f t="shared" si="7"/>
        <v>0.64858917677597594</v>
      </c>
      <c r="CG77" s="22">
        <f t="shared" si="15"/>
        <v>0.72514474437085508</v>
      </c>
      <c r="CH77" s="150"/>
      <c r="CI77" s="37">
        <f t="shared" si="14"/>
        <v>4.7585912779563533E-2</v>
      </c>
      <c r="CJ77" s="37">
        <f t="shared" si="16"/>
        <v>4.8416548900501462E-2</v>
      </c>
    </row>
    <row r="78" spans="1:88" s="35" customFormat="1" x14ac:dyDescent="0.35">
      <c r="A78" s="29" t="s">
        <v>300</v>
      </c>
      <c r="B78" s="183" t="s">
        <v>301</v>
      </c>
      <c r="C78" s="29" t="s">
        <v>52</v>
      </c>
      <c r="D78" s="184" t="s">
        <v>302</v>
      </c>
      <c r="E78" s="184" t="s">
        <v>303</v>
      </c>
      <c r="F78" s="12" t="s">
        <v>1109</v>
      </c>
      <c r="G78" s="27">
        <v>0</v>
      </c>
      <c r="H78" s="27">
        <v>1</v>
      </c>
      <c r="I78" s="27">
        <v>2</v>
      </c>
      <c r="J78" s="11" t="s">
        <v>1106</v>
      </c>
      <c r="K78" s="82">
        <v>1</v>
      </c>
      <c r="L78" s="31" t="s">
        <v>328</v>
      </c>
      <c r="M78" s="31">
        <v>2</v>
      </c>
      <c r="N78" s="31">
        <v>5</v>
      </c>
      <c r="O78" s="27">
        <v>216</v>
      </c>
      <c r="P78" s="27" t="s">
        <v>31</v>
      </c>
      <c r="Q78" s="27">
        <v>5</v>
      </c>
      <c r="R78" s="27">
        <v>4</v>
      </c>
      <c r="S78" s="32">
        <v>0</v>
      </c>
      <c r="T78" s="27">
        <v>0</v>
      </c>
      <c r="U78" s="27">
        <v>1</v>
      </c>
      <c r="V78" s="27">
        <v>0</v>
      </c>
      <c r="W78" s="27">
        <v>0</v>
      </c>
      <c r="X78" s="27">
        <v>0</v>
      </c>
      <c r="Y78" s="27">
        <v>0</v>
      </c>
      <c r="Z78" s="27">
        <v>1</v>
      </c>
      <c r="AA78" s="97">
        <v>1</v>
      </c>
      <c r="AB78" s="27">
        <v>0</v>
      </c>
      <c r="AC78" s="27" t="s">
        <v>329</v>
      </c>
      <c r="AD78" s="11">
        <v>4.3</v>
      </c>
      <c r="AE78" s="27">
        <v>2.9</v>
      </c>
      <c r="AF78" s="27" t="s">
        <v>330</v>
      </c>
      <c r="AG78" s="27">
        <v>0</v>
      </c>
      <c r="AH78" s="27" t="s">
        <v>307</v>
      </c>
      <c r="AI78" s="27">
        <v>47</v>
      </c>
      <c r="AJ78" s="27">
        <f t="shared" si="9"/>
        <v>39.5</v>
      </c>
      <c r="AK78" s="27">
        <f t="shared" si="10"/>
        <v>68</v>
      </c>
      <c r="AL78" s="27">
        <f t="shared" si="11"/>
        <v>57</v>
      </c>
      <c r="AM78" s="27">
        <f t="shared" si="12"/>
        <v>52</v>
      </c>
      <c r="AN78" s="27">
        <v>87</v>
      </c>
      <c r="AO78" s="33">
        <v>20.7</v>
      </c>
      <c r="AP78" s="27">
        <v>0</v>
      </c>
      <c r="AQ78" s="27">
        <v>0</v>
      </c>
      <c r="AR78" s="27">
        <v>0</v>
      </c>
      <c r="AS78" s="27">
        <v>0</v>
      </c>
      <c r="AT78" s="27">
        <v>0</v>
      </c>
      <c r="AU78" s="27">
        <v>1</v>
      </c>
      <c r="AV78" s="27">
        <v>0</v>
      </c>
      <c r="AW78" s="27">
        <v>1</v>
      </c>
      <c r="AX78" s="27">
        <v>0</v>
      </c>
      <c r="AY78" s="34" t="s">
        <v>348</v>
      </c>
      <c r="AZ78" s="25" t="s">
        <v>163</v>
      </c>
      <c r="BA78" s="17" t="s">
        <v>61</v>
      </c>
      <c r="BB78" s="150" t="s">
        <v>315</v>
      </c>
      <c r="BC78" s="150" t="s">
        <v>316</v>
      </c>
      <c r="BD78" s="17">
        <v>1</v>
      </c>
      <c r="BE78" s="17">
        <v>7</v>
      </c>
      <c r="BF78" s="17">
        <v>0</v>
      </c>
      <c r="BG78" s="17">
        <v>0</v>
      </c>
      <c r="BH78" s="17">
        <v>1</v>
      </c>
      <c r="BI78" s="17">
        <v>0</v>
      </c>
      <c r="BJ78" s="17"/>
      <c r="BK78" s="17">
        <v>0.8</v>
      </c>
      <c r="BL78" s="150"/>
      <c r="BM78" s="17">
        <v>11</v>
      </c>
      <c r="BN78" s="17"/>
      <c r="BO78" s="17"/>
      <c r="BP78" s="17"/>
      <c r="BQ78" s="17"/>
      <c r="BR78" s="36"/>
      <c r="BS78" s="36"/>
      <c r="BT78" s="17"/>
      <c r="BU78" s="17">
        <v>5.62</v>
      </c>
      <c r="BV78" s="17">
        <v>1.37</v>
      </c>
      <c r="BW78" s="17"/>
      <c r="BX78" s="17">
        <v>39</v>
      </c>
      <c r="BY78" s="17">
        <v>5.37</v>
      </c>
      <c r="BZ78" s="17">
        <v>1.79</v>
      </c>
      <c r="CA78" s="17"/>
      <c r="CB78" s="17">
        <v>51</v>
      </c>
      <c r="CC78" s="17">
        <v>0</v>
      </c>
      <c r="CD78" s="37">
        <f t="shared" si="13"/>
        <v>-0.15412757128951013</v>
      </c>
      <c r="CE78" s="17">
        <v>90</v>
      </c>
      <c r="CF78" s="22">
        <f t="shared" si="7"/>
        <v>-0.15412757128951013</v>
      </c>
      <c r="CG78" s="22">
        <f t="shared" si="15"/>
        <v>-0.17231986330514479</v>
      </c>
      <c r="CH78" s="150"/>
      <c r="CI78" s="37">
        <f t="shared" si="14"/>
        <v>4.5380842712900556E-2</v>
      </c>
      <c r="CJ78" s="37">
        <f t="shared" si="16"/>
        <v>4.5427749111349842E-2</v>
      </c>
    </row>
    <row r="79" spans="1:88" s="35" customFormat="1" x14ac:dyDescent="0.35">
      <c r="A79" s="29" t="s">
        <v>300</v>
      </c>
      <c r="B79" s="183" t="s">
        <v>301</v>
      </c>
      <c r="C79" s="29" t="s">
        <v>52</v>
      </c>
      <c r="D79" s="184" t="s">
        <v>302</v>
      </c>
      <c r="E79" s="184" t="s">
        <v>303</v>
      </c>
      <c r="F79" s="11" t="s">
        <v>1109</v>
      </c>
      <c r="G79" s="27">
        <v>0</v>
      </c>
      <c r="H79" s="27">
        <v>1</v>
      </c>
      <c r="I79" s="27">
        <v>2</v>
      </c>
      <c r="J79" s="11" t="s">
        <v>1106</v>
      </c>
      <c r="K79" s="82">
        <v>1</v>
      </c>
      <c r="L79" s="31" t="s">
        <v>328</v>
      </c>
      <c r="M79" s="31">
        <v>2</v>
      </c>
      <c r="N79" s="31">
        <v>5</v>
      </c>
      <c r="O79" s="27">
        <v>216</v>
      </c>
      <c r="P79" s="27" t="s">
        <v>31</v>
      </c>
      <c r="Q79" s="27">
        <v>5</v>
      </c>
      <c r="R79" s="27">
        <v>4</v>
      </c>
      <c r="S79" s="32">
        <v>0</v>
      </c>
      <c r="T79" s="27">
        <v>0</v>
      </c>
      <c r="U79" s="27">
        <v>1</v>
      </c>
      <c r="V79" s="27">
        <v>0</v>
      </c>
      <c r="W79" s="27">
        <v>0</v>
      </c>
      <c r="X79" s="27">
        <v>0</v>
      </c>
      <c r="Y79" s="27">
        <v>0</v>
      </c>
      <c r="Z79" s="27">
        <v>1</v>
      </c>
      <c r="AA79" s="97">
        <v>1</v>
      </c>
      <c r="AB79" s="27">
        <v>0</v>
      </c>
      <c r="AC79" s="27" t="s">
        <v>329</v>
      </c>
      <c r="AD79" s="11">
        <v>4.3</v>
      </c>
      <c r="AE79" s="27">
        <v>2.9</v>
      </c>
      <c r="AF79" s="27" t="s">
        <v>330</v>
      </c>
      <c r="AG79" s="27">
        <v>0</v>
      </c>
      <c r="AH79" s="27" t="s">
        <v>307</v>
      </c>
      <c r="AI79" s="27">
        <v>47</v>
      </c>
      <c r="AJ79" s="27">
        <f t="shared" si="9"/>
        <v>39.5</v>
      </c>
      <c r="AK79" s="27">
        <f t="shared" si="10"/>
        <v>68</v>
      </c>
      <c r="AL79" s="27">
        <f t="shared" si="11"/>
        <v>57</v>
      </c>
      <c r="AM79" s="27">
        <f t="shared" si="12"/>
        <v>52</v>
      </c>
      <c r="AN79" s="27">
        <v>88</v>
      </c>
      <c r="AO79" s="33">
        <v>20.7</v>
      </c>
      <c r="AP79" s="27">
        <v>0</v>
      </c>
      <c r="AQ79" s="27">
        <v>0</v>
      </c>
      <c r="AR79" s="27">
        <v>0</v>
      </c>
      <c r="AS79" s="27">
        <v>0</v>
      </c>
      <c r="AT79" s="27">
        <v>0</v>
      </c>
      <c r="AU79" s="27">
        <v>1</v>
      </c>
      <c r="AV79" s="27">
        <v>0</v>
      </c>
      <c r="AW79" s="27">
        <v>1</v>
      </c>
      <c r="AX79" s="27">
        <v>0</v>
      </c>
      <c r="AY79" s="34" t="s">
        <v>349</v>
      </c>
      <c r="AZ79" s="25" t="s">
        <v>163</v>
      </c>
      <c r="BA79" s="17" t="s">
        <v>61</v>
      </c>
      <c r="BB79" s="150" t="s">
        <v>318</v>
      </c>
      <c r="BC79" s="150" t="s">
        <v>319</v>
      </c>
      <c r="BD79" s="17">
        <v>1</v>
      </c>
      <c r="BE79" s="17">
        <v>7</v>
      </c>
      <c r="BF79" s="17">
        <v>0</v>
      </c>
      <c r="BG79" s="17">
        <v>0</v>
      </c>
      <c r="BH79" s="17">
        <v>1</v>
      </c>
      <c r="BI79" s="17">
        <v>0</v>
      </c>
      <c r="BJ79" s="17"/>
      <c r="BK79" s="17">
        <v>0.8</v>
      </c>
      <c r="BL79" s="150"/>
      <c r="BM79" s="17">
        <v>11</v>
      </c>
      <c r="BN79" s="17"/>
      <c r="BO79" s="17"/>
      <c r="BP79" s="17"/>
      <c r="BQ79" s="17"/>
      <c r="BR79" s="36"/>
      <c r="BS79" s="36"/>
      <c r="BT79" s="17"/>
      <c r="BU79" s="17">
        <v>5.28</v>
      </c>
      <c r="BV79" s="17">
        <v>1.28</v>
      </c>
      <c r="BW79" s="17"/>
      <c r="BX79" s="17">
        <v>39</v>
      </c>
      <c r="BY79" s="17">
        <v>5.78</v>
      </c>
      <c r="BZ79" s="17">
        <v>1.5</v>
      </c>
      <c r="CA79" s="17"/>
      <c r="CB79" s="17">
        <v>51</v>
      </c>
      <c r="CC79" s="17">
        <v>0</v>
      </c>
      <c r="CD79" s="37">
        <f t="shared" si="13"/>
        <v>0.35480629493261939</v>
      </c>
      <c r="CE79" s="17">
        <v>90</v>
      </c>
      <c r="CF79" s="22">
        <f t="shared" si="7"/>
        <v>0.35480629493261939</v>
      </c>
      <c r="CG79" s="22">
        <f t="shared" si="15"/>
        <v>0.39668549715708806</v>
      </c>
      <c r="CH79" s="150"/>
      <c r="CI79" s="37">
        <f t="shared" si="14"/>
        <v>4.594824381674617E-2</v>
      </c>
      <c r="CJ79" s="37">
        <f t="shared" si="16"/>
        <v>4.5921344776805186E-2</v>
      </c>
    </row>
    <row r="80" spans="1:88" s="35" customFormat="1" x14ac:dyDescent="0.35">
      <c r="A80" s="29" t="s">
        <v>300</v>
      </c>
      <c r="B80" s="183" t="s">
        <v>301</v>
      </c>
      <c r="C80" s="29" t="s">
        <v>52</v>
      </c>
      <c r="D80" s="184" t="s">
        <v>302</v>
      </c>
      <c r="E80" s="184" t="s">
        <v>303</v>
      </c>
      <c r="F80" s="12" t="s">
        <v>1109</v>
      </c>
      <c r="G80" s="27">
        <v>0</v>
      </c>
      <c r="H80" s="27">
        <v>1</v>
      </c>
      <c r="I80" s="27">
        <v>2</v>
      </c>
      <c r="J80" s="11" t="s">
        <v>1106</v>
      </c>
      <c r="K80" s="82">
        <v>1</v>
      </c>
      <c r="L80" s="31" t="s">
        <v>328</v>
      </c>
      <c r="M80" s="31">
        <v>2</v>
      </c>
      <c r="N80" s="31">
        <v>5</v>
      </c>
      <c r="O80" s="27">
        <v>216</v>
      </c>
      <c r="P80" s="27" t="s">
        <v>31</v>
      </c>
      <c r="Q80" s="27">
        <v>5</v>
      </c>
      <c r="R80" s="27">
        <v>4</v>
      </c>
      <c r="S80" s="32">
        <v>0</v>
      </c>
      <c r="T80" s="27">
        <v>0</v>
      </c>
      <c r="U80" s="27">
        <v>1</v>
      </c>
      <c r="V80" s="27">
        <v>0</v>
      </c>
      <c r="W80" s="27">
        <v>0</v>
      </c>
      <c r="X80" s="27">
        <v>0</v>
      </c>
      <c r="Y80" s="27">
        <v>0</v>
      </c>
      <c r="Z80" s="27">
        <v>1</v>
      </c>
      <c r="AA80" s="2">
        <v>1</v>
      </c>
      <c r="AB80" s="27">
        <v>0</v>
      </c>
      <c r="AC80" s="27" t="s">
        <v>329</v>
      </c>
      <c r="AD80" s="12">
        <v>4.3</v>
      </c>
      <c r="AE80" s="27">
        <v>2.9</v>
      </c>
      <c r="AF80" s="27" t="s">
        <v>330</v>
      </c>
      <c r="AG80" s="27">
        <v>0</v>
      </c>
      <c r="AH80" s="27" t="s">
        <v>307</v>
      </c>
      <c r="AI80" s="27">
        <v>47</v>
      </c>
      <c r="AJ80" s="27">
        <f t="shared" si="9"/>
        <v>39.5</v>
      </c>
      <c r="AK80" s="27">
        <f t="shared" si="10"/>
        <v>68</v>
      </c>
      <c r="AL80" s="27">
        <f t="shared" si="11"/>
        <v>57</v>
      </c>
      <c r="AM80" s="27">
        <f t="shared" si="12"/>
        <v>52</v>
      </c>
      <c r="AN80" s="27">
        <v>89</v>
      </c>
      <c r="AO80" s="33">
        <v>20.7</v>
      </c>
      <c r="AP80" s="27">
        <v>0</v>
      </c>
      <c r="AQ80" s="27">
        <v>0</v>
      </c>
      <c r="AR80" s="27">
        <v>0</v>
      </c>
      <c r="AS80" s="27">
        <v>0</v>
      </c>
      <c r="AT80" s="27">
        <v>0</v>
      </c>
      <c r="AU80" s="27">
        <v>1</v>
      </c>
      <c r="AV80" s="27">
        <v>0</v>
      </c>
      <c r="AW80" s="27">
        <v>1</v>
      </c>
      <c r="AX80" s="27">
        <v>0</v>
      </c>
      <c r="AY80" s="34" t="s">
        <v>350</v>
      </c>
      <c r="AZ80" s="25" t="s">
        <v>163</v>
      </c>
      <c r="BA80" s="17" t="s">
        <v>61</v>
      </c>
      <c r="BB80" s="150" t="s">
        <v>321</v>
      </c>
      <c r="BC80" s="150" t="s">
        <v>322</v>
      </c>
      <c r="BD80" s="17">
        <v>1</v>
      </c>
      <c r="BE80" s="17">
        <v>7</v>
      </c>
      <c r="BF80" s="17">
        <v>0</v>
      </c>
      <c r="BG80" s="17">
        <v>0</v>
      </c>
      <c r="BH80" s="17">
        <v>1</v>
      </c>
      <c r="BI80" s="17">
        <v>0</v>
      </c>
      <c r="BJ80" s="17"/>
      <c r="BK80" s="17">
        <v>0.8</v>
      </c>
      <c r="BL80" s="150"/>
      <c r="BM80" s="17">
        <v>11</v>
      </c>
      <c r="BN80" s="17"/>
      <c r="BO80" s="17"/>
      <c r="BP80" s="17"/>
      <c r="BQ80" s="17"/>
      <c r="BR80" s="36"/>
      <c r="BS80" s="36"/>
      <c r="BT80" s="17"/>
      <c r="BU80" s="17">
        <v>5.08</v>
      </c>
      <c r="BV80" s="17">
        <v>1.72</v>
      </c>
      <c r="BW80" s="17"/>
      <c r="BX80" s="17">
        <v>39</v>
      </c>
      <c r="BY80" s="17">
        <v>5.22</v>
      </c>
      <c r="BZ80" s="17">
        <v>1.72</v>
      </c>
      <c r="CA80" s="17"/>
      <c r="CB80" s="17">
        <v>51</v>
      </c>
      <c r="CC80" s="17">
        <v>0</v>
      </c>
      <c r="CD80" s="37">
        <f t="shared" si="13"/>
        <v>8.1395348837209114E-2</v>
      </c>
      <c r="CE80" s="17">
        <v>90</v>
      </c>
      <c r="CF80" s="22">
        <f t="shared" si="7"/>
        <v>8.1395348837209114E-2</v>
      </c>
      <c r="CG80" s="22">
        <f t="shared" si="15"/>
        <v>9.1002766526154022E-2</v>
      </c>
      <c r="CH80" s="150"/>
      <c r="CI80" s="37">
        <f t="shared" si="14"/>
        <v>4.5285675460571266E-2</v>
      </c>
      <c r="CJ80" s="37">
        <f t="shared" si="16"/>
        <v>4.5287567392838547E-2</v>
      </c>
    </row>
    <row r="81" spans="1:90" s="35" customFormat="1" x14ac:dyDescent="0.35">
      <c r="A81" s="29" t="s">
        <v>300</v>
      </c>
      <c r="B81" s="183" t="s">
        <v>301</v>
      </c>
      <c r="C81" s="29" t="s">
        <v>52</v>
      </c>
      <c r="D81" s="184" t="s">
        <v>302</v>
      </c>
      <c r="E81" s="184" t="s">
        <v>303</v>
      </c>
      <c r="F81" s="11" t="s">
        <v>1109</v>
      </c>
      <c r="G81" s="27">
        <v>0</v>
      </c>
      <c r="H81" s="27">
        <v>1</v>
      </c>
      <c r="I81" s="27">
        <v>2</v>
      </c>
      <c r="J81" s="11" t="s">
        <v>1106</v>
      </c>
      <c r="K81" s="82">
        <v>1</v>
      </c>
      <c r="L81" s="31" t="s">
        <v>328</v>
      </c>
      <c r="M81" s="31">
        <v>2</v>
      </c>
      <c r="N81" s="31">
        <v>5</v>
      </c>
      <c r="O81" s="27">
        <v>216</v>
      </c>
      <c r="P81" s="27" t="s">
        <v>31</v>
      </c>
      <c r="Q81" s="27">
        <v>5</v>
      </c>
      <c r="R81" s="27">
        <v>1</v>
      </c>
      <c r="S81" s="32">
        <v>0</v>
      </c>
      <c r="T81" s="27">
        <v>1</v>
      </c>
      <c r="U81" s="27">
        <v>0</v>
      </c>
      <c r="V81" s="27">
        <v>0</v>
      </c>
      <c r="W81" s="27">
        <v>0</v>
      </c>
      <c r="X81" s="27">
        <v>0</v>
      </c>
      <c r="Y81" s="27">
        <v>1</v>
      </c>
      <c r="Z81" s="27">
        <v>0</v>
      </c>
      <c r="AA81" s="97">
        <v>1</v>
      </c>
      <c r="AB81" s="27">
        <v>0</v>
      </c>
      <c r="AC81" s="27" t="s">
        <v>329</v>
      </c>
      <c r="AD81" s="11">
        <v>4.3</v>
      </c>
      <c r="AE81" s="27">
        <v>2.9</v>
      </c>
      <c r="AF81" s="27" t="s">
        <v>330</v>
      </c>
      <c r="AG81" s="27">
        <v>0</v>
      </c>
      <c r="AH81" s="27" t="s">
        <v>307</v>
      </c>
      <c r="AI81" s="27">
        <v>47</v>
      </c>
      <c r="AJ81" s="27">
        <f t="shared" si="9"/>
        <v>39.5</v>
      </c>
      <c r="AK81" s="27">
        <f t="shared" si="10"/>
        <v>68</v>
      </c>
      <c r="AL81" s="27">
        <f t="shared" si="11"/>
        <v>57</v>
      </c>
      <c r="AM81" s="27">
        <f t="shared" si="12"/>
        <v>52</v>
      </c>
      <c r="AN81" s="27">
        <v>90</v>
      </c>
      <c r="AO81" s="33">
        <v>20.7</v>
      </c>
      <c r="AP81" s="27">
        <v>0</v>
      </c>
      <c r="AQ81" s="27">
        <v>1</v>
      </c>
      <c r="AR81" s="27">
        <v>0</v>
      </c>
      <c r="AS81" s="27">
        <v>1</v>
      </c>
      <c r="AT81" s="27">
        <v>0</v>
      </c>
      <c r="AU81" s="27">
        <v>0</v>
      </c>
      <c r="AV81" s="27">
        <v>0</v>
      </c>
      <c r="AW81" s="27">
        <v>1</v>
      </c>
      <c r="AX81" s="27">
        <v>1</v>
      </c>
      <c r="AY81" s="34" t="s">
        <v>331</v>
      </c>
      <c r="AZ81" s="25" t="s">
        <v>163</v>
      </c>
      <c r="BA81" s="17" t="s">
        <v>141</v>
      </c>
      <c r="BB81" s="150" t="s">
        <v>309</v>
      </c>
      <c r="BC81" s="150" t="s">
        <v>310</v>
      </c>
      <c r="BD81" s="17">
        <v>8</v>
      </c>
      <c r="BE81" s="17">
        <v>7</v>
      </c>
      <c r="BF81" s="17">
        <v>1</v>
      </c>
      <c r="BG81" s="17">
        <v>1</v>
      </c>
      <c r="BH81" s="17">
        <v>0</v>
      </c>
      <c r="BI81" s="17">
        <v>0</v>
      </c>
      <c r="BJ81" s="17"/>
      <c r="BK81" s="17">
        <v>0.8</v>
      </c>
      <c r="BL81" s="150"/>
      <c r="BM81" s="17">
        <v>11</v>
      </c>
      <c r="BN81" s="17"/>
      <c r="BO81" s="17"/>
      <c r="BP81" s="17"/>
      <c r="BQ81" s="17"/>
      <c r="BR81" s="36"/>
      <c r="BS81" s="36"/>
      <c r="BT81" s="17"/>
      <c r="BU81" s="17">
        <v>6.22</v>
      </c>
      <c r="BV81" s="17">
        <v>0.75</v>
      </c>
      <c r="BW81" s="17"/>
      <c r="BX81" s="17">
        <v>41</v>
      </c>
      <c r="BY81" s="17">
        <v>6.28</v>
      </c>
      <c r="BZ81" s="17">
        <v>0.92</v>
      </c>
      <c r="CA81" s="17"/>
      <c r="CB81" s="17">
        <v>41</v>
      </c>
      <c r="CC81" s="17">
        <v>0</v>
      </c>
      <c r="CD81" s="37">
        <f t="shared" si="13"/>
        <v>7.1486850483403058E-2</v>
      </c>
      <c r="CE81" s="17">
        <v>82</v>
      </c>
      <c r="CF81" s="22">
        <f t="shared" si="7"/>
        <v>7.1486850483403058E-2</v>
      </c>
      <c r="CG81" s="22">
        <f t="shared" si="15"/>
        <v>7.992472858912647E-2</v>
      </c>
      <c r="CH81" s="150"/>
      <c r="CI81" s="37">
        <f t="shared" si="14"/>
        <v>4.881164859629291E-2</v>
      </c>
      <c r="CJ81" s="37">
        <f t="shared" si="16"/>
        <v>4.8813415445290657E-2</v>
      </c>
    </row>
    <row r="82" spans="1:90" s="35" customFormat="1" x14ac:dyDescent="0.35">
      <c r="A82" s="29" t="s">
        <v>300</v>
      </c>
      <c r="B82" s="183" t="s">
        <v>301</v>
      </c>
      <c r="C82" s="29" t="s">
        <v>52</v>
      </c>
      <c r="D82" s="184" t="s">
        <v>302</v>
      </c>
      <c r="E82" s="184" t="s">
        <v>303</v>
      </c>
      <c r="F82" s="11" t="s">
        <v>1109</v>
      </c>
      <c r="G82" s="27">
        <v>0</v>
      </c>
      <c r="H82" s="27">
        <v>1</v>
      </c>
      <c r="I82" s="27">
        <v>2</v>
      </c>
      <c r="J82" s="11" t="s">
        <v>1106</v>
      </c>
      <c r="K82" s="82">
        <v>1</v>
      </c>
      <c r="L82" s="31" t="s">
        <v>328</v>
      </c>
      <c r="M82" s="31">
        <v>2</v>
      </c>
      <c r="N82" s="31">
        <v>5</v>
      </c>
      <c r="O82" s="27">
        <v>216</v>
      </c>
      <c r="P82" s="27" t="s">
        <v>31</v>
      </c>
      <c r="Q82" s="27">
        <v>5</v>
      </c>
      <c r="R82" s="27">
        <v>1</v>
      </c>
      <c r="S82" s="32">
        <v>0</v>
      </c>
      <c r="T82" s="27">
        <v>1</v>
      </c>
      <c r="U82" s="27">
        <v>0</v>
      </c>
      <c r="V82" s="27">
        <v>0</v>
      </c>
      <c r="W82" s="27">
        <v>0</v>
      </c>
      <c r="X82" s="27">
        <v>0</v>
      </c>
      <c r="Y82" s="27">
        <v>1</v>
      </c>
      <c r="Z82" s="27">
        <v>0</v>
      </c>
      <c r="AA82" s="97">
        <v>1</v>
      </c>
      <c r="AB82" s="27">
        <v>0</v>
      </c>
      <c r="AC82" s="27" t="s">
        <v>329</v>
      </c>
      <c r="AD82" s="12">
        <v>4.3</v>
      </c>
      <c r="AE82" s="27">
        <v>2.9</v>
      </c>
      <c r="AF82" s="27" t="s">
        <v>330</v>
      </c>
      <c r="AG82" s="27">
        <v>0</v>
      </c>
      <c r="AH82" s="27" t="s">
        <v>307</v>
      </c>
      <c r="AI82" s="27">
        <v>47</v>
      </c>
      <c r="AJ82" s="27">
        <f t="shared" si="9"/>
        <v>39.5</v>
      </c>
      <c r="AK82" s="27">
        <f t="shared" si="10"/>
        <v>68</v>
      </c>
      <c r="AL82" s="27">
        <f t="shared" si="11"/>
        <v>57</v>
      </c>
      <c r="AM82" s="27">
        <f t="shared" si="12"/>
        <v>52</v>
      </c>
      <c r="AN82" s="27">
        <v>91</v>
      </c>
      <c r="AO82" s="33">
        <v>20.7</v>
      </c>
      <c r="AP82" s="27">
        <v>0</v>
      </c>
      <c r="AQ82" s="27">
        <v>1</v>
      </c>
      <c r="AR82" s="27">
        <v>0</v>
      </c>
      <c r="AS82" s="27">
        <v>1</v>
      </c>
      <c r="AT82" s="27">
        <v>0</v>
      </c>
      <c r="AU82" s="27">
        <v>0</v>
      </c>
      <c r="AV82" s="27">
        <v>0</v>
      </c>
      <c r="AW82" s="27">
        <v>1</v>
      </c>
      <c r="AX82" s="27">
        <v>1</v>
      </c>
      <c r="AY82" s="34" t="s">
        <v>332</v>
      </c>
      <c r="AZ82" s="25" t="s">
        <v>163</v>
      </c>
      <c r="BA82" s="17" t="s">
        <v>141</v>
      </c>
      <c r="BB82" s="150" t="s">
        <v>312</v>
      </c>
      <c r="BC82" s="150" t="s">
        <v>313</v>
      </c>
      <c r="BD82" s="17">
        <v>1</v>
      </c>
      <c r="BE82" s="17">
        <v>7</v>
      </c>
      <c r="BF82" s="17">
        <v>0</v>
      </c>
      <c r="BG82" s="17">
        <v>0</v>
      </c>
      <c r="BH82" s="17">
        <v>1</v>
      </c>
      <c r="BI82" s="17">
        <v>0</v>
      </c>
      <c r="BJ82" s="17"/>
      <c r="BK82" s="17">
        <v>0.8</v>
      </c>
      <c r="BL82" s="150"/>
      <c r="BM82" s="17">
        <v>11</v>
      </c>
      <c r="BN82" s="17"/>
      <c r="BO82" s="17"/>
      <c r="BP82" s="17"/>
      <c r="BQ82" s="17"/>
      <c r="BR82" s="36"/>
      <c r="BS82" s="36"/>
      <c r="BT82" s="17"/>
      <c r="BU82" s="17">
        <v>3.63</v>
      </c>
      <c r="BV82" s="17">
        <v>1.93</v>
      </c>
      <c r="BW82" s="17"/>
      <c r="BX82" s="17">
        <v>41</v>
      </c>
      <c r="BY82" s="17">
        <v>6.05</v>
      </c>
      <c r="BZ82" s="17">
        <v>1.1399999999999999</v>
      </c>
      <c r="CA82" s="17"/>
      <c r="CB82" s="17">
        <v>41</v>
      </c>
      <c r="CC82" s="17">
        <v>1</v>
      </c>
      <c r="CD82" s="37">
        <f t="shared" si="13"/>
        <v>1.5268062832624225</v>
      </c>
      <c r="CE82" s="17">
        <v>82</v>
      </c>
      <c r="CF82" s="22">
        <f t="shared" si="7"/>
        <v>1.5268062832624225</v>
      </c>
      <c r="CG82" s="22">
        <f t="shared" si="15"/>
        <v>1.7070213189242882</v>
      </c>
      <c r="CH82" s="150"/>
      <c r="CI82" s="37">
        <f t="shared" si="14"/>
        <v>6.2994740406156186E-2</v>
      </c>
      <c r="CJ82" s="37">
        <f t="shared" si="16"/>
        <v>6.3800703182517307E-2</v>
      </c>
    </row>
    <row r="83" spans="1:90" s="35" customFormat="1" x14ac:dyDescent="0.35">
      <c r="A83" s="43" t="s">
        <v>300</v>
      </c>
      <c r="B83" s="188" t="s">
        <v>301</v>
      </c>
      <c r="C83" s="43" t="s">
        <v>52</v>
      </c>
      <c r="D83" s="150" t="s">
        <v>302</v>
      </c>
      <c r="E83" s="150" t="s">
        <v>303</v>
      </c>
      <c r="F83" s="12" t="s">
        <v>1109</v>
      </c>
      <c r="G83" s="17">
        <v>0</v>
      </c>
      <c r="H83" s="17">
        <v>1</v>
      </c>
      <c r="I83" s="17">
        <v>2</v>
      </c>
      <c r="J83" s="11" t="s">
        <v>1106</v>
      </c>
      <c r="K83" s="82">
        <v>1</v>
      </c>
      <c r="L83" s="34" t="s">
        <v>328</v>
      </c>
      <c r="M83" s="34">
        <v>2</v>
      </c>
      <c r="N83" s="34">
        <v>5</v>
      </c>
      <c r="O83" s="17">
        <v>216</v>
      </c>
      <c r="P83" s="17" t="s">
        <v>31</v>
      </c>
      <c r="Q83" s="17">
        <v>5</v>
      </c>
      <c r="R83" s="17">
        <v>1</v>
      </c>
      <c r="S83" s="32">
        <v>0</v>
      </c>
      <c r="T83" s="17">
        <v>1</v>
      </c>
      <c r="U83" s="17">
        <v>0</v>
      </c>
      <c r="V83" s="17">
        <v>0</v>
      </c>
      <c r="W83" s="17">
        <v>0</v>
      </c>
      <c r="X83" s="17">
        <v>0</v>
      </c>
      <c r="Y83" s="17">
        <v>1</v>
      </c>
      <c r="Z83" s="17">
        <v>0</v>
      </c>
      <c r="AA83" s="2">
        <v>1</v>
      </c>
      <c r="AB83" s="17">
        <v>0</v>
      </c>
      <c r="AC83" s="17" t="s">
        <v>329</v>
      </c>
      <c r="AD83" s="12">
        <v>4.3</v>
      </c>
      <c r="AE83" s="17">
        <v>2.9</v>
      </c>
      <c r="AF83" s="17" t="s">
        <v>330</v>
      </c>
      <c r="AG83" s="17">
        <v>0</v>
      </c>
      <c r="AH83" s="17" t="s">
        <v>307</v>
      </c>
      <c r="AI83" s="17">
        <v>47</v>
      </c>
      <c r="AJ83" s="27">
        <f t="shared" si="9"/>
        <v>39.5</v>
      </c>
      <c r="AK83" s="27">
        <f t="shared" si="10"/>
        <v>68</v>
      </c>
      <c r="AL83" s="27">
        <f t="shared" si="11"/>
        <v>57</v>
      </c>
      <c r="AM83" s="27">
        <f t="shared" si="12"/>
        <v>52</v>
      </c>
      <c r="AN83" s="27">
        <v>92</v>
      </c>
      <c r="AO83" s="37">
        <v>20.7</v>
      </c>
      <c r="AP83" s="17">
        <v>0</v>
      </c>
      <c r="AQ83" s="17">
        <v>1</v>
      </c>
      <c r="AR83" s="17">
        <v>0</v>
      </c>
      <c r="AS83" s="17">
        <v>1</v>
      </c>
      <c r="AT83" s="17">
        <v>0</v>
      </c>
      <c r="AU83" s="17">
        <v>0</v>
      </c>
      <c r="AV83" s="17">
        <v>0</v>
      </c>
      <c r="AW83" s="17">
        <v>1</v>
      </c>
      <c r="AX83" s="17">
        <v>1</v>
      </c>
      <c r="AY83" s="34" t="s">
        <v>333</v>
      </c>
      <c r="AZ83" s="25" t="s">
        <v>163</v>
      </c>
      <c r="BA83" s="17" t="s">
        <v>141</v>
      </c>
      <c r="BB83" s="150" t="s">
        <v>315</v>
      </c>
      <c r="BC83" s="150" t="s">
        <v>316</v>
      </c>
      <c r="BD83" s="17">
        <v>1</v>
      </c>
      <c r="BE83" s="17">
        <v>7</v>
      </c>
      <c r="BF83" s="17">
        <v>0</v>
      </c>
      <c r="BG83" s="17">
        <v>0</v>
      </c>
      <c r="BH83" s="17">
        <v>1</v>
      </c>
      <c r="BI83" s="17">
        <v>0</v>
      </c>
      <c r="BJ83" s="17"/>
      <c r="BK83" s="17">
        <v>0.8</v>
      </c>
      <c r="BL83" s="150"/>
      <c r="BM83" s="17">
        <v>11</v>
      </c>
      <c r="BN83" s="17"/>
      <c r="BO83" s="17"/>
      <c r="BP83" s="17"/>
      <c r="BQ83" s="17"/>
      <c r="BR83" s="36"/>
      <c r="BS83" s="36"/>
      <c r="BT83" s="17"/>
      <c r="BU83" s="17">
        <v>5.24</v>
      </c>
      <c r="BV83" s="17">
        <v>1.59</v>
      </c>
      <c r="BW83" s="17"/>
      <c r="BX83" s="17">
        <v>41</v>
      </c>
      <c r="BY83" s="17">
        <v>5.34</v>
      </c>
      <c r="BZ83" s="17">
        <v>1.62</v>
      </c>
      <c r="CA83" s="17"/>
      <c r="CB83" s="17">
        <v>41</v>
      </c>
      <c r="CC83" s="17">
        <v>0</v>
      </c>
      <c r="CD83" s="37">
        <f t="shared" si="13"/>
        <v>6.2302575135466144E-2</v>
      </c>
      <c r="CE83" s="17">
        <v>82</v>
      </c>
      <c r="CF83" s="22">
        <f t="shared" si="7"/>
        <v>6.2302575135466144E-2</v>
      </c>
      <c r="CG83" s="22">
        <f t="shared" si="15"/>
        <v>6.9656396588095235E-2</v>
      </c>
      <c r="CH83" s="150"/>
      <c r="CI83" s="37">
        <f t="shared" si="14"/>
        <v>4.880415616383238E-2</v>
      </c>
      <c r="CJ83" s="37">
        <f t="shared" si="16"/>
        <v>4.8805498184185461E-2</v>
      </c>
    </row>
    <row r="84" spans="1:90" s="35" customFormat="1" x14ac:dyDescent="0.35">
      <c r="A84" s="29" t="s">
        <v>300</v>
      </c>
      <c r="B84" s="183" t="s">
        <v>301</v>
      </c>
      <c r="C84" s="29" t="s">
        <v>52</v>
      </c>
      <c r="D84" s="184" t="s">
        <v>302</v>
      </c>
      <c r="E84" s="184" t="s">
        <v>303</v>
      </c>
      <c r="F84" s="12" t="s">
        <v>1109</v>
      </c>
      <c r="G84" s="27">
        <v>0</v>
      </c>
      <c r="H84" s="27">
        <v>1</v>
      </c>
      <c r="I84" s="27">
        <v>2</v>
      </c>
      <c r="J84" s="11" t="s">
        <v>1106</v>
      </c>
      <c r="K84" s="82">
        <v>1</v>
      </c>
      <c r="L84" s="31" t="s">
        <v>328</v>
      </c>
      <c r="M84" s="31">
        <v>2</v>
      </c>
      <c r="N84" s="31">
        <v>5</v>
      </c>
      <c r="O84" s="27">
        <v>216</v>
      </c>
      <c r="P84" s="27" t="s">
        <v>31</v>
      </c>
      <c r="Q84" s="27">
        <v>5</v>
      </c>
      <c r="R84" s="27">
        <v>1</v>
      </c>
      <c r="S84" s="32">
        <v>0</v>
      </c>
      <c r="T84" s="27">
        <v>1</v>
      </c>
      <c r="U84" s="27">
        <v>0</v>
      </c>
      <c r="V84" s="27">
        <v>0</v>
      </c>
      <c r="W84" s="27">
        <v>0</v>
      </c>
      <c r="X84" s="27">
        <v>0</v>
      </c>
      <c r="Y84" s="27">
        <v>1</v>
      </c>
      <c r="Z84" s="27">
        <v>0</v>
      </c>
      <c r="AA84" s="2">
        <v>1</v>
      </c>
      <c r="AB84" s="27">
        <v>0</v>
      </c>
      <c r="AC84" s="27" t="s">
        <v>329</v>
      </c>
      <c r="AD84" s="12">
        <v>4.3</v>
      </c>
      <c r="AE84" s="27">
        <v>2.9</v>
      </c>
      <c r="AF84" s="27" t="s">
        <v>330</v>
      </c>
      <c r="AG84" s="27">
        <v>0</v>
      </c>
      <c r="AH84" s="27" t="s">
        <v>307</v>
      </c>
      <c r="AI84" s="27">
        <v>47</v>
      </c>
      <c r="AJ84" s="27">
        <f t="shared" si="9"/>
        <v>39.5</v>
      </c>
      <c r="AK84" s="27">
        <f t="shared" si="10"/>
        <v>68</v>
      </c>
      <c r="AL84" s="27">
        <f t="shared" si="11"/>
        <v>57</v>
      </c>
      <c r="AM84" s="27">
        <f t="shared" si="12"/>
        <v>52</v>
      </c>
      <c r="AN84" s="27">
        <v>93</v>
      </c>
      <c r="AO84" s="33">
        <v>20.7</v>
      </c>
      <c r="AP84" s="27">
        <v>0</v>
      </c>
      <c r="AQ84" s="27">
        <v>1</v>
      </c>
      <c r="AR84" s="27">
        <v>0</v>
      </c>
      <c r="AS84" s="27">
        <v>1</v>
      </c>
      <c r="AT84" s="27">
        <v>0</v>
      </c>
      <c r="AU84" s="27">
        <v>0</v>
      </c>
      <c r="AV84" s="27">
        <v>0</v>
      </c>
      <c r="AW84" s="27">
        <v>1</v>
      </c>
      <c r="AX84" s="27">
        <v>1</v>
      </c>
      <c r="AY84" s="34" t="s">
        <v>334</v>
      </c>
      <c r="AZ84" s="25" t="s">
        <v>163</v>
      </c>
      <c r="BA84" s="17" t="s">
        <v>141</v>
      </c>
      <c r="BB84" s="150" t="s">
        <v>318</v>
      </c>
      <c r="BC84" s="150" t="s">
        <v>319</v>
      </c>
      <c r="BD84" s="17">
        <v>1</v>
      </c>
      <c r="BE84" s="17">
        <v>7</v>
      </c>
      <c r="BF84" s="17">
        <v>0</v>
      </c>
      <c r="BG84" s="17">
        <v>0</v>
      </c>
      <c r="BH84" s="17">
        <v>1</v>
      </c>
      <c r="BI84" s="17">
        <v>0</v>
      </c>
      <c r="BJ84" s="17"/>
      <c r="BK84" s="17">
        <v>0.8</v>
      </c>
      <c r="BL84" s="150"/>
      <c r="BM84" s="17">
        <v>11</v>
      </c>
      <c r="BN84" s="17"/>
      <c r="BO84" s="17"/>
      <c r="BP84" s="17"/>
      <c r="BQ84" s="17"/>
      <c r="BR84" s="36"/>
      <c r="BS84" s="36"/>
      <c r="BT84" s="17"/>
      <c r="BU84" s="17">
        <v>5.24</v>
      </c>
      <c r="BV84" s="17">
        <v>1.68</v>
      </c>
      <c r="BW84" s="17"/>
      <c r="BX84" s="17">
        <v>41</v>
      </c>
      <c r="BY84" s="17">
        <v>5.59</v>
      </c>
      <c r="BZ84" s="17">
        <v>1.41</v>
      </c>
      <c r="CA84" s="17"/>
      <c r="CB84" s="17">
        <v>41</v>
      </c>
      <c r="CC84" s="17">
        <v>0</v>
      </c>
      <c r="CD84" s="37">
        <f t="shared" si="13"/>
        <v>0.22567732879061986</v>
      </c>
      <c r="CE84" s="17">
        <v>82</v>
      </c>
      <c r="CF84" s="22">
        <f t="shared" si="7"/>
        <v>0.22567732879061986</v>
      </c>
      <c r="CG84" s="22">
        <f t="shared" si="15"/>
        <v>0.25231492407819822</v>
      </c>
      <c r="CH84" s="150"/>
      <c r="CI84" s="37">
        <f t="shared" si="14"/>
        <v>4.9091038150793111E-2</v>
      </c>
      <c r="CJ84" s="37">
        <f t="shared" si="16"/>
        <v>4.9108646675561488E-2</v>
      </c>
    </row>
    <row r="85" spans="1:90" s="35" customFormat="1" x14ac:dyDescent="0.35">
      <c r="A85" s="29" t="s">
        <v>300</v>
      </c>
      <c r="B85" s="183" t="s">
        <v>301</v>
      </c>
      <c r="C85" s="29" t="s">
        <v>52</v>
      </c>
      <c r="D85" s="184" t="s">
        <v>302</v>
      </c>
      <c r="E85" s="184" t="s">
        <v>303</v>
      </c>
      <c r="F85" s="12" t="s">
        <v>1109</v>
      </c>
      <c r="G85" s="27">
        <v>0</v>
      </c>
      <c r="H85" s="27">
        <v>1</v>
      </c>
      <c r="I85" s="27">
        <v>2</v>
      </c>
      <c r="J85" s="11" t="s">
        <v>1106</v>
      </c>
      <c r="K85" s="82">
        <v>1</v>
      </c>
      <c r="L85" s="31" t="s">
        <v>328</v>
      </c>
      <c r="M85" s="31">
        <v>2</v>
      </c>
      <c r="N85" s="31">
        <v>5</v>
      </c>
      <c r="O85" s="27">
        <v>216</v>
      </c>
      <c r="P85" s="27" t="s">
        <v>31</v>
      </c>
      <c r="Q85" s="27">
        <v>5</v>
      </c>
      <c r="R85" s="27">
        <v>1</v>
      </c>
      <c r="S85" s="32">
        <v>0</v>
      </c>
      <c r="T85" s="27">
        <v>1</v>
      </c>
      <c r="U85" s="27">
        <v>0</v>
      </c>
      <c r="V85" s="27">
        <v>0</v>
      </c>
      <c r="W85" s="27">
        <v>0</v>
      </c>
      <c r="X85" s="27">
        <v>0</v>
      </c>
      <c r="Y85" s="27">
        <v>1</v>
      </c>
      <c r="Z85" s="27">
        <v>0</v>
      </c>
      <c r="AA85" s="97">
        <v>1</v>
      </c>
      <c r="AB85" s="27">
        <v>0</v>
      </c>
      <c r="AC85" s="27" t="s">
        <v>329</v>
      </c>
      <c r="AD85" s="11">
        <v>4.3</v>
      </c>
      <c r="AE85" s="27">
        <v>2.9</v>
      </c>
      <c r="AF85" s="27" t="s">
        <v>330</v>
      </c>
      <c r="AG85" s="27">
        <v>0</v>
      </c>
      <c r="AH85" s="27" t="s">
        <v>307</v>
      </c>
      <c r="AI85" s="27">
        <v>47</v>
      </c>
      <c r="AJ85" s="27">
        <f t="shared" si="9"/>
        <v>39.5</v>
      </c>
      <c r="AK85" s="27">
        <f t="shared" si="10"/>
        <v>68</v>
      </c>
      <c r="AL85" s="27">
        <f t="shared" si="11"/>
        <v>57</v>
      </c>
      <c r="AM85" s="27">
        <f t="shared" si="12"/>
        <v>52</v>
      </c>
      <c r="AN85" s="27">
        <v>94</v>
      </c>
      <c r="AO85" s="33">
        <v>20.7</v>
      </c>
      <c r="AP85" s="27">
        <v>0</v>
      </c>
      <c r="AQ85" s="27">
        <v>1</v>
      </c>
      <c r="AR85" s="27">
        <v>0</v>
      </c>
      <c r="AS85" s="27">
        <v>1</v>
      </c>
      <c r="AT85" s="27">
        <v>0</v>
      </c>
      <c r="AU85" s="27">
        <v>0</v>
      </c>
      <c r="AV85" s="27">
        <v>0</v>
      </c>
      <c r="AW85" s="27">
        <v>1</v>
      </c>
      <c r="AX85" s="27">
        <v>1</v>
      </c>
      <c r="AY85" s="34" t="s">
        <v>335</v>
      </c>
      <c r="AZ85" s="25" t="s">
        <v>163</v>
      </c>
      <c r="BA85" s="17" t="s">
        <v>141</v>
      </c>
      <c r="BB85" s="150" t="s">
        <v>321</v>
      </c>
      <c r="BC85" s="150" t="s">
        <v>322</v>
      </c>
      <c r="BD85" s="17">
        <v>1</v>
      </c>
      <c r="BE85" s="17">
        <v>7</v>
      </c>
      <c r="BF85" s="17">
        <v>0</v>
      </c>
      <c r="BG85" s="17">
        <v>0</v>
      </c>
      <c r="BH85" s="17">
        <v>1</v>
      </c>
      <c r="BI85" s="17">
        <v>0</v>
      </c>
      <c r="BJ85" s="17"/>
      <c r="BK85" s="17">
        <v>0.8</v>
      </c>
      <c r="BL85" s="150"/>
      <c r="BM85" s="17">
        <v>11</v>
      </c>
      <c r="BN85" s="17"/>
      <c r="BO85" s="17"/>
      <c r="BP85" s="17"/>
      <c r="BQ85" s="17"/>
      <c r="BR85" s="36"/>
      <c r="BS85" s="36"/>
      <c r="BT85" s="17"/>
      <c r="BU85" s="17">
        <v>4.93</v>
      </c>
      <c r="BV85" s="17">
        <v>1.86</v>
      </c>
      <c r="BW85" s="17"/>
      <c r="BX85" s="17">
        <v>41</v>
      </c>
      <c r="BY85" s="17">
        <v>4.78</v>
      </c>
      <c r="BZ85" s="17">
        <v>1.68</v>
      </c>
      <c r="CA85" s="17"/>
      <c r="CB85" s="17">
        <v>41</v>
      </c>
      <c r="CC85" s="17">
        <v>0</v>
      </c>
      <c r="CD85" s="37">
        <f t="shared" si="13"/>
        <v>-8.4636421133191267E-2</v>
      </c>
      <c r="CE85" s="17">
        <v>82</v>
      </c>
      <c r="CF85" s="22">
        <f t="shared" si="7"/>
        <v>-8.4636421133191267E-2</v>
      </c>
      <c r="CG85" s="22">
        <f t="shared" si="15"/>
        <v>-9.4626395513057723E-2</v>
      </c>
      <c r="CH85" s="150"/>
      <c r="CI85" s="37">
        <f t="shared" si="14"/>
        <v>4.8824166608428261E-2</v>
      </c>
      <c r="CJ85" s="37">
        <f t="shared" si="16"/>
        <v>4.8826643241619255E-2</v>
      </c>
    </row>
    <row r="86" spans="1:90" s="35" customFormat="1" x14ac:dyDescent="0.35">
      <c r="A86" s="29" t="s">
        <v>300</v>
      </c>
      <c r="B86" s="183" t="s">
        <v>301</v>
      </c>
      <c r="C86" s="29" t="s">
        <v>52</v>
      </c>
      <c r="D86" s="184" t="s">
        <v>302</v>
      </c>
      <c r="E86" s="184" t="s">
        <v>303</v>
      </c>
      <c r="F86" s="12" t="s">
        <v>1109</v>
      </c>
      <c r="G86" s="27">
        <v>0</v>
      </c>
      <c r="H86" s="27">
        <v>1</v>
      </c>
      <c r="I86" s="27">
        <v>2</v>
      </c>
      <c r="J86" s="11" t="s">
        <v>1106</v>
      </c>
      <c r="K86" s="82">
        <v>1</v>
      </c>
      <c r="L86" s="31" t="s">
        <v>328</v>
      </c>
      <c r="M86" s="31">
        <v>2</v>
      </c>
      <c r="N86" s="31">
        <v>5</v>
      </c>
      <c r="O86" s="27">
        <v>216</v>
      </c>
      <c r="P86" s="27" t="s">
        <v>31</v>
      </c>
      <c r="Q86" s="27">
        <v>5</v>
      </c>
      <c r="R86" s="27">
        <v>2</v>
      </c>
      <c r="S86" s="32">
        <v>0</v>
      </c>
      <c r="T86" s="27">
        <v>1</v>
      </c>
      <c r="U86" s="27">
        <v>0</v>
      </c>
      <c r="V86" s="27">
        <v>0</v>
      </c>
      <c r="W86" s="27">
        <v>0</v>
      </c>
      <c r="X86" s="27">
        <v>0</v>
      </c>
      <c r="Y86" s="27">
        <v>1</v>
      </c>
      <c r="Z86" s="27">
        <v>0</v>
      </c>
      <c r="AA86" s="2">
        <v>1</v>
      </c>
      <c r="AB86" s="27">
        <v>0</v>
      </c>
      <c r="AC86" s="27" t="s">
        <v>329</v>
      </c>
      <c r="AD86" s="12">
        <v>4.3</v>
      </c>
      <c r="AE86" s="27">
        <v>2.9</v>
      </c>
      <c r="AF86" s="27" t="s">
        <v>330</v>
      </c>
      <c r="AG86" s="27">
        <v>0</v>
      </c>
      <c r="AH86" s="27" t="s">
        <v>307</v>
      </c>
      <c r="AI86" s="27">
        <v>47</v>
      </c>
      <c r="AJ86" s="27">
        <f t="shared" si="9"/>
        <v>39.5</v>
      </c>
      <c r="AK86" s="27">
        <f t="shared" si="10"/>
        <v>68</v>
      </c>
      <c r="AL86" s="27">
        <f t="shared" si="11"/>
        <v>57</v>
      </c>
      <c r="AM86" s="27">
        <f t="shared" si="12"/>
        <v>52</v>
      </c>
      <c r="AN86" s="27">
        <v>95</v>
      </c>
      <c r="AO86" s="33">
        <v>20.7</v>
      </c>
      <c r="AP86" s="27">
        <v>0</v>
      </c>
      <c r="AQ86" s="27">
        <v>0</v>
      </c>
      <c r="AR86" s="27">
        <v>0</v>
      </c>
      <c r="AS86" s="27">
        <v>0</v>
      </c>
      <c r="AT86" s="27">
        <v>0</v>
      </c>
      <c r="AU86" s="27">
        <v>1</v>
      </c>
      <c r="AV86" s="27">
        <v>0</v>
      </c>
      <c r="AW86" s="27">
        <v>1</v>
      </c>
      <c r="AX86" s="27">
        <v>0</v>
      </c>
      <c r="AY86" s="34" t="s">
        <v>336</v>
      </c>
      <c r="AZ86" s="25" t="s">
        <v>163</v>
      </c>
      <c r="BA86" s="17" t="s">
        <v>61</v>
      </c>
      <c r="BB86" s="150" t="s">
        <v>309</v>
      </c>
      <c r="BC86" s="150" t="s">
        <v>310</v>
      </c>
      <c r="BD86" s="17">
        <v>8</v>
      </c>
      <c r="BE86" s="17">
        <v>7</v>
      </c>
      <c r="BF86" s="17">
        <v>1</v>
      </c>
      <c r="BG86" s="17">
        <v>1</v>
      </c>
      <c r="BH86" s="17">
        <v>0</v>
      </c>
      <c r="BI86" s="17">
        <v>0</v>
      </c>
      <c r="BJ86" s="17"/>
      <c r="BK86" s="17">
        <v>0.8</v>
      </c>
      <c r="BL86" s="150"/>
      <c r="BM86" s="17">
        <v>11</v>
      </c>
      <c r="BN86" s="17"/>
      <c r="BO86" s="17"/>
      <c r="BP86" s="17"/>
      <c r="BQ86" s="17"/>
      <c r="BR86" s="36"/>
      <c r="BS86" s="36"/>
      <c r="BT86" s="17"/>
      <c r="BU86" s="17">
        <v>6.21</v>
      </c>
      <c r="BV86" s="17">
        <v>0.81</v>
      </c>
      <c r="BW86" s="17"/>
      <c r="BX86" s="17">
        <v>39</v>
      </c>
      <c r="BY86" s="17">
        <v>6.28</v>
      </c>
      <c r="BZ86" s="17">
        <v>0.92</v>
      </c>
      <c r="CA86" s="17"/>
      <c r="CB86" s="17">
        <v>41</v>
      </c>
      <c r="CC86" s="17">
        <v>0</v>
      </c>
      <c r="CD86" s="37">
        <f t="shared" si="13"/>
        <v>8.0630942691584939E-2</v>
      </c>
      <c r="CE86" s="17">
        <v>80</v>
      </c>
      <c r="CF86" s="22">
        <f t="shared" si="7"/>
        <v>8.0630942691584939E-2</v>
      </c>
      <c r="CG86" s="22">
        <f t="shared" si="15"/>
        <v>9.0148134474136901E-2</v>
      </c>
      <c r="CH86" s="150"/>
      <c r="CI86" s="37">
        <f t="shared" si="14"/>
        <v>5.0071902974210498E-2</v>
      </c>
      <c r="CJ86" s="37">
        <f t="shared" si="16"/>
        <v>5.0073159678254188E-2</v>
      </c>
    </row>
    <row r="87" spans="1:90" s="35" customFormat="1" x14ac:dyDescent="0.35">
      <c r="A87" s="29" t="s">
        <v>300</v>
      </c>
      <c r="B87" s="185" t="s">
        <v>301</v>
      </c>
      <c r="C87" s="38" t="s">
        <v>52</v>
      </c>
      <c r="D87" s="186" t="s">
        <v>302</v>
      </c>
      <c r="E87" s="186" t="s">
        <v>303</v>
      </c>
      <c r="F87" s="18" t="s">
        <v>1109</v>
      </c>
      <c r="G87" s="28">
        <v>0</v>
      </c>
      <c r="H87" s="28">
        <v>1</v>
      </c>
      <c r="I87" s="28">
        <v>2</v>
      </c>
      <c r="J87" s="18" t="s">
        <v>1106</v>
      </c>
      <c r="K87" s="82">
        <v>1</v>
      </c>
      <c r="L87" s="31" t="s">
        <v>328</v>
      </c>
      <c r="M87" s="31">
        <v>2</v>
      </c>
      <c r="N87" s="31">
        <v>5</v>
      </c>
      <c r="O87" s="28">
        <v>216</v>
      </c>
      <c r="P87" s="28" t="s">
        <v>31</v>
      </c>
      <c r="Q87" s="28">
        <v>5</v>
      </c>
      <c r="R87" s="28">
        <v>2</v>
      </c>
      <c r="S87" s="41">
        <v>0</v>
      </c>
      <c r="T87" s="28">
        <v>1</v>
      </c>
      <c r="U87" s="28">
        <v>0</v>
      </c>
      <c r="V87" s="28">
        <v>0</v>
      </c>
      <c r="W87" s="28">
        <v>0</v>
      </c>
      <c r="X87" s="28">
        <v>0</v>
      </c>
      <c r="Y87" s="28">
        <v>1</v>
      </c>
      <c r="Z87" s="28">
        <v>0</v>
      </c>
      <c r="AA87" s="92">
        <v>1</v>
      </c>
      <c r="AB87" s="27">
        <v>0</v>
      </c>
      <c r="AC87" s="27" t="s">
        <v>329</v>
      </c>
      <c r="AD87" s="11">
        <v>4.3</v>
      </c>
      <c r="AE87" s="27">
        <v>2.9</v>
      </c>
      <c r="AF87" s="28" t="s">
        <v>330</v>
      </c>
      <c r="AG87" s="28">
        <v>0</v>
      </c>
      <c r="AH87" s="28" t="s">
        <v>307</v>
      </c>
      <c r="AI87" s="28">
        <v>47</v>
      </c>
      <c r="AJ87" s="27">
        <f t="shared" si="9"/>
        <v>39.5</v>
      </c>
      <c r="AK87" s="27">
        <f t="shared" si="10"/>
        <v>68</v>
      </c>
      <c r="AL87" s="27">
        <f t="shared" si="11"/>
        <v>57</v>
      </c>
      <c r="AM87" s="27">
        <f t="shared" si="12"/>
        <v>52</v>
      </c>
      <c r="AN87" s="27">
        <v>96</v>
      </c>
      <c r="AO87" s="42">
        <v>20.7</v>
      </c>
      <c r="AP87" s="27">
        <v>0</v>
      </c>
      <c r="AQ87" s="28">
        <v>0</v>
      </c>
      <c r="AR87" s="27">
        <v>0</v>
      </c>
      <c r="AS87" s="27">
        <v>0</v>
      </c>
      <c r="AT87" s="27">
        <v>0</v>
      </c>
      <c r="AU87" s="27">
        <v>1</v>
      </c>
      <c r="AV87" s="27">
        <v>0</v>
      </c>
      <c r="AW87" s="27">
        <v>1</v>
      </c>
      <c r="AX87" s="27">
        <v>0</v>
      </c>
      <c r="AY87" s="34" t="s">
        <v>337</v>
      </c>
      <c r="AZ87" s="25" t="s">
        <v>163</v>
      </c>
      <c r="BA87" s="17" t="s">
        <v>61</v>
      </c>
      <c r="BB87" s="150" t="s">
        <v>312</v>
      </c>
      <c r="BC87" s="150" t="s">
        <v>313</v>
      </c>
      <c r="BD87" s="17">
        <v>1</v>
      </c>
      <c r="BE87" s="17">
        <v>7</v>
      </c>
      <c r="BF87" s="17">
        <v>0</v>
      </c>
      <c r="BG87" s="17">
        <v>0</v>
      </c>
      <c r="BH87" s="17">
        <v>1</v>
      </c>
      <c r="BI87" s="17">
        <v>0</v>
      </c>
      <c r="BJ87" s="17"/>
      <c r="BK87" s="17">
        <v>0.8</v>
      </c>
      <c r="BL87" s="150"/>
      <c r="BM87" s="17">
        <v>11</v>
      </c>
      <c r="BN87" s="17"/>
      <c r="BO87" s="17"/>
      <c r="BP87" s="17"/>
      <c r="BQ87" s="17"/>
      <c r="BR87" s="36"/>
      <c r="BS87" s="36"/>
      <c r="BT87" s="17"/>
      <c r="BU87" s="17">
        <v>4.49</v>
      </c>
      <c r="BV87" s="17">
        <v>1.89</v>
      </c>
      <c r="BW87" s="17"/>
      <c r="BX87" s="17">
        <v>39</v>
      </c>
      <c r="BY87" s="17">
        <v>6.05</v>
      </c>
      <c r="BZ87" s="17">
        <v>1.1399999999999999</v>
      </c>
      <c r="CA87" s="17"/>
      <c r="CB87" s="17">
        <v>41</v>
      </c>
      <c r="CC87" s="17">
        <v>1</v>
      </c>
      <c r="CD87" s="37">
        <f t="shared" si="13"/>
        <v>1.0055698218881848</v>
      </c>
      <c r="CE87" s="17">
        <v>80</v>
      </c>
      <c r="CF87" s="22">
        <f t="shared" si="7"/>
        <v>1.0055698218881848</v>
      </c>
      <c r="CG87" s="22">
        <f t="shared" si="15"/>
        <v>1.1242612389321687</v>
      </c>
      <c r="CH87" s="150"/>
      <c r="CI87" s="37">
        <f t="shared" si="14"/>
        <v>5.635108621029114E-2</v>
      </c>
      <c r="CJ87" s="37">
        <f t="shared" si="16"/>
        <v>5.6546544457718763E-2</v>
      </c>
    </row>
    <row r="88" spans="1:90" s="35" customFormat="1" x14ac:dyDescent="0.35">
      <c r="A88" s="50" t="s">
        <v>351</v>
      </c>
      <c r="B88" s="189" t="s">
        <v>352</v>
      </c>
      <c r="C88" s="50" t="s">
        <v>353</v>
      </c>
      <c r="D88" s="190" t="s">
        <v>354</v>
      </c>
      <c r="E88" s="190" t="s">
        <v>355</v>
      </c>
      <c r="F88" s="20" t="s">
        <v>1109</v>
      </c>
      <c r="G88" s="26">
        <v>0</v>
      </c>
      <c r="H88" s="26">
        <v>1</v>
      </c>
      <c r="I88" s="26">
        <v>1</v>
      </c>
      <c r="J88" s="20" t="s">
        <v>1111</v>
      </c>
      <c r="K88" s="84">
        <v>0</v>
      </c>
      <c r="L88" s="45" t="s">
        <v>356</v>
      </c>
      <c r="M88" s="45">
        <v>1</v>
      </c>
      <c r="N88" s="45">
        <v>41</v>
      </c>
      <c r="O88" s="26">
        <v>150</v>
      </c>
      <c r="P88" s="26" t="s">
        <v>31</v>
      </c>
      <c r="Q88" s="26">
        <v>3</v>
      </c>
      <c r="R88" s="26">
        <v>1</v>
      </c>
      <c r="S88" s="46">
        <v>0</v>
      </c>
      <c r="T88" s="26">
        <v>1</v>
      </c>
      <c r="U88" s="26">
        <v>0</v>
      </c>
      <c r="V88" s="26">
        <v>0</v>
      </c>
      <c r="W88" s="26">
        <v>0</v>
      </c>
      <c r="X88" s="26">
        <v>0</v>
      </c>
      <c r="Y88" s="26">
        <v>1</v>
      </c>
      <c r="Z88" s="26">
        <v>0</v>
      </c>
      <c r="AA88" s="109">
        <v>0</v>
      </c>
      <c r="AB88" s="26">
        <v>0</v>
      </c>
      <c r="AC88" s="26" t="s">
        <v>56</v>
      </c>
      <c r="AD88" s="20">
        <v>1.9</v>
      </c>
      <c r="AE88" s="26">
        <v>3.1</v>
      </c>
      <c r="AF88" s="26" t="s">
        <v>58</v>
      </c>
      <c r="AG88" s="26">
        <v>0</v>
      </c>
      <c r="AH88" s="26" t="s">
        <v>357</v>
      </c>
      <c r="AI88" s="26">
        <v>93</v>
      </c>
      <c r="AJ88" s="26">
        <v>68</v>
      </c>
      <c r="AK88" s="26">
        <v>47</v>
      </c>
      <c r="AL88" s="26">
        <v>64</v>
      </c>
      <c r="AM88" s="26">
        <v>49</v>
      </c>
      <c r="AN88" s="26">
        <v>29</v>
      </c>
      <c r="AO88" s="47">
        <v>36.409999999999997</v>
      </c>
      <c r="AP88" s="26">
        <v>1</v>
      </c>
      <c r="AQ88" s="26">
        <v>1</v>
      </c>
      <c r="AR88" s="26">
        <v>0</v>
      </c>
      <c r="AS88" s="26">
        <v>1</v>
      </c>
      <c r="AT88" s="26">
        <v>0</v>
      </c>
      <c r="AU88" s="26">
        <v>0</v>
      </c>
      <c r="AV88" s="26">
        <v>0</v>
      </c>
      <c r="AW88" s="26">
        <v>1</v>
      </c>
      <c r="AX88" s="26">
        <v>1</v>
      </c>
      <c r="AY88" s="34" t="s">
        <v>358</v>
      </c>
      <c r="AZ88" s="25" t="s">
        <v>359</v>
      </c>
      <c r="BA88" s="17" t="s">
        <v>141</v>
      </c>
      <c r="BB88" s="150" t="s">
        <v>360</v>
      </c>
      <c r="BC88" s="150"/>
      <c r="BD88" s="17" t="s">
        <v>33</v>
      </c>
      <c r="BE88" s="17">
        <v>10</v>
      </c>
      <c r="BF88" s="17">
        <v>1</v>
      </c>
      <c r="BG88" s="17">
        <v>1</v>
      </c>
      <c r="BH88" s="17">
        <v>0</v>
      </c>
      <c r="BI88" s="17">
        <v>0</v>
      </c>
      <c r="BJ88" s="17">
        <v>0.871</v>
      </c>
      <c r="BK88" s="17">
        <v>0.871</v>
      </c>
      <c r="BL88" s="150" t="s">
        <v>97</v>
      </c>
      <c r="BM88" s="17">
        <v>44</v>
      </c>
      <c r="BN88" s="17"/>
      <c r="BO88" s="17"/>
      <c r="BP88" s="17"/>
      <c r="BQ88" s="17"/>
      <c r="BR88" s="36"/>
      <c r="BS88" s="36"/>
      <c r="BT88" s="17"/>
      <c r="BU88" s="17">
        <v>7.04</v>
      </c>
      <c r="BV88" s="17">
        <v>0.64</v>
      </c>
      <c r="BW88" s="17"/>
      <c r="BX88" s="17">
        <v>50</v>
      </c>
      <c r="BY88" s="17">
        <v>7.55</v>
      </c>
      <c r="BZ88" s="17">
        <v>1.07</v>
      </c>
      <c r="CA88" s="17"/>
      <c r="CB88" s="17">
        <v>50</v>
      </c>
      <c r="CC88" s="17">
        <v>1</v>
      </c>
      <c r="CD88" s="37">
        <f t="shared" si="13"/>
        <v>0.57848194767215211</v>
      </c>
      <c r="CE88" s="17">
        <v>100</v>
      </c>
      <c r="CF88" s="22">
        <f t="shared" si="7"/>
        <v>0.57848194767215211</v>
      </c>
      <c r="CG88" s="22">
        <f t="shared" si="15"/>
        <v>0.61984161876770028</v>
      </c>
      <c r="CH88" s="150"/>
      <c r="CI88" s="37">
        <f t="shared" si="14"/>
        <v>4.1673206818912831E-2</v>
      </c>
      <c r="CJ88" s="37">
        <f t="shared" si="16"/>
        <v>4.0238044381881388E-2</v>
      </c>
    </row>
    <row r="89" spans="1:90" s="35" customFormat="1" x14ac:dyDescent="0.35">
      <c r="A89" s="43" t="s">
        <v>1036</v>
      </c>
      <c r="B89" s="188" t="s">
        <v>1037</v>
      </c>
      <c r="C89" s="43" t="s">
        <v>102</v>
      </c>
      <c r="D89" s="150" t="s">
        <v>1038</v>
      </c>
      <c r="E89" s="150" t="s">
        <v>1039</v>
      </c>
      <c r="F89" s="12" t="s">
        <v>1109</v>
      </c>
      <c r="G89" s="17">
        <v>1</v>
      </c>
      <c r="H89" s="17">
        <v>1</v>
      </c>
      <c r="I89" s="17">
        <v>5</v>
      </c>
      <c r="J89" s="11" t="s">
        <v>1106</v>
      </c>
      <c r="K89" s="82">
        <v>1</v>
      </c>
      <c r="L89" s="31" t="s">
        <v>1040</v>
      </c>
      <c r="M89" s="31">
        <v>3</v>
      </c>
      <c r="N89" s="31">
        <v>15</v>
      </c>
      <c r="O89" s="27">
        <v>214</v>
      </c>
      <c r="P89" s="27" t="s">
        <v>218</v>
      </c>
      <c r="Q89" s="27">
        <v>2</v>
      </c>
      <c r="R89" s="27">
        <v>1</v>
      </c>
      <c r="S89" s="32">
        <v>0</v>
      </c>
      <c r="T89" s="27">
        <v>0</v>
      </c>
      <c r="U89" s="27">
        <v>0</v>
      </c>
      <c r="V89" s="27">
        <v>0</v>
      </c>
      <c r="W89" s="27">
        <v>1</v>
      </c>
      <c r="X89" s="27">
        <v>0</v>
      </c>
      <c r="Y89" s="27">
        <v>0</v>
      </c>
      <c r="Z89" s="27">
        <v>1</v>
      </c>
      <c r="AA89" s="27">
        <v>1</v>
      </c>
      <c r="AB89" s="27">
        <v>0</v>
      </c>
      <c r="AC89" s="27" t="s">
        <v>999</v>
      </c>
      <c r="AD89" s="11">
        <v>4.4000000000000004</v>
      </c>
      <c r="AE89" s="27">
        <v>2.6</v>
      </c>
      <c r="AF89" s="27" t="s">
        <v>58</v>
      </c>
      <c r="AG89" s="27">
        <v>0</v>
      </c>
      <c r="AH89" s="27" t="s">
        <v>33</v>
      </c>
      <c r="AI89" s="27">
        <v>50</v>
      </c>
      <c r="AJ89" s="27">
        <v>50</v>
      </c>
      <c r="AK89" s="27">
        <v>50</v>
      </c>
      <c r="AL89" s="27">
        <v>50</v>
      </c>
      <c r="AM89" s="27">
        <v>50</v>
      </c>
      <c r="AN89" s="27">
        <v>50</v>
      </c>
      <c r="AO89" s="33">
        <v>29.5</v>
      </c>
      <c r="AP89" s="27">
        <v>1</v>
      </c>
      <c r="AQ89" s="27">
        <v>0</v>
      </c>
      <c r="AR89" s="27">
        <v>1</v>
      </c>
      <c r="AS89" s="27">
        <v>0</v>
      </c>
      <c r="AT89" s="27">
        <v>0</v>
      </c>
      <c r="AU89" s="27">
        <v>0</v>
      </c>
      <c r="AV89" s="27">
        <v>0</v>
      </c>
      <c r="AW89" s="27">
        <v>1</v>
      </c>
      <c r="AX89" s="27">
        <v>1</v>
      </c>
      <c r="AY89" s="34" t="s">
        <v>1041</v>
      </c>
      <c r="AZ89" s="25" t="s">
        <v>1042</v>
      </c>
      <c r="BA89" s="17"/>
      <c r="BB89" s="150" t="s">
        <v>1043</v>
      </c>
      <c r="BC89" s="150" t="s">
        <v>1044</v>
      </c>
      <c r="BD89" s="17"/>
      <c r="BE89" s="17"/>
      <c r="BF89" s="17">
        <v>0</v>
      </c>
      <c r="BG89" s="17">
        <v>0</v>
      </c>
      <c r="BH89" s="17">
        <v>0</v>
      </c>
      <c r="BI89" s="17">
        <v>1</v>
      </c>
      <c r="BJ89" s="17"/>
      <c r="BK89" s="17">
        <v>0.8</v>
      </c>
      <c r="BL89" s="150"/>
      <c r="BM89" s="17" t="s">
        <v>1045</v>
      </c>
      <c r="BN89" s="17"/>
      <c r="BO89" s="17"/>
      <c r="BP89" s="17"/>
      <c r="BQ89" s="36"/>
      <c r="BR89" s="36"/>
      <c r="BS89" s="17"/>
      <c r="BT89" s="17"/>
      <c r="BU89" s="150">
        <f xml:space="preserve"> (16.444+14.4)/2</f>
        <v>15.422000000000001</v>
      </c>
      <c r="BV89" s="22">
        <f>(BW89*(SQRT(BX89-1)))</f>
        <v>27.962263011959529</v>
      </c>
      <c r="BW89" s="17">
        <f>(3.84+3.991)/2</f>
        <v>3.9154999999999998</v>
      </c>
      <c r="BX89" s="17">
        <v>52</v>
      </c>
      <c r="BY89" s="17">
        <f xml:space="preserve"> (18.24+20.143)/2</f>
        <v>19.191499999999998</v>
      </c>
      <c r="BZ89" s="22">
        <f>(CA89*(SQRT(CB89-1)))</f>
        <v>27.986289000151483</v>
      </c>
      <c r="CA89" s="17">
        <f>(3.991+3.771)/2</f>
        <v>3.8810000000000002</v>
      </c>
      <c r="CB89" s="17">
        <v>53</v>
      </c>
      <c r="CC89" s="17">
        <v>1</v>
      </c>
      <c r="CD89" s="37">
        <f t="shared" si="13"/>
        <v>0.13474822139566603</v>
      </c>
      <c r="CE89" s="17">
        <v>105</v>
      </c>
      <c r="CF89" s="22">
        <f t="shared" si="7"/>
        <v>0.13474822139566603</v>
      </c>
      <c r="CG89" s="22">
        <f t="shared" si="15"/>
        <v>0.15065309144395042</v>
      </c>
      <c r="CH89" s="22"/>
      <c r="CI89" s="37">
        <f t="shared" si="14"/>
        <v>3.8185156059877282E-2</v>
      </c>
      <c r="CJ89" s="37">
        <f t="shared" si="16"/>
        <v>3.8112703854109149E-2</v>
      </c>
      <c r="CK89" s="10"/>
      <c r="CL89" s="10"/>
    </row>
    <row r="90" spans="1:90" s="35" customFormat="1" x14ac:dyDescent="0.35">
      <c r="A90" s="29" t="s">
        <v>1036</v>
      </c>
      <c r="B90" s="183" t="s">
        <v>1037</v>
      </c>
      <c r="C90" s="29" t="s">
        <v>102</v>
      </c>
      <c r="D90" s="184" t="s">
        <v>1038</v>
      </c>
      <c r="E90" s="184" t="s">
        <v>1039</v>
      </c>
      <c r="F90" s="12" t="s">
        <v>1109</v>
      </c>
      <c r="G90" s="27">
        <v>1</v>
      </c>
      <c r="H90" s="27">
        <v>1</v>
      </c>
      <c r="I90" s="27">
        <v>5</v>
      </c>
      <c r="J90" s="11" t="s">
        <v>1106</v>
      </c>
      <c r="K90" s="82">
        <v>1</v>
      </c>
      <c r="L90" s="40" t="s">
        <v>1040</v>
      </c>
      <c r="M90" s="40">
        <v>3</v>
      </c>
      <c r="N90" s="40">
        <v>15</v>
      </c>
      <c r="O90" s="28">
        <v>214</v>
      </c>
      <c r="P90" s="28" t="s">
        <v>218</v>
      </c>
      <c r="Q90" s="28">
        <v>2</v>
      </c>
      <c r="R90" s="28">
        <v>4</v>
      </c>
      <c r="S90" s="41">
        <v>0</v>
      </c>
      <c r="T90" s="28">
        <v>0</v>
      </c>
      <c r="U90" s="28">
        <v>0</v>
      </c>
      <c r="V90" s="28">
        <v>0</v>
      </c>
      <c r="W90" s="28">
        <v>1</v>
      </c>
      <c r="X90" s="28">
        <v>0</v>
      </c>
      <c r="Y90" s="28">
        <v>0</v>
      </c>
      <c r="Z90" s="28">
        <v>1</v>
      </c>
      <c r="AA90" s="28">
        <v>1</v>
      </c>
      <c r="AB90" s="28">
        <v>0</v>
      </c>
      <c r="AC90" s="28" t="s">
        <v>1046</v>
      </c>
      <c r="AD90" s="18">
        <v>2.7</v>
      </c>
      <c r="AE90" s="28">
        <v>2.8</v>
      </c>
      <c r="AF90" s="28" t="s">
        <v>58</v>
      </c>
      <c r="AG90" s="28">
        <v>0</v>
      </c>
      <c r="AH90" s="28" t="s">
        <v>33</v>
      </c>
      <c r="AI90" s="28">
        <v>50</v>
      </c>
      <c r="AJ90" s="28">
        <v>50</v>
      </c>
      <c r="AK90" s="28">
        <v>50</v>
      </c>
      <c r="AL90" s="28">
        <v>50</v>
      </c>
      <c r="AM90" s="28">
        <v>50</v>
      </c>
      <c r="AN90" s="28">
        <v>50</v>
      </c>
      <c r="AO90" s="42">
        <v>29.5</v>
      </c>
      <c r="AP90" s="28">
        <v>1</v>
      </c>
      <c r="AQ90" s="28">
        <v>0</v>
      </c>
      <c r="AR90" s="28">
        <v>1</v>
      </c>
      <c r="AS90" s="28">
        <v>0</v>
      </c>
      <c r="AT90" s="28">
        <v>0</v>
      </c>
      <c r="AU90" s="28">
        <v>0</v>
      </c>
      <c r="AV90" s="28">
        <v>0</v>
      </c>
      <c r="AW90" s="28">
        <v>1</v>
      </c>
      <c r="AX90" s="28">
        <v>1</v>
      </c>
      <c r="AY90" s="34" t="s">
        <v>1047</v>
      </c>
      <c r="AZ90" s="25" t="s">
        <v>1042</v>
      </c>
      <c r="BA90" s="17"/>
      <c r="BB90" s="150" t="s">
        <v>1043</v>
      </c>
      <c r="BC90" s="150" t="s">
        <v>1044</v>
      </c>
      <c r="BD90" s="17"/>
      <c r="BE90" s="17"/>
      <c r="BF90" s="17">
        <v>0</v>
      </c>
      <c r="BG90" s="17">
        <v>0</v>
      </c>
      <c r="BH90" s="17">
        <v>0</v>
      </c>
      <c r="BI90" s="17">
        <v>1</v>
      </c>
      <c r="BJ90" s="17"/>
      <c r="BK90" s="17">
        <v>0.8</v>
      </c>
      <c r="BL90" s="150"/>
      <c r="BM90" s="17" t="s">
        <v>1048</v>
      </c>
      <c r="BN90" s="17"/>
      <c r="BO90" s="17"/>
      <c r="BP90" s="17"/>
      <c r="BQ90" s="17"/>
      <c r="BR90" s="36"/>
      <c r="BS90" s="36"/>
      <c r="BT90" s="17"/>
      <c r="BU90" s="17">
        <f>(55.75+47.594)/2</f>
        <v>51.671999999999997</v>
      </c>
      <c r="BV90" s="22">
        <f>(BW90*(SQRT(BX90-1)))</f>
        <v>28.158406240410699</v>
      </c>
      <c r="BW90" s="17">
        <f>(3.705+4.2594)/2</f>
        <v>3.9822000000000002</v>
      </c>
      <c r="BX90" s="17">
        <f>(29+22)</f>
        <v>51</v>
      </c>
      <c r="BY90" s="17">
        <f>(54.042+67.522)/2</f>
        <v>60.782000000000004</v>
      </c>
      <c r="BZ90" s="22">
        <f>(CA90*(SQRT(CB90-1)))</f>
        <v>27.987236251548669</v>
      </c>
      <c r="CA90" s="17">
        <f>(3.643+3.771)/2</f>
        <v>3.7069999999999999</v>
      </c>
      <c r="CB90" s="17">
        <f>(30+28)</f>
        <v>58</v>
      </c>
      <c r="CC90" s="17">
        <v>1</v>
      </c>
      <c r="CD90" s="37">
        <f t="shared" si="13"/>
        <v>0.32457639571915653</v>
      </c>
      <c r="CE90" s="17">
        <v>109</v>
      </c>
      <c r="CF90" s="22">
        <f t="shared" si="7"/>
        <v>0.32457639571915653</v>
      </c>
      <c r="CG90" s="22">
        <f t="shared" si="15"/>
        <v>0.36288744235995291</v>
      </c>
      <c r="CH90" s="22"/>
      <c r="CI90" s="37">
        <f t="shared" ref="CI90:CI121" si="17">((BX90+CB90)/(BX90*CB90))+((CF90^2)/(2*(BX90+CB90)))</f>
        <v>3.7332478579058623E-2</v>
      </c>
      <c r="CJ90" s="37">
        <f t="shared" si="16"/>
        <v>3.6930012199638103E-2</v>
      </c>
    </row>
    <row r="91" spans="1:90" s="39" customFormat="1" x14ac:dyDescent="0.35">
      <c r="A91" s="38" t="s">
        <v>1036</v>
      </c>
      <c r="B91" s="185" t="s">
        <v>1037</v>
      </c>
      <c r="C91" s="38" t="s">
        <v>102</v>
      </c>
      <c r="D91" s="186" t="s">
        <v>1038</v>
      </c>
      <c r="E91" s="186" t="s">
        <v>1039</v>
      </c>
      <c r="F91" s="18" t="s">
        <v>1109</v>
      </c>
      <c r="G91" s="28">
        <v>1</v>
      </c>
      <c r="H91" s="28">
        <v>1</v>
      </c>
      <c r="I91" s="28">
        <v>5</v>
      </c>
      <c r="J91" s="18" t="s">
        <v>1106</v>
      </c>
      <c r="K91" s="83">
        <v>1</v>
      </c>
      <c r="L91" s="40" t="s">
        <v>1049</v>
      </c>
      <c r="M91" s="40">
        <v>5</v>
      </c>
      <c r="N91" s="40">
        <v>17</v>
      </c>
      <c r="O91" s="28">
        <v>158</v>
      </c>
      <c r="P91" s="28" t="s">
        <v>31</v>
      </c>
      <c r="Q91" s="28">
        <v>2</v>
      </c>
      <c r="R91" s="28">
        <v>1</v>
      </c>
      <c r="S91" s="46">
        <v>0</v>
      </c>
      <c r="T91" s="28">
        <v>0</v>
      </c>
      <c r="U91" s="28">
        <v>0</v>
      </c>
      <c r="V91" s="28">
        <v>1</v>
      </c>
      <c r="W91" s="28">
        <v>0</v>
      </c>
      <c r="X91" s="28">
        <v>1</v>
      </c>
      <c r="Y91" s="28">
        <v>0</v>
      </c>
      <c r="Z91" s="28">
        <v>0</v>
      </c>
      <c r="AA91" s="28">
        <v>0</v>
      </c>
      <c r="AB91" s="28">
        <v>0</v>
      </c>
      <c r="AC91" s="28" t="s">
        <v>1050</v>
      </c>
      <c r="AD91" s="18">
        <v>3.9</v>
      </c>
      <c r="AE91" s="28">
        <v>2.4</v>
      </c>
      <c r="AF91" s="28" t="s">
        <v>1051</v>
      </c>
      <c r="AG91" s="28">
        <v>1</v>
      </c>
      <c r="AH91" s="28" t="s">
        <v>35</v>
      </c>
      <c r="AI91" s="28">
        <v>46</v>
      </c>
      <c r="AJ91" s="26">
        <v>40</v>
      </c>
      <c r="AK91" s="26">
        <v>60</v>
      </c>
      <c r="AL91" s="26">
        <v>62</v>
      </c>
      <c r="AM91" s="26">
        <v>50</v>
      </c>
      <c r="AN91" s="26">
        <v>68</v>
      </c>
      <c r="AO91" s="42">
        <v>36.83</v>
      </c>
      <c r="AP91" s="28">
        <v>1</v>
      </c>
      <c r="AQ91" s="28">
        <v>0</v>
      </c>
      <c r="AR91" s="28">
        <v>0</v>
      </c>
      <c r="AS91" s="28">
        <v>0</v>
      </c>
      <c r="AT91" s="28">
        <v>0</v>
      </c>
      <c r="AU91" s="28">
        <v>1</v>
      </c>
      <c r="AV91" s="28">
        <v>0</v>
      </c>
      <c r="AW91" s="28">
        <v>1</v>
      </c>
      <c r="AX91" s="28">
        <v>1</v>
      </c>
      <c r="AY91" s="40" t="s">
        <v>1052</v>
      </c>
      <c r="AZ91" s="66" t="s">
        <v>1053</v>
      </c>
      <c r="BA91" s="28" t="s">
        <v>83</v>
      </c>
      <c r="BB91" s="186" t="s">
        <v>1054</v>
      </c>
      <c r="BC91" s="186" t="s">
        <v>1055</v>
      </c>
      <c r="BD91" s="28"/>
      <c r="BE91" s="28"/>
      <c r="BF91" s="28">
        <v>0</v>
      </c>
      <c r="BG91" s="28">
        <v>0</v>
      </c>
      <c r="BH91" s="28">
        <v>0</v>
      </c>
      <c r="BI91" s="28">
        <v>1</v>
      </c>
      <c r="BJ91" s="28"/>
      <c r="BK91" s="28">
        <v>0.8</v>
      </c>
      <c r="BL91" s="186"/>
      <c r="BM91" s="28" t="s">
        <v>1056</v>
      </c>
      <c r="BN91" s="28"/>
      <c r="BO91" s="28"/>
      <c r="BP91" s="28"/>
      <c r="BQ91" s="28"/>
      <c r="BR91" s="67"/>
      <c r="BS91" s="67"/>
      <c r="BT91" s="28"/>
      <c r="BU91" s="28">
        <v>11.31</v>
      </c>
      <c r="BV91" s="28">
        <v>25</v>
      </c>
      <c r="BW91" s="28"/>
      <c r="BX91" s="28">
        <v>76</v>
      </c>
      <c r="BY91" s="28">
        <v>12.61</v>
      </c>
      <c r="BZ91" s="28">
        <v>25</v>
      </c>
      <c r="CA91" s="28"/>
      <c r="CB91" s="28">
        <v>82</v>
      </c>
      <c r="CC91" s="28">
        <v>0</v>
      </c>
      <c r="CD91" s="37">
        <f t="shared" si="13"/>
        <v>5.1999999999999956E-2</v>
      </c>
      <c r="CE91" s="28">
        <v>158</v>
      </c>
      <c r="CF91" s="56">
        <f t="shared" si="7"/>
        <v>5.1999999999999956E-2</v>
      </c>
      <c r="CG91" s="22">
        <f t="shared" si="15"/>
        <v>5.8137767414994483E-2</v>
      </c>
      <c r="CH91" s="56"/>
      <c r="CI91" s="33">
        <f t="shared" si="17"/>
        <v>2.5361573650086934E-2</v>
      </c>
      <c r="CJ91" s="37">
        <f t="shared" si="16"/>
        <v>2.5356993158649851E-2</v>
      </c>
      <c r="CK91" s="68"/>
      <c r="CL91" s="68"/>
    </row>
    <row r="92" spans="1:90" s="30" customFormat="1" ht="13.5" customHeight="1" x14ac:dyDescent="0.35">
      <c r="A92" s="29" t="s">
        <v>1057</v>
      </c>
      <c r="B92" s="183" t="s">
        <v>1058</v>
      </c>
      <c r="C92" s="29" t="s">
        <v>133</v>
      </c>
      <c r="D92" s="184" t="s">
        <v>1059</v>
      </c>
      <c r="E92" s="184" t="s">
        <v>159</v>
      </c>
      <c r="F92" s="12" t="s">
        <v>1109</v>
      </c>
      <c r="G92" s="27">
        <v>0</v>
      </c>
      <c r="H92" s="27">
        <v>1</v>
      </c>
      <c r="I92" s="27">
        <v>3</v>
      </c>
      <c r="J92" s="11" t="s">
        <v>1106</v>
      </c>
      <c r="K92" s="82">
        <v>1</v>
      </c>
      <c r="L92" s="31" t="s">
        <v>1060</v>
      </c>
      <c r="M92" s="31">
        <v>1</v>
      </c>
      <c r="N92" s="31">
        <v>7</v>
      </c>
      <c r="O92" s="27">
        <v>296</v>
      </c>
      <c r="P92" s="27" t="s">
        <v>31</v>
      </c>
      <c r="Q92" s="27">
        <v>3</v>
      </c>
      <c r="R92" s="27">
        <v>1</v>
      </c>
      <c r="S92" s="32">
        <v>0</v>
      </c>
      <c r="T92" s="27">
        <v>0</v>
      </c>
      <c r="U92" s="27">
        <v>1</v>
      </c>
      <c r="V92" s="27">
        <v>0</v>
      </c>
      <c r="W92" s="27">
        <v>0</v>
      </c>
      <c r="X92" s="27">
        <v>0</v>
      </c>
      <c r="Y92" s="27">
        <v>0</v>
      </c>
      <c r="Z92" s="27">
        <v>1</v>
      </c>
      <c r="AA92" s="27">
        <v>0</v>
      </c>
      <c r="AB92" s="27">
        <v>0</v>
      </c>
      <c r="AC92" s="27" t="s">
        <v>1061</v>
      </c>
      <c r="AD92" s="12">
        <v>3.9</v>
      </c>
      <c r="AE92" s="27">
        <v>2.7</v>
      </c>
      <c r="AF92" s="27" t="s">
        <v>1064</v>
      </c>
      <c r="AG92" s="27">
        <v>0</v>
      </c>
      <c r="AH92" s="27" t="s">
        <v>35</v>
      </c>
      <c r="AI92" s="27">
        <v>46</v>
      </c>
      <c r="AJ92" s="27">
        <v>40</v>
      </c>
      <c r="AK92" s="27">
        <v>60</v>
      </c>
      <c r="AL92" s="27">
        <v>62</v>
      </c>
      <c r="AM92" s="27">
        <v>50</v>
      </c>
      <c r="AN92" s="27">
        <v>68</v>
      </c>
      <c r="AO92" s="33">
        <v>37.409999999999997</v>
      </c>
      <c r="AP92" s="27">
        <v>1</v>
      </c>
      <c r="AQ92" s="27">
        <v>0</v>
      </c>
      <c r="AR92" s="27">
        <v>0</v>
      </c>
      <c r="AS92" s="27">
        <v>0</v>
      </c>
      <c r="AT92" s="27">
        <v>0</v>
      </c>
      <c r="AU92" s="27">
        <v>1</v>
      </c>
      <c r="AV92" s="27">
        <v>0</v>
      </c>
      <c r="AW92" s="27">
        <v>1</v>
      </c>
      <c r="AX92" s="27">
        <v>1</v>
      </c>
      <c r="AY92" s="34" t="s">
        <v>1065</v>
      </c>
      <c r="AZ92" s="25" t="s">
        <v>572</v>
      </c>
      <c r="BA92" s="17" t="s">
        <v>61</v>
      </c>
      <c r="BB92" s="150" t="s">
        <v>46</v>
      </c>
      <c r="BC92" s="150" t="s">
        <v>1066</v>
      </c>
      <c r="BD92" s="17">
        <v>1</v>
      </c>
      <c r="BE92" s="17">
        <v>7</v>
      </c>
      <c r="BF92" s="17">
        <v>0</v>
      </c>
      <c r="BG92" s="17">
        <v>0</v>
      </c>
      <c r="BH92" s="17">
        <v>1</v>
      </c>
      <c r="BI92" s="17">
        <v>0</v>
      </c>
      <c r="BJ92" s="17" t="s">
        <v>1067</v>
      </c>
      <c r="BK92" s="17">
        <v>0.8</v>
      </c>
      <c r="BL92" s="150"/>
      <c r="BM92" s="17">
        <v>7</v>
      </c>
      <c r="BN92" s="17"/>
      <c r="BO92" s="17"/>
      <c r="BP92" s="17"/>
      <c r="BQ92" s="17"/>
      <c r="BR92" s="36">
        <v>7.88</v>
      </c>
      <c r="BS92" s="36">
        <v>1.2929999999999999</v>
      </c>
      <c r="BT92" s="17"/>
      <c r="BU92" s="17">
        <v>5.04</v>
      </c>
      <c r="BV92" s="17"/>
      <c r="BW92" s="17"/>
      <c r="BX92" s="17">
        <v>98</v>
      </c>
      <c r="BY92" s="17">
        <v>5.57</v>
      </c>
      <c r="BZ92" s="17"/>
      <c r="CA92" s="17"/>
      <c r="CB92" s="17">
        <v>98</v>
      </c>
      <c r="CC92" s="17">
        <v>1</v>
      </c>
      <c r="CD92" s="37">
        <f t="shared" ref="CD92:CD98" si="18">2*SQRT(BR92/CE92)</f>
        <v>0.32632267234515971</v>
      </c>
      <c r="CE92" s="17">
        <v>296</v>
      </c>
      <c r="CF92" s="56">
        <f t="shared" si="7"/>
        <v>0.32632267234515971</v>
      </c>
      <c r="CG92" s="56">
        <f t="shared" si="15"/>
        <v>0.36483983898158395</v>
      </c>
      <c r="CH92" s="56"/>
      <c r="CI92" s="33">
        <f t="shared" si="17"/>
        <v>2.0679812465526748E-2</v>
      </c>
      <c r="CJ92" s="33">
        <f t="shared" si="16"/>
        <v>2.0559079487650914E-2</v>
      </c>
      <c r="CK92" s="57"/>
      <c r="CL92" s="57"/>
    </row>
    <row r="93" spans="1:90" s="30" customFormat="1" x14ac:dyDescent="0.35">
      <c r="A93" s="29" t="s">
        <v>1057</v>
      </c>
      <c r="B93" s="183" t="s">
        <v>1058</v>
      </c>
      <c r="C93" s="29" t="s">
        <v>133</v>
      </c>
      <c r="D93" s="184" t="s">
        <v>1059</v>
      </c>
      <c r="E93" s="184" t="s">
        <v>159</v>
      </c>
      <c r="F93" s="11" t="s">
        <v>1109</v>
      </c>
      <c r="G93" s="27">
        <v>0</v>
      </c>
      <c r="H93" s="27">
        <v>1</v>
      </c>
      <c r="I93" s="27">
        <v>3</v>
      </c>
      <c r="J93" s="11" t="s">
        <v>1106</v>
      </c>
      <c r="K93" s="82">
        <v>1</v>
      </c>
      <c r="L93" s="40" t="s">
        <v>1060</v>
      </c>
      <c r="M93" s="40">
        <v>1</v>
      </c>
      <c r="N93" s="40">
        <v>7</v>
      </c>
      <c r="O93" s="28">
        <v>296</v>
      </c>
      <c r="P93" s="28" t="s">
        <v>31</v>
      </c>
      <c r="Q93" s="28">
        <v>3</v>
      </c>
      <c r="R93" s="28">
        <v>2</v>
      </c>
      <c r="S93" s="41">
        <v>0</v>
      </c>
      <c r="T93" s="28">
        <v>0</v>
      </c>
      <c r="U93" s="28">
        <v>0</v>
      </c>
      <c r="V93" s="28">
        <v>1</v>
      </c>
      <c r="W93" s="28">
        <v>0</v>
      </c>
      <c r="X93" s="28">
        <v>0</v>
      </c>
      <c r="Y93" s="28">
        <v>0</v>
      </c>
      <c r="Z93" s="28">
        <v>1</v>
      </c>
      <c r="AA93" s="28">
        <v>0</v>
      </c>
      <c r="AB93" s="28">
        <v>0</v>
      </c>
      <c r="AC93" s="28" t="s">
        <v>1061</v>
      </c>
      <c r="AD93" s="18">
        <v>3.9</v>
      </c>
      <c r="AE93" s="28">
        <v>2.7</v>
      </c>
      <c r="AF93" s="28" t="s">
        <v>1064</v>
      </c>
      <c r="AG93" s="28">
        <v>0</v>
      </c>
      <c r="AH93" s="28" t="s">
        <v>35</v>
      </c>
      <c r="AI93" s="28">
        <v>46</v>
      </c>
      <c r="AJ93" s="28">
        <v>40</v>
      </c>
      <c r="AK93" s="28">
        <v>60</v>
      </c>
      <c r="AL93" s="28">
        <v>62</v>
      </c>
      <c r="AM93" s="28">
        <v>50</v>
      </c>
      <c r="AN93" s="28">
        <v>68</v>
      </c>
      <c r="AO93" s="42">
        <v>37.409999999999997</v>
      </c>
      <c r="AP93" s="28">
        <v>1</v>
      </c>
      <c r="AQ93" s="28">
        <v>0</v>
      </c>
      <c r="AR93" s="28">
        <v>0</v>
      </c>
      <c r="AS93" s="28">
        <v>0</v>
      </c>
      <c r="AT93" s="28">
        <v>0</v>
      </c>
      <c r="AU93" s="28">
        <v>1</v>
      </c>
      <c r="AV93" s="28">
        <v>0</v>
      </c>
      <c r="AW93" s="28">
        <v>1</v>
      </c>
      <c r="AX93" s="28">
        <v>1</v>
      </c>
      <c r="AY93" s="34" t="s">
        <v>1068</v>
      </c>
      <c r="AZ93" s="25" t="s">
        <v>572</v>
      </c>
      <c r="BA93" s="17" t="s">
        <v>83</v>
      </c>
      <c r="BB93" s="150" t="s">
        <v>46</v>
      </c>
      <c r="BC93" s="150" t="s">
        <v>1066</v>
      </c>
      <c r="BD93" s="17">
        <v>1</v>
      </c>
      <c r="BE93" s="17">
        <v>7</v>
      </c>
      <c r="BF93" s="17">
        <v>0</v>
      </c>
      <c r="BG93" s="17">
        <v>0</v>
      </c>
      <c r="BH93" s="17">
        <v>1</v>
      </c>
      <c r="BI93" s="17">
        <v>0</v>
      </c>
      <c r="BJ93" s="17" t="s">
        <v>1067</v>
      </c>
      <c r="BK93" s="17">
        <v>0.8</v>
      </c>
      <c r="BL93" s="150"/>
      <c r="BM93" s="17">
        <v>7</v>
      </c>
      <c r="BN93" s="17"/>
      <c r="BO93" s="17"/>
      <c r="BP93" s="17"/>
      <c r="BQ93" s="17"/>
      <c r="BR93" s="36">
        <v>23.96</v>
      </c>
      <c r="BS93" s="36">
        <v>1.2929999999999999</v>
      </c>
      <c r="BT93" s="17"/>
      <c r="BU93" s="17">
        <v>5.04</v>
      </c>
      <c r="BV93" s="17"/>
      <c r="BW93" s="17"/>
      <c r="BX93" s="17">
        <v>98</v>
      </c>
      <c r="BY93" s="17">
        <v>5.97</v>
      </c>
      <c r="BZ93" s="17"/>
      <c r="CA93" s="17"/>
      <c r="CB93" s="17">
        <v>98</v>
      </c>
      <c r="CC93" s="17">
        <v>1</v>
      </c>
      <c r="CD93" s="37">
        <f t="shared" si="18"/>
        <v>0.56902002054741785</v>
      </c>
      <c r="CE93" s="17">
        <v>296</v>
      </c>
      <c r="CF93" s="56">
        <f t="shared" si="7"/>
        <v>0.56902002054741785</v>
      </c>
      <c r="CG93" s="56">
        <f t="shared" si="15"/>
        <v>0.63618372325117667</v>
      </c>
      <c r="CH93" s="56"/>
      <c r="CI93" s="33">
        <f t="shared" si="17"/>
        <v>2.1234142305570875E-2</v>
      </c>
      <c r="CJ93" s="33">
        <f t="shared" si="16"/>
        <v>2.0867040509897652E-2</v>
      </c>
      <c r="CK93" s="57"/>
      <c r="CL93" s="57"/>
    </row>
    <row r="94" spans="1:90" s="30" customFormat="1" x14ac:dyDescent="0.35">
      <c r="A94" s="29" t="s">
        <v>1057</v>
      </c>
      <c r="B94" s="183" t="s">
        <v>1058</v>
      </c>
      <c r="C94" s="29" t="s">
        <v>133</v>
      </c>
      <c r="D94" s="184" t="s">
        <v>1059</v>
      </c>
      <c r="E94" s="184" t="s">
        <v>159</v>
      </c>
      <c r="F94" s="12" t="s">
        <v>1109</v>
      </c>
      <c r="G94" s="27">
        <v>0</v>
      </c>
      <c r="H94" s="27">
        <v>1</v>
      </c>
      <c r="I94" s="27">
        <v>3</v>
      </c>
      <c r="J94" s="11" t="s">
        <v>1106</v>
      </c>
      <c r="K94" s="82">
        <v>1</v>
      </c>
      <c r="L94" s="31" t="s">
        <v>1062</v>
      </c>
      <c r="M94" s="31">
        <v>2</v>
      </c>
      <c r="N94" s="31">
        <v>8</v>
      </c>
      <c r="O94" s="27">
        <v>365</v>
      </c>
      <c r="P94" s="27" t="s">
        <v>31</v>
      </c>
      <c r="Q94" s="27">
        <v>3</v>
      </c>
      <c r="R94" s="27">
        <v>1</v>
      </c>
      <c r="S94" s="32">
        <v>0</v>
      </c>
      <c r="T94" s="27">
        <v>0</v>
      </c>
      <c r="U94" s="27">
        <v>1</v>
      </c>
      <c r="V94" s="27">
        <v>0</v>
      </c>
      <c r="W94" s="27">
        <v>0</v>
      </c>
      <c r="X94" s="27">
        <v>0</v>
      </c>
      <c r="Y94" s="27">
        <v>0</v>
      </c>
      <c r="Z94" s="27">
        <v>1</v>
      </c>
      <c r="AA94" s="27">
        <v>0</v>
      </c>
      <c r="AB94" s="27">
        <v>0</v>
      </c>
      <c r="AC94" s="27" t="s">
        <v>1063</v>
      </c>
      <c r="AD94" s="12">
        <v>3.9</v>
      </c>
      <c r="AE94" s="27">
        <v>2.7</v>
      </c>
      <c r="AF94" s="27" t="s">
        <v>1064</v>
      </c>
      <c r="AG94" s="27">
        <v>0</v>
      </c>
      <c r="AH94" s="27" t="s">
        <v>35</v>
      </c>
      <c r="AI94" s="27">
        <v>46</v>
      </c>
      <c r="AJ94" s="27">
        <v>40</v>
      </c>
      <c r="AK94" s="27">
        <v>60</v>
      </c>
      <c r="AL94" s="27">
        <v>62</v>
      </c>
      <c r="AM94" s="27">
        <v>50</v>
      </c>
      <c r="AN94" s="27">
        <v>68</v>
      </c>
      <c r="AO94" s="33">
        <v>40.869999999999997</v>
      </c>
      <c r="AP94" s="27">
        <v>1</v>
      </c>
      <c r="AQ94" s="27">
        <v>0</v>
      </c>
      <c r="AR94" s="27">
        <v>0</v>
      </c>
      <c r="AS94" s="27">
        <v>0</v>
      </c>
      <c r="AT94" s="27">
        <v>0</v>
      </c>
      <c r="AU94" s="27">
        <v>1</v>
      </c>
      <c r="AV94" s="27">
        <v>0</v>
      </c>
      <c r="AW94" s="27">
        <v>1</v>
      </c>
      <c r="AX94" s="27">
        <v>1</v>
      </c>
      <c r="AY94" s="34" t="s">
        <v>1069</v>
      </c>
      <c r="AZ94" s="25" t="s">
        <v>572</v>
      </c>
      <c r="BA94" s="17" t="s">
        <v>61</v>
      </c>
      <c r="BB94" s="150" t="s">
        <v>422</v>
      </c>
      <c r="BC94" s="150" t="s">
        <v>1070</v>
      </c>
      <c r="BD94" s="17">
        <v>3</v>
      </c>
      <c r="BE94" s="17">
        <v>7</v>
      </c>
      <c r="BF94" s="17">
        <v>1</v>
      </c>
      <c r="BG94" s="17">
        <v>1</v>
      </c>
      <c r="BH94" s="17">
        <v>0</v>
      </c>
      <c r="BI94" s="17">
        <v>0</v>
      </c>
      <c r="BJ94" s="17">
        <v>0.97</v>
      </c>
      <c r="BK94" s="17">
        <v>0.97</v>
      </c>
      <c r="BL94" s="150" t="s">
        <v>41</v>
      </c>
      <c r="BM94" s="17">
        <v>8</v>
      </c>
      <c r="BN94" s="17"/>
      <c r="BO94" s="17"/>
      <c r="BP94" s="17"/>
      <c r="BQ94" s="17"/>
      <c r="BR94" s="36">
        <v>44.54</v>
      </c>
      <c r="BS94" s="36">
        <v>1.3620000000000001</v>
      </c>
      <c r="BT94" s="17"/>
      <c r="BU94" s="17">
        <v>5.04</v>
      </c>
      <c r="BV94" s="17"/>
      <c r="BW94" s="17"/>
      <c r="BX94" s="17">
        <v>121</v>
      </c>
      <c r="BY94" s="17">
        <v>6.11</v>
      </c>
      <c r="BZ94" s="17"/>
      <c r="CA94" s="17"/>
      <c r="CB94" s="17">
        <v>122</v>
      </c>
      <c r="CC94" s="17">
        <v>1</v>
      </c>
      <c r="CD94" s="37">
        <f t="shared" si="18"/>
        <v>0.69864840158773411</v>
      </c>
      <c r="CE94" s="17">
        <v>365</v>
      </c>
      <c r="CF94" s="56">
        <f t="shared" si="7"/>
        <v>0.69864840158773411</v>
      </c>
      <c r="CG94" s="56">
        <f t="shared" si="15"/>
        <v>0.7093699753288385</v>
      </c>
      <c r="CH94" s="56"/>
      <c r="CI94" s="33">
        <f t="shared" si="17"/>
        <v>1.7465524839584318E-2</v>
      </c>
      <c r="CJ94" s="33">
        <f t="shared" si="16"/>
        <v>1.7907177690065283E-2</v>
      </c>
      <c r="CK94" s="57"/>
      <c r="CL94" s="57"/>
    </row>
    <row r="95" spans="1:90" s="30" customFormat="1" x14ac:dyDescent="0.35">
      <c r="A95" s="38" t="s">
        <v>1057</v>
      </c>
      <c r="B95" s="185" t="s">
        <v>1058</v>
      </c>
      <c r="C95" s="38" t="s">
        <v>133</v>
      </c>
      <c r="D95" s="186" t="s">
        <v>1059</v>
      </c>
      <c r="E95" s="186" t="s">
        <v>159</v>
      </c>
      <c r="F95" s="18" t="s">
        <v>1109</v>
      </c>
      <c r="G95" s="28">
        <v>0</v>
      </c>
      <c r="H95" s="28">
        <v>1</v>
      </c>
      <c r="I95" s="28">
        <v>3</v>
      </c>
      <c r="J95" s="18" t="s">
        <v>1106</v>
      </c>
      <c r="K95" s="83">
        <v>1</v>
      </c>
      <c r="L95" s="40" t="s">
        <v>1062</v>
      </c>
      <c r="M95" s="40">
        <v>2</v>
      </c>
      <c r="N95" s="40">
        <v>8</v>
      </c>
      <c r="O95" s="28">
        <v>365</v>
      </c>
      <c r="P95" s="28" t="s">
        <v>31</v>
      </c>
      <c r="Q95" s="28">
        <v>3</v>
      </c>
      <c r="R95" s="28">
        <v>2</v>
      </c>
      <c r="S95" s="41">
        <v>0</v>
      </c>
      <c r="T95" s="28">
        <v>0</v>
      </c>
      <c r="U95" s="28">
        <v>0</v>
      </c>
      <c r="V95" s="28">
        <v>1</v>
      </c>
      <c r="W95" s="28">
        <v>0</v>
      </c>
      <c r="X95" s="28">
        <v>0</v>
      </c>
      <c r="Y95" s="28">
        <v>0</v>
      </c>
      <c r="Z95" s="28">
        <v>1</v>
      </c>
      <c r="AA95" s="28">
        <v>0</v>
      </c>
      <c r="AB95" s="28">
        <v>0</v>
      </c>
      <c r="AC95" s="28" t="s">
        <v>1063</v>
      </c>
      <c r="AD95" s="18">
        <v>3.9</v>
      </c>
      <c r="AE95" s="28">
        <v>2.7</v>
      </c>
      <c r="AF95" s="28" t="s">
        <v>1064</v>
      </c>
      <c r="AG95" s="28">
        <v>0</v>
      </c>
      <c r="AH95" s="28" t="s">
        <v>35</v>
      </c>
      <c r="AI95" s="28">
        <v>46</v>
      </c>
      <c r="AJ95" s="28">
        <v>40</v>
      </c>
      <c r="AK95" s="28">
        <v>60</v>
      </c>
      <c r="AL95" s="28">
        <v>62</v>
      </c>
      <c r="AM95" s="28">
        <v>50</v>
      </c>
      <c r="AN95" s="28">
        <v>68</v>
      </c>
      <c r="AO95" s="42">
        <v>40.869999999999997</v>
      </c>
      <c r="AP95" s="28">
        <v>1</v>
      </c>
      <c r="AQ95" s="28">
        <v>0</v>
      </c>
      <c r="AR95" s="28">
        <v>0</v>
      </c>
      <c r="AS95" s="28">
        <v>0</v>
      </c>
      <c r="AT95" s="28">
        <v>0</v>
      </c>
      <c r="AU95" s="28">
        <v>1</v>
      </c>
      <c r="AV95" s="28">
        <v>0</v>
      </c>
      <c r="AW95" s="28">
        <v>1</v>
      </c>
      <c r="AX95" s="28">
        <v>1</v>
      </c>
      <c r="AY95" s="34" t="s">
        <v>1071</v>
      </c>
      <c r="AZ95" s="25" t="s">
        <v>572</v>
      </c>
      <c r="BA95" s="17" t="s">
        <v>83</v>
      </c>
      <c r="BB95" s="150" t="s">
        <v>422</v>
      </c>
      <c r="BC95" s="150" t="s">
        <v>1070</v>
      </c>
      <c r="BD95" s="17">
        <v>3</v>
      </c>
      <c r="BE95" s="17">
        <v>7</v>
      </c>
      <c r="BF95" s="17">
        <v>1</v>
      </c>
      <c r="BG95" s="17">
        <v>1</v>
      </c>
      <c r="BH95" s="17">
        <v>0</v>
      </c>
      <c r="BI95" s="17">
        <v>0</v>
      </c>
      <c r="BJ95" s="17">
        <v>0.97</v>
      </c>
      <c r="BK95" s="17">
        <v>0.97</v>
      </c>
      <c r="BL95" s="150" t="s">
        <v>41</v>
      </c>
      <c r="BM95" s="17">
        <v>8</v>
      </c>
      <c r="BN95" s="17"/>
      <c r="BO95" s="17"/>
      <c r="BP95" s="17"/>
      <c r="BQ95" s="17"/>
      <c r="BR95" s="36">
        <v>22.44</v>
      </c>
      <c r="BS95" s="36">
        <v>1.3620000000000001</v>
      </c>
      <c r="BT95" s="17"/>
      <c r="BU95" s="17">
        <v>5.04</v>
      </c>
      <c r="BV95" s="17"/>
      <c r="BW95" s="17"/>
      <c r="BX95" s="17">
        <v>121</v>
      </c>
      <c r="BY95" s="17">
        <v>5.77</v>
      </c>
      <c r="BZ95" s="17"/>
      <c r="CA95" s="17"/>
      <c r="CB95" s="17">
        <v>122</v>
      </c>
      <c r="CC95" s="17">
        <v>1</v>
      </c>
      <c r="CD95" s="37">
        <f t="shared" si="18"/>
        <v>0.4959010064712292</v>
      </c>
      <c r="CE95" s="17">
        <v>365</v>
      </c>
      <c r="CF95" s="56">
        <f t="shared" si="7"/>
        <v>0.4959010064712292</v>
      </c>
      <c r="CG95" s="56">
        <f t="shared" si="15"/>
        <v>0.50351118520646454</v>
      </c>
      <c r="CH95" s="56"/>
      <c r="CI95" s="33">
        <f t="shared" si="17"/>
        <v>1.6967187842008357E-2</v>
      </c>
      <c r="CJ95" s="33">
        <f t="shared" si="16"/>
        <v>1.6867471803488947E-2</v>
      </c>
      <c r="CK95" s="57"/>
      <c r="CL95" s="57"/>
    </row>
    <row r="96" spans="1:90" s="35" customFormat="1" ht="14.5" customHeight="1" x14ac:dyDescent="0.35">
      <c r="A96" s="29" t="s">
        <v>361</v>
      </c>
      <c r="B96" s="183" t="s">
        <v>362</v>
      </c>
      <c r="C96" s="29" t="s">
        <v>192</v>
      </c>
      <c r="D96" s="184" t="s">
        <v>363</v>
      </c>
      <c r="E96" s="184" t="s">
        <v>364</v>
      </c>
      <c r="F96" s="11" t="s">
        <v>1109</v>
      </c>
      <c r="G96" s="27">
        <v>0</v>
      </c>
      <c r="H96" s="27">
        <v>1</v>
      </c>
      <c r="I96" s="27">
        <v>2</v>
      </c>
      <c r="J96" s="11" t="s">
        <v>1106</v>
      </c>
      <c r="K96" s="82">
        <v>1</v>
      </c>
      <c r="L96" s="31" t="s">
        <v>365</v>
      </c>
      <c r="M96" s="31">
        <v>2</v>
      </c>
      <c r="N96" s="31">
        <v>8</v>
      </c>
      <c r="O96" s="27">
        <v>65</v>
      </c>
      <c r="P96" s="27" t="s">
        <v>366</v>
      </c>
      <c r="Q96" s="27">
        <v>2</v>
      </c>
      <c r="R96" s="27">
        <v>1</v>
      </c>
      <c r="S96" s="32">
        <v>0</v>
      </c>
      <c r="T96" s="27">
        <v>0</v>
      </c>
      <c r="U96" s="27">
        <v>0</v>
      </c>
      <c r="V96" s="27">
        <v>0</v>
      </c>
      <c r="W96" s="27">
        <v>1</v>
      </c>
      <c r="X96" s="27">
        <v>0</v>
      </c>
      <c r="Y96" s="27">
        <v>0</v>
      </c>
      <c r="Z96" s="27">
        <v>1</v>
      </c>
      <c r="AA96" s="11">
        <v>1</v>
      </c>
      <c r="AB96" s="27">
        <v>1</v>
      </c>
      <c r="AC96" s="27" t="s">
        <v>367</v>
      </c>
      <c r="AD96" s="11">
        <f>(3+2.8+2.3)/3</f>
        <v>2.6999999999999997</v>
      </c>
      <c r="AE96" s="69">
        <f>(2.6+2.5+2.2)/3</f>
        <v>2.4333333333333331</v>
      </c>
      <c r="AF96" s="27" t="s">
        <v>220</v>
      </c>
      <c r="AG96" s="27">
        <v>0</v>
      </c>
      <c r="AH96" s="27" t="s">
        <v>35</v>
      </c>
      <c r="AI96" s="27">
        <v>46</v>
      </c>
      <c r="AJ96" s="27">
        <v>40</v>
      </c>
      <c r="AK96" s="27">
        <v>60</v>
      </c>
      <c r="AL96" s="27">
        <v>62</v>
      </c>
      <c r="AM96" s="27">
        <v>50</v>
      </c>
      <c r="AN96" s="27">
        <v>68</v>
      </c>
      <c r="AO96" s="33">
        <v>37.380000000000003</v>
      </c>
      <c r="AP96" s="27">
        <v>0</v>
      </c>
      <c r="AQ96" s="27">
        <v>0</v>
      </c>
      <c r="AR96" s="27">
        <v>0</v>
      </c>
      <c r="AS96" s="27">
        <v>0</v>
      </c>
      <c r="AT96" s="27">
        <v>0</v>
      </c>
      <c r="AU96" s="27">
        <v>1</v>
      </c>
      <c r="AV96" s="27">
        <v>0</v>
      </c>
      <c r="AW96" s="27">
        <v>0</v>
      </c>
      <c r="AX96" s="27">
        <v>1</v>
      </c>
      <c r="AY96" s="34" t="s">
        <v>368</v>
      </c>
      <c r="AZ96" s="25" t="s">
        <v>369</v>
      </c>
      <c r="BA96" s="17" t="s">
        <v>183</v>
      </c>
      <c r="BB96" s="150" t="s">
        <v>201</v>
      </c>
      <c r="BC96" s="150" t="s">
        <v>370</v>
      </c>
      <c r="BD96" s="17">
        <v>6</v>
      </c>
      <c r="BE96" s="17">
        <v>7</v>
      </c>
      <c r="BF96" s="17">
        <v>1</v>
      </c>
      <c r="BG96" s="17">
        <v>1</v>
      </c>
      <c r="BH96" s="17">
        <v>0</v>
      </c>
      <c r="BI96" s="17">
        <v>0</v>
      </c>
      <c r="BJ96" s="17">
        <v>0.91</v>
      </c>
      <c r="BK96" s="17">
        <v>0.91</v>
      </c>
      <c r="BL96" s="150" t="s">
        <v>41</v>
      </c>
      <c r="BM96" s="17">
        <v>9</v>
      </c>
      <c r="BN96" s="17"/>
      <c r="BO96" s="17"/>
      <c r="BP96" s="17"/>
      <c r="BQ96" s="17"/>
      <c r="BR96" s="36">
        <v>1.99</v>
      </c>
      <c r="BS96" s="36">
        <v>1.63</v>
      </c>
      <c r="BT96" s="17"/>
      <c r="BU96" s="17"/>
      <c r="BV96" s="17"/>
      <c r="BW96" s="17"/>
      <c r="BX96" s="17">
        <v>32</v>
      </c>
      <c r="BY96" s="17"/>
      <c r="BZ96" s="17"/>
      <c r="CA96" s="17"/>
      <c r="CB96" s="17">
        <v>33</v>
      </c>
      <c r="CC96" s="17">
        <v>0</v>
      </c>
      <c r="CD96" s="37">
        <f t="shared" si="18"/>
        <v>0.3499450506315791</v>
      </c>
      <c r="CE96" s="17">
        <v>65</v>
      </c>
      <c r="CF96" s="22">
        <f t="shared" si="7"/>
        <v>0.3499450506315791</v>
      </c>
      <c r="CG96" s="22">
        <f t="shared" si="15"/>
        <v>0.36684209026296832</v>
      </c>
      <c r="CH96" s="150"/>
      <c r="CI96" s="37">
        <f t="shared" si="17"/>
        <v>6.2495042137349834E-2</v>
      </c>
      <c r="CJ96" s="37">
        <f t="shared" si="16"/>
        <v>6.1854763754125602E-2</v>
      </c>
    </row>
    <row r="97" spans="1:88" s="35" customFormat="1" ht="18.649999999999999" customHeight="1" x14ac:dyDescent="0.35">
      <c r="A97" s="29" t="s">
        <v>361</v>
      </c>
      <c r="B97" s="183" t="s">
        <v>362</v>
      </c>
      <c r="C97" s="29" t="s">
        <v>192</v>
      </c>
      <c r="D97" s="184" t="s">
        <v>363</v>
      </c>
      <c r="E97" s="184" t="s">
        <v>364</v>
      </c>
      <c r="F97" s="11" t="s">
        <v>1109</v>
      </c>
      <c r="G97" s="27">
        <v>0</v>
      </c>
      <c r="H97" s="27">
        <v>1</v>
      </c>
      <c r="I97" s="27">
        <v>2</v>
      </c>
      <c r="J97" s="11" t="s">
        <v>1106</v>
      </c>
      <c r="K97" s="82">
        <v>1</v>
      </c>
      <c r="L97" s="31" t="s">
        <v>365</v>
      </c>
      <c r="M97" s="31">
        <v>2</v>
      </c>
      <c r="N97" s="31">
        <v>8</v>
      </c>
      <c r="O97" s="27">
        <v>65</v>
      </c>
      <c r="P97" s="27" t="s">
        <v>366</v>
      </c>
      <c r="Q97" s="27">
        <v>2</v>
      </c>
      <c r="R97" s="27">
        <v>1</v>
      </c>
      <c r="S97" s="32">
        <v>0</v>
      </c>
      <c r="T97" s="27">
        <v>0</v>
      </c>
      <c r="U97" s="27">
        <v>0</v>
      </c>
      <c r="V97" s="27">
        <v>0</v>
      </c>
      <c r="W97" s="27">
        <v>1</v>
      </c>
      <c r="X97" s="27">
        <v>0</v>
      </c>
      <c r="Y97" s="27">
        <v>0</v>
      </c>
      <c r="Z97" s="27">
        <v>1</v>
      </c>
      <c r="AA97" s="11">
        <v>1</v>
      </c>
      <c r="AB97" s="27">
        <v>1</v>
      </c>
      <c r="AC97" s="27" t="s">
        <v>367</v>
      </c>
      <c r="AD97" s="11">
        <f>(3+2.8+2.3)/3</f>
        <v>2.6999999999999997</v>
      </c>
      <c r="AE97" s="69">
        <v>2.4</v>
      </c>
      <c r="AF97" s="27" t="s">
        <v>220</v>
      </c>
      <c r="AG97" s="27">
        <v>0</v>
      </c>
      <c r="AH97" s="27" t="s">
        <v>35</v>
      </c>
      <c r="AI97" s="27">
        <v>46</v>
      </c>
      <c r="AJ97" s="27">
        <v>40</v>
      </c>
      <c r="AK97" s="27">
        <v>60</v>
      </c>
      <c r="AL97" s="27">
        <v>62</v>
      </c>
      <c r="AM97" s="27">
        <v>50</v>
      </c>
      <c r="AN97" s="27">
        <v>68</v>
      </c>
      <c r="AO97" s="33">
        <v>37.380000000000003</v>
      </c>
      <c r="AP97" s="27">
        <v>0</v>
      </c>
      <c r="AQ97" s="27">
        <v>0</v>
      </c>
      <c r="AR97" s="27">
        <v>0</v>
      </c>
      <c r="AS97" s="27">
        <v>0</v>
      </c>
      <c r="AT97" s="27">
        <v>0</v>
      </c>
      <c r="AU97" s="27">
        <v>1</v>
      </c>
      <c r="AV97" s="27">
        <v>0</v>
      </c>
      <c r="AW97" s="27">
        <v>0</v>
      </c>
      <c r="AX97" s="27">
        <v>1</v>
      </c>
      <c r="AY97" s="34" t="s">
        <v>371</v>
      </c>
      <c r="AZ97" s="25" t="s">
        <v>369</v>
      </c>
      <c r="BA97" s="17" t="s">
        <v>183</v>
      </c>
      <c r="BB97" s="150" t="s">
        <v>46</v>
      </c>
      <c r="BC97" s="150" t="s">
        <v>372</v>
      </c>
      <c r="BD97" s="17">
        <v>4</v>
      </c>
      <c r="BE97" s="17">
        <v>7</v>
      </c>
      <c r="BF97" s="17">
        <v>0</v>
      </c>
      <c r="BG97" s="17">
        <v>0</v>
      </c>
      <c r="BH97" s="17">
        <v>1</v>
      </c>
      <c r="BI97" s="17">
        <v>0</v>
      </c>
      <c r="BJ97" s="17">
        <v>0.93</v>
      </c>
      <c r="BK97" s="17">
        <v>0.93</v>
      </c>
      <c r="BL97" s="150" t="s">
        <v>41</v>
      </c>
      <c r="BM97" s="17">
        <v>9</v>
      </c>
      <c r="BN97" s="17"/>
      <c r="BO97" s="17"/>
      <c r="BP97" s="17"/>
      <c r="BQ97" s="17"/>
      <c r="BR97" s="36">
        <v>1</v>
      </c>
      <c r="BS97" s="36">
        <v>1.63</v>
      </c>
      <c r="BT97" s="17"/>
      <c r="BU97" s="17"/>
      <c r="BV97" s="17"/>
      <c r="BW97" s="17"/>
      <c r="BX97" s="17">
        <v>32</v>
      </c>
      <c r="BY97" s="17"/>
      <c r="BZ97" s="17"/>
      <c r="CA97" s="17"/>
      <c r="CB97" s="17">
        <v>33</v>
      </c>
      <c r="CC97" s="17">
        <v>0</v>
      </c>
      <c r="CD97" s="37">
        <f t="shared" si="18"/>
        <v>0.24806946917841691</v>
      </c>
      <c r="CE97" s="17">
        <v>65</v>
      </c>
      <c r="CF97" s="22">
        <f t="shared" si="7"/>
        <v>0.24806946917841691</v>
      </c>
      <c r="CG97" s="22">
        <f t="shared" si="15"/>
        <v>0.2572360564754364</v>
      </c>
      <c r="CH97" s="150"/>
      <c r="CI97" s="37">
        <f t="shared" si="17"/>
        <v>6.2026403084095391E-2</v>
      </c>
      <c r="CJ97" s="37">
        <f t="shared" si="16"/>
        <v>6.1937741865536314E-2</v>
      </c>
    </row>
    <row r="98" spans="1:88" s="35" customFormat="1" x14ac:dyDescent="0.35">
      <c r="A98" s="38" t="s">
        <v>361</v>
      </c>
      <c r="B98" s="185" t="s">
        <v>362</v>
      </c>
      <c r="C98" s="38" t="s">
        <v>192</v>
      </c>
      <c r="D98" s="186" t="s">
        <v>363</v>
      </c>
      <c r="E98" s="186" t="s">
        <v>364</v>
      </c>
      <c r="F98" s="18" t="s">
        <v>1109</v>
      </c>
      <c r="G98" s="28">
        <v>0</v>
      </c>
      <c r="H98" s="28">
        <v>1</v>
      </c>
      <c r="I98" s="28">
        <v>2</v>
      </c>
      <c r="J98" s="18" t="s">
        <v>1106</v>
      </c>
      <c r="K98" s="83">
        <v>1</v>
      </c>
      <c r="L98" s="40" t="s">
        <v>365</v>
      </c>
      <c r="M98" s="40">
        <v>2</v>
      </c>
      <c r="N98" s="40">
        <v>8</v>
      </c>
      <c r="O98" s="28">
        <v>65</v>
      </c>
      <c r="P98" s="28" t="s">
        <v>366</v>
      </c>
      <c r="Q98" s="28">
        <v>2</v>
      </c>
      <c r="R98" s="28">
        <v>1</v>
      </c>
      <c r="S98" s="41">
        <v>0</v>
      </c>
      <c r="T98" s="28">
        <v>0</v>
      </c>
      <c r="U98" s="28">
        <v>0</v>
      </c>
      <c r="V98" s="28">
        <v>0</v>
      </c>
      <c r="W98" s="28">
        <v>1</v>
      </c>
      <c r="X98" s="28">
        <v>0</v>
      </c>
      <c r="Y98" s="28">
        <v>0</v>
      </c>
      <c r="Z98" s="27">
        <v>1</v>
      </c>
      <c r="AA98" s="18">
        <v>1</v>
      </c>
      <c r="AB98" s="28">
        <v>1</v>
      </c>
      <c r="AC98" s="27" t="s">
        <v>367</v>
      </c>
      <c r="AD98" s="12">
        <f>(3+2.8+2.3)/3</f>
        <v>2.6999999999999997</v>
      </c>
      <c r="AE98" s="69">
        <v>2.4</v>
      </c>
      <c r="AF98" s="28" t="s">
        <v>220</v>
      </c>
      <c r="AG98" s="28">
        <v>0</v>
      </c>
      <c r="AH98" s="28" t="s">
        <v>35</v>
      </c>
      <c r="AI98" s="28">
        <v>46</v>
      </c>
      <c r="AJ98" s="28">
        <v>40</v>
      </c>
      <c r="AK98" s="28">
        <v>60</v>
      </c>
      <c r="AL98" s="28">
        <v>62</v>
      </c>
      <c r="AM98" s="28">
        <v>50</v>
      </c>
      <c r="AN98" s="28">
        <v>68</v>
      </c>
      <c r="AO98" s="42">
        <v>37.380000000000003</v>
      </c>
      <c r="AP98" s="28">
        <v>0</v>
      </c>
      <c r="AQ98" s="28">
        <v>0</v>
      </c>
      <c r="AR98" s="28">
        <v>0</v>
      </c>
      <c r="AS98" s="28">
        <v>0</v>
      </c>
      <c r="AT98" s="28">
        <v>0</v>
      </c>
      <c r="AU98" s="28">
        <v>1</v>
      </c>
      <c r="AV98" s="28">
        <v>0</v>
      </c>
      <c r="AW98" s="28">
        <v>0</v>
      </c>
      <c r="AX98" s="28">
        <v>1</v>
      </c>
      <c r="AY98" s="34" t="s">
        <v>373</v>
      </c>
      <c r="AZ98" s="25" t="s">
        <v>369</v>
      </c>
      <c r="BA98" s="17" t="s">
        <v>183</v>
      </c>
      <c r="BB98" s="150" t="s">
        <v>374</v>
      </c>
      <c r="BC98" s="150" t="s">
        <v>375</v>
      </c>
      <c r="BD98" s="17">
        <v>1</v>
      </c>
      <c r="BE98" s="17">
        <v>7</v>
      </c>
      <c r="BF98" s="17">
        <v>0</v>
      </c>
      <c r="BG98" s="17">
        <v>0</v>
      </c>
      <c r="BH98" s="17">
        <v>1</v>
      </c>
      <c r="BI98" s="17">
        <v>0</v>
      </c>
      <c r="BJ98" s="17"/>
      <c r="BK98" s="17">
        <v>0.8</v>
      </c>
      <c r="BL98" s="150"/>
      <c r="BM98" s="17">
        <v>9</v>
      </c>
      <c r="BN98" s="17"/>
      <c r="BO98" s="17"/>
      <c r="BP98" s="17"/>
      <c r="BQ98" s="17"/>
      <c r="BR98" s="36">
        <v>4.09</v>
      </c>
      <c r="BS98" s="36">
        <v>1.63</v>
      </c>
      <c r="BT98" s="17"/>
      <c r="BU98" s="17">
        <v>11.45</v>
      </c>
      <c r="BV98" s="17">
        <v>1.42</v>
      </c>
      <c r="BW98" s="17"/>
      <c r="BX98" s="17">
        <v>32</v>
      </c>
      <c r="BY98" s="17">
        <v>15.42</v>
      </c>
      <c r="BZ98" s="17">
        <v>1.36</v>
      </c>
      <c r="CA98" s="17"/>
      <c r="CB98" s="17">
        <v>33</v>
      </c>
      <c r="CC98" s="17">
        <v>1</v>
      </c>
      <c r="CD98" s="37">
        <f t="shared" si="18"/>
        <v>0.50168945343938376</v>
      </c>
      <c r="CE98" s="17">
        <v>65</v>
      </c>
      <c r="CF98" s="22">
        <f t="shared" si="7"/>
        <v>0.50168945343938376</v>
      </c>
      <c r="CG98" s="22">
        <f t="shared" si="15"/>
        <v>0.56090586074258886</v>
      </c>
      <c r="CH98" s="150"/>
      <c r="CI98" s="37">
        <f t="shared" si="17"/>
        <v>6.348912497758652E-2</v>
      </c>
      <c r="CJ98" s="37">
        <f t="shared" si="16"/>
        <v>6.2897540493694337E-2</v>
      </c>
    </row>
    <row r="99" spans="1:88" s="35" customFormat="1" x14ac:dyDescent="0.35">
      <c r="A99" s="50" t="s">
        <v>376</v>
      </c>
      <c r="B99" s="189" t="s">
        <v>377</v>
      </c>
      <c r="C99" s="50" t="s">
        <v>378</v>
      </c>
      <c r="D99" s="190" t="s">
        <v>379</v>
      </c>
      <c r="E99" s="190" t="s">
        <v>380</v>
      </c>
      <c r="F99" s="20" t="s">
        <v>1109</v>
      </c>
      <c r="G99" s="26">
        <v>1</v>
      </c>
      <c r="H99" s="26">
        <v>1</v>
      </c>
      <c r="I99" s="26">
        <v>1</v>
      </c>
      <c r="J99" s="20" t="s">
        <v>1107</v>
      </c>
      <c r="K99" s="84">
        <v>0</v>
      </c>
      <c r="L99" s="45" t="s">
        <v>381</v>
      </c>
      <c r="M99" s="45">
        <v>1</v>
      </c>
      <c r="N99" s="45">
        <v>187</v>
      </c>
      <c r="O99" s="26">
        <v>136</v>
      </c>
      <c r="P99" s="26" t="s">
        <v>31</v>
      </c>
      <c r="Q99" s="26">
        <v>2</v>
      </c>
      <c r="R99" s="26">
        <v>1</v>
      </c>
      <c r="S99" s="46">
        <v>0</v>
      </c>
      <c r="T99" s="26">
        <v>0</v>
      </c>
      <c r="U99" s="26">
        <v>0</v>
      </c>
      <c r="V99" s="26">
        <v>0</v>
      </c>
      <c r="W99" s="26">
        <v>1</v>
      </c>
      <c r="X99" s="26">
        <v>0</v>
      </c>
      <c r="Y99" s="26">
        <v>0</v>
      </c>
      <c r="Z99" s="26">
        <v>1</v>
      </c>
      <c r="AA99" s="20">
        <v>0</v>
      </c>
      <c r="AB99" s="26">
        <v>1</v>
      </c>
      <c r="AC99" s="26" t="s">
        <v>382</v>
      </c>
      <c r="AD99" s="20">
        <v>3.2</v>
      </c>
      <c r="AE99" s="26">
        <v>2.6</v>
      </c>
      <c r="AF99" s="26" t="s">
        <v>220</v>
      </c>
      <c r="AG99" s="26">
        <v>0</v>
      </c>
      <c r="AH99" s="26" t="s">
        <v>35</v>
      </c>
      <c r="AI99" s="26">
        <v>46</v>
      </c>
      <c r="AJ99" s="26">
        <v>40</v>
      </c>
      <c r="AK99" s="26">
        <v>60</v>
      </c>
      <c r="AL99" s="26">
        <v>62</v>
      </c>
      <c r="AM99" s="26">
        <v>50</v>
      </c>
      <c r="AN99" s="26">
        <v>68</v>
      </c>
      <c r="AO99" s="47"/>
      <c r="AP99" s="26">
        <v>0</v>
      </c>
      <c r="AQ99" s="26">
        <v>0</v>
      </c>
      <c r="AR99" s="26">
        <v>0</v>
      </c>
      <c r="AS99" s="26">
        <v>0</v>
      </c>
      <c r="AT99" s="26">
        <v>0</v>
      </c>
      <c r="AU99" s="26">
        <v>1</v>
      </c>
      <c r="AV99" s="26">
        <v>1</v>
      </c>
      <c r="AW99" s="26">
        <v>1</v>
      </c>
      <c r="AX99" s="26">
        <v>1</v>
      </c>
      <c r="AY99" s="34" t="s">
        <v>383</v>
      </c>
      <c r="AZ99" s="25" t="s">
        <v>384</v>
      </c>
      <c r="BA99" s="17" t="s">
        <v>183</v>
      </c>
      <c r="BB99" s="150" t="s">
        <v>385</v>
      </c>
      <c r="BC99" s="150" t="s">
        <v>386</v>
      </c>
      <c r="BD99" s="17"/>
      <c r="BE99" s="17"/>
      <c r="BF99" s="17">
        <v>0</v>
      </c>
      <c r="BG99" s="17">
        <v>0</v>
      </c>
      <c r="BH99" s="17">
        <v>0</v>
      </c>
      <c r="BI99" s="17">
        <v>1</v>
      </c>
      <c r="BJ99" s="17"/>
      <c r="BK99" s="17">
        <v>0.8</v>
      </c>
      <c r="BL99" s="150"/>
      <c r="BM99" s="17">
        <v>188</v>
      </c>
      <c r="BN99" s="17"/>
      <c r="BO99" s="17"/>
      <c r="BP99" s="17"/>
      <c r="BQ99" s="17"/>
      <c r="BR99" s="36"/>
      <c r="BS99" s="36"/>
      <c r="BT99" s="17"/>
      <c r="BU99" s="17" t="s">
        <v>387</v>
      </c>
      <c r="BV99" s="17"/>
      <c r="BW99" s="17"/>
      <c r="BX99" s="17">
        <v>66</v>
      </c>
      <c r="BY99" s="17" t="s">
        <v>388</v>
      </c>
      <c r="BZ99" s="17"/>
      <c r="CA99" s="17"/>
      <c r="CB99" s="17">
        <v>70</v>
      </c>
      <c r="CC99" s="17">
        <v>0</v>
      </c>
      <c r="CD99" s="37">
        <v>0.17</v>
      </c>
      <c r="CE99" s="17">
        <v>136</v>
      </c>
      <c r="CF99" s="22">
        <f t="shared" si="7"/>
        <v>0.17</v>
      </c>
      <c r="CG99" s="22">
        <f t="shared" si="15"/>
        <v>0.19006577808748215</v>
      </c>
      <c r="CH99" s="150"/>
      <c r="CI99" s="37">
        <f t="shared" si="17"/>
        <v>2.9543479437229438E-2</v>
      </c>
      <c r="CJ99" s="37">
        <f t="shared" si="16"/>
        <v>2.9554518398268399E-2</v>
      </c>
    </row>
    <row r="100" spans="1:88" s="35" customFormat="1" x14ac:dyDescent="0.35">
      <c r="A100" s="29" t="s">
        <v>389</v>
      </c>
      <c r="B100" s="183" t="s">
        <v>390</v>
      </c>
      <c r="C100" s="29" t="s">
        <v>192</v>
      </c>
      <c r="D100" s="184" t="s">
        <v>391</v>
      </c>
      <c r="E100" s="184" t="s">
        <v>392</v>
      </c>
      <c r="F100" s="11" t="s">
        <v>1108</v>
      </c>
      <c r="G100" s="27">
        <v>0</v>
      </c>
      <c r="H100" s="27">
        <v>0</v>
      </c>
      <c r="I100" s="27">
        <v>4</v>
      </c>
      <c r="J100" s="11" t="s">
        <v>1106</v>
      </c>
      <c r="K100" s="82">
        <v>0</v>
      </c>
      <c r="L100" s="31" t="s">
        <v>393</v>
      </c>
      <c r="M100" s="31">
        <v>2</v>
      </c>
      <c r="N100" s="31" t="s">
        <v>394</v>
      </c>
      <c r="O100" s="27">
        <v>218</v>
      </c>
      <c r="P100" s="27" t="s">
        <v>147</v>
      </c>
      <c r="Q100" s="27">
        <v>4</v>
      </c>
      <c r="R100" s="27">
        <v>1</v>
      </c>
      <c r="S100" s="32">
        <v>0</v>
      </c>
      <c r="T100" s="27">
        <v>1</v>
      </c>
      <c r="U100" s="27">
        <v>0</v>
      </c>
      <c r="V100" s="27">
        <v>0</v>
      </c>
      <c r="W100" s="27">
        <v>0</v>
      </c>
      <c r="X100" s="27">
        <v>0</v>
      </c>
      <c r="Y100" s="27">
        <v>1</v>
      </c>
      <c r="Z100" s="27">
        <v>0</v>
      </c>
      <c r="AA100" s="11">
        <v>0</v>
      </c>
      <c r="AB100" s="27">
        <v>0</v>
      </c>
      <c r="AC100" s="27" t="s">
        <v>395</v>
      </c>
      <c r="AD100" s="11">
        <v>1.95</v>
      </c>
      <c r="AE100" s="27">
        <f>(2.5+2.6)/2</f>
        <v>2.5499999999999998</v>
      </c>
      <c r="AF100" s="27" t="s">
        <v>396</v>
      </c>
      <c r="AG100" s="27">
        <v>0</v>
      </c>
      <c r="AH100" s="27" t="s">
        <v>35</v>
      </c>
      <c r="AI100" s="27">
        <v>46</v>
      </c>
      <c r="AJ100" s="27">
        <v>40</v>
      </c>
      <c r="AK100" s="27">
        <v>60</v>
      </c>
      <c r="AL100" s="27">
        <v>62</v>
      </c>
      <c r="AM100" s="27">
        <v>50</v>
      </c>
      <c r="AN100" s="27">
        <v>68</v>
      </c>
      <c r="AO100" s="33">
        <v>29</v>
      </c>
      <c r="AP100" s="27">
        <v>0</v>
      </c>
      <c r="AQ100" s="27">
        <v>0</v>
      </c>
      <c r="AR100" s="27">
        <v>1</v>
      </c>
      <c r="AS100" s="27">
        <v>0</v>
      </c>
      <c r="AT100" s="27">
        <v>0</v>
      </c>
      <c r="AU100" s="27">
        <v>0</v>
      </c>
      <c r="AV100" s="27">
        <v>0</v>
      </c>
      <c r="AW100" s="27">
        <v>1</v>
      </c>
      <c r="AX100" s="27">
        <v>1</v>
      </c>
      <c r="AY100" s="34" t="s">
        <v>397</v>
      </c>
      <c r="AZ100" s="25" t="s">
        <v>398</v>
      </c>
      <c r="BA100" s="17" t="s">
        <v>61</v>
      </c>
      <c r="BB100" s="150" t="s">
        <v>399</v>
      </c>
      <c r="BC100" s="150" t="s">
        <v>400</v>
      </c>
      <c r="BD100" s="17">
        <v>2</v>
      </c>
      <c r="BE100" s="17">
        <v>7</v>
      </c>
      <c r="BF100" s="17">
        <v>1</v>
      </c>
      <c r="BG100" s="17">
        <v>1</v>
      </c>
      <c r="BH100" s="17">
        <v>0</v>
      </c>
      <c r="BI100" s="17">
        <v>0</v>
      </c>
      <c r="BJ100" s="17">
        <v>0.61</v>
      </c>
      <c r="BK100" s="17">
        <v>0.61</v>
      </c>
      <c r="BL100" s="150" t="s">
        <v>41</v>
      </c>
      <c r="BM100" s="17">
        <v>60</v>
      </c>
      <c r="BN100" s="17"/>
      <c r="BO100" s="17"/>
      <c r="BP100" s="17"/>
      <c r="BQ100" s="17"/>
      <c r="BR100" s="36"/>
      <c r="BS100" s="36"/>
      <c r="BT100" s="17"/>
      <c r="BU100" s="17">
        <v>4.59</v>
      </c>
      <c r="BV100" s="17">
        <v>1.67</v>
      </c>
      <c r="BW100" s="17"/>
      <c r="BX100" s="17">
        <v>56</v>
      </c>
      <c r="BY100" s="17">
        <v>5.44</v>
      </c>
      <c r="BZ100" s="17">
        <v>1.1000000000000001</v>
      </c>
      <c r="CA100" s="17"/>
      <c r="CB100" s="17">
        <v>56</v>
      </c>
      <c r="CC100" s="17">
        <v>1</v>
      </c>
      <c r="CD100" s="37">
        <f t="shared" ref="CD100:CD113" si="19">(BY100-BU100)/SQRT((((CB100-1)*BZ100^2)+((BX100-1)*BV100^2))/((CB100+BX100)-2))</f>
        <v>0.60112342416266451</v>
      </c>
      <c r="CE100" s="17">
        <v>112</v>
      </c>
      <c r="CF100" s="22">
        <f t="shared" si="7"/>
        <v>0.60112342416266451</v>
      </c>
      <c r="CG100" s="22">
        <f t="shared" si="15"/>
        <v>0.76965967684366376</v>
      </c>
      <c r="CH100" s="150"/>
      <c r="CI100" s="37">
        <f t="shared" si="17"/>
        <v>3.73274525494511E-2</v>
      </c>
      <c r="CJ100" s="37">
        <f t="shared" si="16"/>
        <v>3.7829914350568185E-2</v>
      </c>
    </row>
    <row r="101" spans="1:88" s="35" customFormat="1" x14ac:dyDescent="0.35">
      <c r="A101" s="29" t="s">
        <v>389</v>
      </c>
      <c r="B101" s="183" t="s">
        <v>390</v>
      </c>
      <c r="C101" s="29" t="s">
        <v>192</v>
      </c>
      <c r="D101" s="184" t="s">
        <v>391</v>
      </c>
      <c r="E101" s="184" t="s">
        <v>392</v>
      </c>
      <c r="F101" s="11" t="s">
        <v>1108</v>
      </c>
      <c r="G101" s="27">
        <v>0</v>
      </c>
      <c r="H101" s="27">
        <v>0</v>
      </c>
      <c r="I101" s="27">
        <v>4</v>
      </c>
      <c r="J101" s="11" t="s">
        <v>1106</v>
      </c>
      <c r="K101" s="82">
        <v>0</v>
      </c>
      <c r="L101" s="31" t="s">
        <v>393</v>
      </c>
      <c r="M101" s="31">
        <v>2</v>
      </c>
      <c r="N101" s="31" t="s">
        <v>394</v>
      </c>
      <c r="O101" s="27">
        <v>218</v>
      </c>
      <c r="P101" s="27" t="s">
        <v>147</v>
      </c>
      <c r="Q101" s="27">
        <v>4</v>
      </c>
      <c r="R101" s="27">
        <v>1</v>
      </c>
      <c r="S101" s="32">
        <v>0</v>
      </c>
      <c r="T101" s="27">
        <v>1</v>
      </c>
      <c r="U101" s="27">
        <v>0</v>
      </c>
      <c r="V101" s="27">
        <v>0</v>
      </c>
      <c r="W101" s="27">
        <v>0</v>
      </c>
      <c r="X101" s="27">
        <v>0</v>
      </c>
      <c r="Y101" s="27">
        <v>1</v>
      </c>
      <c r="Z101" s="27">
        <v>0</v>
      </c>
      <c r="AA101" s="11">
        <v>0</v>
      </c>
      <c r="AB101" s="27">
        <v>0</v>
      </c>
      <c r="AC101" s="27" t="s">
        <v>395</v>
      </c>
      <c r="AD101" s="11">
        <v>1.95</v>
      </c>
      <c r="AE101" s="27">
        <v>2.5499999999999998</v>
      </c>
      <c r="AF101" s="27" t="s">
        <v>396</v>
      </c>
      <c r="AG101" s="27">
        <v>0</v>
      </c>
      <c r="AH101" s="27" t="s">
        <v>35</v>
      </c>
      <c r="AI101" s="27">
        <v>46</v>
      </c>
      <c r="AJ101" s="27">
        <v>40</v>
      </c>
      <c r="AK101" s="27">
        <v>60</v>
      </c>
      <c r="AL101" s="27">
        <v>62</v>
      </c>
      <c r="AM101" s="27">
        <v>50</v>
      </c>
      <c r="AN101" s="27">
        <v>68</v>
      </c>
      <c r="AO101" s="33">
        <v>29</v>
      </c>
      <c r="AP101" s="27">
        <v>0</v>
      </c>
      <c r="AQ101" s="27">
        <v>0</v>
      </c>
      <c r="AR101" s="27">
        <v>1</v>
      </c>
      <c r="AS101" s="27">
        <v>0</v>
      </c>
      <c r="AT101" s="27">
        <v>0</v>
      </c>
      <c r="AU101" s="27">
        <v>0</v>
      </c>
      <c r="AV101" s="27">
        <v>0</v>
      </c>
      <c r="AW101" s="27">
        <v>1</v>
      </c>
      <c r="AX101" s="27">
        <v>1</v>
      </c>
      <c r="AY101" s="34" t="s">
        <v>401</v>
      </c>
      <c r="AZ101" s="25" t="s">
        <v>398</v>
      </c>
      <c r="BA101" s="17" t="s">
        <v>61</v>
      </c>
      <c r="BB101" s="150" t="s">
        <v>46</v>
      </c>
      <c r="BC101" s="150" t="s">
        <v>402</v>
      </c>
      <c r="BD101" s="17">
        <v>3</v>
      </c>
      <c r="BE101" s="17">
        <v>7</v>
      </c>
      <c r="BF101" s="17">
        <v>0</v>
      </c>
      <c r="BG101" s="17">
        <v>0</v>
      </c>
      <c r="BH101" s="17">
        <v>1</v>
      </c>
      <c r="BI101" s="17">
        <v>0</v>
      </c>
      <c r="BJ101" s="17">
        <v>0.88</v>
      </c>
      <c r="BK101" s="17">
        <v>0.88</v>
      </c>
      <c r="BL101" s="150" t="s">
        <v>41</v>
      </c>
      <c r="BM101" s="17">
        <v>60</v>
      </c>
      <c r="BN101" s="17"/>
      <c r="BO101" s="17"/>
      <c r="BP101" s="17"/>
      <c r="BQ101" s="17"/>
      <c r="BR101" s="36"/>
      <c r="BS101" s="36"/>
      <c r="BT101" s="17"/>
      <c r="BU101" s="17">
        <v>4.45</v>
      </c>
      <c r="BV101" s="17">
        <v>1.52</v>
      </c>
      <c r="BW101" s="17"/>
      <c r="BX101" s="17">
        <v>56</v>
      </c>
      <c r="BY101" s="17">
        <v>4.16</v>
      </c>
      <c r="BZ101" s="17">
        <v>1.1000000000000001</v>
      </c>
      <c r="CA101" s="17"/>
      <c r="CB101" s="17">
        <v>56</v>
      </c>
      <c r="CC101" s="17">
        <v>0</v>
      </c>
      <c r="CD101" s="37">
        <f t="shared" si="19"/>
        <v>-0.21858330566568174</v>
      </c>
      <c r="CE101" s="17">
        <v>112</v>
      </c>
      <c r="CF101" s="22">
        <f t="shared" si="7"/>
        <v>-0.21858330566568174</v>
      </c>
      <c r="CG101" s="22">
        <f t="shared" si="15"/>
        <v>-0.23301058675650352</v>
      </c>
      <c r="CH101" s="150"/>
      <c r="CI101" s="37">
        <f t="shared" si="17"/>
        <v>3.5927583310338108E-2</v>
      </c>
      <c r="CJ101" s="37">
        <f t="shared" si="16"/>
        <v>3.5908192619787893E-2</v>
      </c>
    </row>
    <row r="102" spans="1:88" s="35" customFormat="1" ht="14.15" customHeight="1" x14ac:dyDescent="0.35">
      <c r="A102" s="29" t="s">
        <v>389</v>
      </c>
      <c r="B102" s="183" t="s">
        <v>390</v>
      </c>
      <c r="C102" s="29" t="s">
        <v>192</v>
      </c>
      <c r="D102" s="184" t="s">
        <v>391</v>
      </c>
      <c r="E102" s="184" t="s">
        <v>392</v>
      </c>
      <c r="F102" s="11" t="s">
        <v>1108</v>
      </c>
      <c r="G102" s="27">
        <v>0</v>
      </c>
      <c r="H102" s="27">
        <v>0</v>
      </c>
      <c r="I102" s="27">
        <v>4</v>
      </c>
      <c r="J102" s="11" t="s">
        <v>1106</v>
      </c>
      <c r="K102" s="82">
        <v>0</v>
      </c>
      <c r="L102" s="31" t="s">
        <v>393</v>
      </c>
      <c r="M102" s="31">
        <v>2</v>
      </c>
      <c r="N102" s="31" t="s">
        <v>394</v>
      </c>
      <c r="O102" s="27">
        <v>218</v>
      </c>
      <c r="P102" s="27" t="s">
        <v>147</v>
      </c>
      <c r="Q102" s="27">
        <v>4</v>
      </c>
      <c r="R102" s="27">
        <v>2</v>
      </c>
      <c r="S102" s="32">
        <v>0</v>
      </c>
      <c r="T102" s="27">
        <v>1</v>
      </c>
      <c r="U102" s="27">
        <v>0</v>
      </c>
      <c r="V102" s="27">
        <v>0</v>
      </c>
      <c r="W102" s="27">
        <v>0</v>
      </c>
      <c r="X102" s="27">
        <v>0</v>
      </c>
      <c r="Y102" s="27">
        <v>1</v>
      </c>
      <c r="Z102" s="27">
        <v>0</v>
      </c>
      <c r="AA102" s="11">
        <v>0</v>
      </c>
      <c r="AB102" s="27">
        <v>0</v>
      </c>
      <c r="AC102" s="27" t="s">
        <v>395</v>
      </c>
      <c r="AD102" s="11">
        <v>1.95</v>
      </c>
      <c r="AE102" s="27">
        <v>2.5499999999999998</v>
      </c>
      <c r="AF102" s="27" t="s">
        <v>396</v>
      </c>
      <c r="AG102" s="27">
        <v>0</v>
      </c>
      <c r="AH102" s="27" t="s">
        <v>35</v>
      </c>
      <c r="AI102" s="27">
        <v>46</v>
      </c>
      <c r="AJ102" s="27">
        <v>40</v>
      </c>
      <c r="AK102" s="27">
        <v>60</v>
      </c>
      <c r="AL102" s="27">
        <v>62</v>
      </c>
      <c r="AM102" s="27">
        <v>50</v>
      </c>
      <c r="AN102" s="27">
        <v>68</v>
      </c>
      <c r="AO102" s="33">
        <v>29</v>
      </c>
      <c r="AP102" s="27">
        <v>0</v>
      </c>
      <c r="AQ102" s="27">
        <v>1</v>
      </c>
      <c r="AR102" s="27">
        <v>0</v>
      </c>
      <c r="AS102" s="27">
        <v>1</v>
      </c>
      <c r="AT102" s="27">
        <v>0</v>
      </c>
      <c r="AU102" s="27">
        <v>0</v>
      </c>
      <c r="AV102" s="27">
        <v>0</v>
      </c>
      <c r="AW102" s="27">
        <v>1</v>
      </c>
      <c r="AX102" s="27">
        <v>1</v>
      </c>
      <c r="AY102" s="34" t="s">
        <v>403</v>
      </c>
      <c r="AZ102" s="25" t="s">
        <v>398</v>
      </c>
      <c r="BA102" s="17" t="s">
        <v>404</v>
      </c>
      <c r="BB102" s="150" t="s">
        <v>399</v>
      </c>
      <c r="BC102" s="150" t="s">
        <v>400</v>
      </c>
      <c r="BD102" s="17">
        <v>2</v>
      </c>
      <c r="BE102" s="17">
        <v>7</v>
      </c>
      <c r="BF102" s="17">
        <v>1</v>
      </c>
      <c r="BG102" s="17">
        <v>1</v>
      </c>
      <c r="BH102" s="17">
        <v>0</v>
      </c>
      <c r="BI102" s="17">
        <v>0</v>
      </c>
      <c r="BJ102" s="17">
        <v>0.61</v>
      </c>
      <c r="BK102" s="17">
        <v>0.61</v>
      </c>
      <c r="BL102" s="150" t="s">
        <v>41</v>
      </c>
      <c r="BM102" s="17">
        <v>60</v>
      </c>
      <c r="BN102" s="17"/>
      <c r="BO102" s="17"/>
      <c r="BP102" s="17"/>
      <c r="BQ102" s="17"/>
      <c r="BR102" s="36"/>
      <c r="BS102" s="36"/>
      <c r="BT102" s="17"/>
      <c r="BU102" s="17">
        <v>4.8899999999999997</v>
      </c>
      <c r="BV102" s="17">
        <v>1.41</v>
      </c>
      <c r="BW102" s="17"/>
      <c r="BX102" s="17">
        <v>56</v>
      </c>
      <c r="BY102" s="17">
        <v>5.44</v>
      </c>
      <c r="BZ102" s="17">
        <v>1.1000000000000001</v>
      </c>
      <c r="CA102" s="17"/>
      <c r="CB102" s="17">
        <v>56</v>
      </c>
      <c r="CC102" s="17">
        <v>1</v>
      </c>
      <c r="CD102" s="37">
        <f t="shared" si="19"/>
        <v>0.43494232094714591</v>
      </c>
      <c r="CE102" s="17">
        <v>112</v>
      </c>
      <c r="CF102" s="22">
        <f t="shared" si="7"/>
        <v>0.43494232094714591</v>
      </c>
      <c r="CG102" s="22">
        <f t="shared" si="15"/>
        <v>0.55688657724844826</v>
      </c>
      <c r="CH102" s="150"/>
      <c r="CI102" s="37">
        <f t="shared" si="17"/>
        <v>3.6558816172102188E-2</v>
      </c>
      <c r="CJ102" s="37">
        <f t="shared" si="16"/>
        <v>3.682186664256961E-2</v>
      </c>
    </row>
    <row r="103" spans="1:88" s="35" customFormat="1" x14ac:dyDescent="0.35">
      <c r="A103" s="29" t="s">
        <v>389</v>
      </c>
      <c r="B103" s="183" t="s">
        <v>390</v>
      </c>
      <c r="C103" s="29" t="s">
        <v>192</v>
      </c>
      <c r="D103" s="184" t="s">
        <v>391</v>
      </c>
      <c r="E103" s="184" t="s">
        <v>392</v>
      </c>
      <c r="F103" s="12" t="s">
        <v>1108</v>
      </c>
      <c r="G103" s="27">
        <v>0</v>
      </c>
      <c r="H103" s="27">
        <v>0</v>
      </c>
      <c r="I103" s="27">
        <v>4</v>
      </c>
      <c r="J103" s="11" t="s">
        <v>1106</v>
      </c>
      <c r="K103" s="82">
        <v>0</v>
      </c>
      <c r="L103" s="31" t="s">
        <v>393</v>
      </c>
      <c r="M103" s="31">
        <v>2</v>
      </c>
      <c r="N103" s="31" t="s">
        <v>394</v>
      </c>
      <c r="O103" s="27">
        <v>218</v>
      </c>
      <c r="P103" s="27" t="s">
        <v>147</v>
      </c>
      <c r="Q103" s="27">
        <v>4</v>
      </c>
      <c r="R103" s="27">
        <v>2</v>
      </c>
      <c r="S103" s="32">
        <v>0</v>
      </c>
      <c r="T103" s="27">
        <v>1</v>
      </c>
      <c r="U103" s="27">
        <v>0</v>
      </c>
      <c r="V103" s="27">
        <v>0</v>
      </c>
      <c r="W103" s="27">
        <v>0</v>
      </c>
      <c r="X103" s="27">
        <v>0</v>
      </c>
      <c r="Y103" s="27">
        <v>1</v>
      </c>
      <c r="Z103" s="27">
        <v>0</v>
      </c>
      <c r="AA103" s="11">
        <v>0</v>
      </c>
      <c r="AB103" s="27">
        <v>0</v>
      </c>
      <c r="AC103" s="27" t="s">
        <v>395</v>
      </c>
      <c r="AD103" s="11">
        <v>1.95</v>
      </c>
      <c r="AE103" s="27">
        <v>2.5499999999999998</v>
      </c>
      <c r="AF103" s="27" t="s">
        <v>396</v>
      </c>
      <c r="AG103" s="27">
        <v>0</v>
      </c>
      <c r="AH103" s="27" t="s">
        <v>35</v>
      </c>
      <c r="AI103" s="27">
        <v>46</v>
      </c>
      <c r="AJ103" s="27">
        <v>40</v>
      </c>
      <c r="AK103" s="27">
        <v>60</v>
      </c>
      <c r="AL103" s="27">
        <v>62</v>
      </c>
      <c r="AM103" s="27">
        <v>50</v>
      </c>
      <c r="AN103" s="27">
        <v>68</v>
      </c>
      <c r="AO103" s="33">
        <v>29</v>
      </c>
      <c r="AP103" s="27">
        <v>0</v>
      </c>
      <c r="AQ103" s="27">
        <v>1</v>
      </c>
      <c r="AR103" s="27">
        <v>0</v>
      </c>
      <c r="AS103" s="27">
        <v>1</v>
      </c>
      <c r="AT103" s="27">
        <v>0</v>
      </c>
      <c r="AU103" s="27">
        <v>0</v>
      </c>
      <c r="AV103" s="27">
        <v>0</v>
      </c>
      <c r="AW103" s="27">
        <v>1</v>
      </c>
      <c r="AX103" s="27">
        <v>1</v>
      </c>
      <c r="AY103" s="34" t="s">
        <v>405</v>
      </c>
      <c r="AZ103" s="25" t="s">
        <v>398</v>
      </c>
      <c r="BA103" s="17" t="s">
        <v>404</v>
      </c>
      <c r="BB103" s="150" t="s">
        <v>46</v>
      </c>
      <c r="BC103" s="150" t="s">
        <v>402</v>
      </c>
      <c r="BD103" s="17">
        <v>3</v>
      </c>
      <c r="BE103" s="17">
        <v>7</v>
      </c>
      <c r="BF103" s="17">
        <v>0</v>
      </c>
      <c r="BG103" s="17">
        <v>0</v>
      </c>
      <c r="BH103" s="17">
        <v>1</v>
      </c>
      <c r="BI103" s="17">
        <v>0</v>
      </c>
      <c r="BJ103" s="17">
        <v>0.88</v>
      </c>
      <c r="BK103" s="17">
        <v>0.88</v>
      </c>
      <c r="BL103" s="150" t="s">
        <v>41</v>
      </c>
      <c r="BM103" s="17">
        <v>60</v>
      </c>
      <c r="BN103" s="17"/>
      <c r="BO103" s="17"/>
      <c r="BP103" s="17"/>
      <c r="BQ103" s="17"/>
      <c r="BR103" s="36"/>
      <c r="BS103" s="36"/>
      <c r="BT103" s="17"/>
      <c r="BU103" s="17">
        <v>4.58</v>
      </c>
      <c r="BV103" s="17">
        <v>1.21</v>
      </c>
      <c r="BW103" s="17"/>
      <c r="BX103" s="17">
        <v>56</v>
      </c>
      <c r="BY103" s="17">
        <v>4.16</v>
      </c>
      <c r="BZ103" s="17">
        <v>1.1000000000000001</v>
      </c>
      <c r="CA103" s="17"/>
      <c r="CB103" s="17">
        <v>56</v>
      </c>
      <c r="CC103" s="17">
        <v>1</v>
      </c>
      <c r="CD103" s="37">
        <f t="shared" si="19"/>
        <v>-0.36322477735434083</v>
      </c>
      <c r="CE103" s="17">
        <v>112</v>
      </c>
      <c r="CF103" s="22">
        <f t="shared" si="7"/>
        <v>-0.36322477735434083</v>
      </c>
      <c r="CG103" s="22">
        <f t="shared" si="15"/>
        <v>-0.38719891365026282</v>
      </c>
      <c r="CH103" s="150"/>
      <c r="CI103" s="37">
        <f t="shared" si="17"/>
        <v>3.6303268923589774E-2</v>
      </c>
      <c r="CJ103" s="37">
        <f t="shared" si="16"/>
        <v>3.6585931055750504E-2</v>
      </c>
    </row>
    <row r="104" spans="1:88" s="35" customFormat="1" x14ac:dyDescent="0.35">
      <c r="A104" s="43" t="s">
        <v>389</v>
      </c>
      <c r="B104" s="183" t="s">
        <v>390</v>
      </c>
      <c r="C104" s="29" t="s">
        <v>192</v>
      </c>
      <c r="D104" s="184" t="s">
        <v>391</v>
      </c>
      <c r="E104" s="184" t="s">
        <v>392</v>
      </c>
      <c r="F104" s="12" t="s">
        <v>1108</v>
      </c>
      <c r="G104" s="27">
        <v>0</v>
      </c>
      <c r="H104" s="27">
        <v>0</v>
      </c>
      <c r="I104" s="27">
        <v>4</v>
      </c>
      <c r="J104" s="11" t="s">
        <v>1106</v>
      </c>
      <c r="K104" s="82">
        <v>0</v>
      </c>
      <c r="L104" s="31" t="s">
        <v>393</v>
      </c>
      <c r="M104" s="31">
        <v>2</v>
      </c>
      <c r="N104" s="31" t="s">
        <v>394</v>
      </c>
      <c r="O104" s="27">
        <v>218</v>
      </c>
      <c r="P104" s="27" t="s">
        <v>147</v>
      </c>
      <c r="Q104" s="27">
        <v>4</v>
      </c>
      <c r="R104" s="27">
        <v>3</v>
      </c>
      <c r="S104" s="32">
        <v>0</v>
      </c>
      <c r="T104" s="27">
        <v>0</v>
      </c>
      <c r="U104" s="27">
        <v>0</v>
      </c>
      <c r="V104" s="27">
        <v>0</v>
      </c>
      <c r="W104" s="27">
        <v>1</v>
      </c>
      <c r="X104" s="27">
        <v>0</v>
      </c>
      <c r="Y104" s="27">
        <v>0</v>
      </c>
      <c r="Z104" s="27">
        <v>1</v>
      </c>
      <c r="AA104" s="11">
        <v>0</v>
      </c>
      <c r="AB104" s="27">
        <v>0</v>
      </c>
      <c r="AC104" s="27" t="s">
        <v>395</v>
      </c>
      <c r="AD104" s="11">
        <v>1.95</v>
      </c>
      <c r="AE104" s="27">
        <v>2.5499999999999998</v>
      </c>
      <c r="AF104" s="27" t="s">
        <v>396</v>
      </c>
      <c r="AG104" s="27">
        <v>0</v>
      </c>
      <c r="AH104" s="27" t="s">
        <v>35</v>
      </c>
      <c r="AI104" s="27">
        <v>46</v>
      </c>
      <c r="AJ104" s="27">
        <v>40</v>
      </c>
      <c r="AK104" s="27">
        <v>60</v>
      </c>
      <c r="AL104" s="27">
        <v>62</v>
      </c>
      <c r="AM104" s="27">
        <v>50</v>
      </c>
      <c r="AN104" s="27">
        <v>68</v>
      </c>
      <c r="AO104" s="33">
        <v>29</v>
      </c>
      <c r="AP104" s="27">
        <v>0</v>
      </c>
      <c r="AQ104" s="27">
        <v>0</v>
      </c>
      <c r="AR104" s="27">
        <v>1</v>
      </c>
      <c r="AS104" s="27">
        <v>0</v>
      </c>
      <c r="AT104" s="27">
        <v>0</v>
      </c>
      <c r="AU104" s="27">
        <v>0</v>
      </c>
      <c r="AV104" s="27">
        <v>0</v>
      </c>
      <c r="AW104" s="27">
        <v>1</v>
      </c>
      <c r="AX104" s="27">
        <v>1</v>
      </c>
      <c r="AY104" s="34" t="s">
        <v>406</v>
      </c>
      <c r="AZ104" s="25" t="s">
        <v>398</v>
      </c>
      <c r="BA104" s="17" t="s">
        <v>183</v>
      </c>
      <c r="BB104" s="150" t="s">
        <v>399</v>
      </c>
      <c r="BC104" s="150" t="s">
        <v>400</v>
      </c>
      <c r="BD104" s="17">
        <v>2</v>
      </c>
      <c r="BE104" s="17">
        <v>7</v>
      </c>
      <c r="BF104" s="17">
        <v>1</v>
      </c>
      <c r="BG104" s="17">
        <v>1</v>
      </c>
      <c r="BH104" s="17">
        <v>0</v>
      </c>
      <c r="BI104" s="17">
        <v>0</v>
      </c>
      <c r="BJ104" s="17">
        <v>0.61</v>
      </c>
      <c r="BK104" s="17">
        <v>0.61</v>
      </c>
      <c r="BL104" s="150" t="s">
        <v>41</v>
      </c>
      <c r="BM104" s="17">
        <v>60</v>
      </c>
      <c r="BN104" s="17"/>
      <c r="BO104" s="17"/>
      <c r="BP104" s="17"/>
      <c r="BQ104" s="17"/>
      <c r="BR104" s="36"/>
      <c r="BS104" s="36"/>
      <c r="BT104" s="17"/>
      <c r="BU104" s="17">
        <v>4.59</v>
      </c>
      <c r="BV104" s="17">
        <v>1.67</v>
      </c>
      <c r="BW104" s="17"/>
      <c r="BX104" s="17">
        <v>56</v>
      </c>
      <c r="BY104" s="17">
        <v>5.27</v>
      </c>
      <c r="BZ104" s="17">
        <v>1.21</v>
      </c>
      <c r="CA104" s="17"/>
      <c r="CB104" s="17">
        <v>56</v>
      </c>
      <c r="CC104" s="17">
        <v>1</v>
      </c>
      <c r="CD104" s="37">
        <f t="shared" si="19"/>
        <v>0.46631160005628097</v>
      </c>
      <c r="CE104" s="17">
        <v>112</v>
      </c>
      <c r="CF104" s="22">
        <f t="shared" si="7"/>
        <v>0.46631160005628097</v>
      </c>
      <c r="CG104" s="22">
        <f t="shared" si="15"/>
        <v>0.5970508234772266</v>
      </c>
      <c r="CH104" s="150"/>
      <c r="CI104" s="37">
        <f t="shared" si="17"/>
        <v>3.6685029055120749E-2</v>
      </c>
      <c r="CJ104" s="37">
        <f t="shared" si="16"/>
        <v>3.7786783887627774E-2</v>
      </c>
    </row>
    <row r="105" spans="1:88" s="35" customFormat="1" x14ac:dyDescent="0.35">
      <c r="A105" s="29" t="s">
        <v>389</v>
      </c>
      <c r="B105" s="183" t="s">
        <v>390</v>
      </c>
      <c r="C105" s="29" t="s">
        <v>192</v>
      </c>
      <c r="D105" s="184" t="s">
        <v>391</v>
      </c>
      <c r="E105" s="184" t="s">
        <v>392</v>
      </c>
      <c r="F105" s="11" t="s">
        <v>1108</v>
      </c>
      <c r="G105" s="27">
        <v>0</v>
      </c>
      <c r="H105" s="27">
        <v>0</v>
      </c>
      <c r="I105" s="27">
        <v>4</v>
      </c>
      <c r="J105" s="11" t="s">
        <v>1106</v>
      </c>
      <c r="K105" s="82">
        <v>0</v>
      </c>
      <c r="L105" s="31" t="s">
        <v>393</v>
      </c>
      <c r="M105" s="31">
        <v>2</v>
      </c>
      <c r="N105" s="31" t="s">
        <v>394</v>
      </c>
      <c r="O105" s="27">
        <v>218</v>
      </c>
      <c r="P105" s="27" t="s">
        <v>147</v>
      </c>
      <c r="Q105" s="27">
        <v>4</v>
      </c>
      <c r="R105" s="27">
        <v>3</v>
      </c>
      <c r="S105" s="32">
        <v>0</v>
      </c>
      <c r="T105" s="27">
        <v>0</v>
      </c>
      <c r="U105" s="27">
        <v>0</v>
      </c>
      <c r="V105" s="27">
        <v>0</v>
      </c>
      <c r="W105" s="27">
        <v>1</v>
      </c>
      <c r="X105" s="27">
        <v>0</v>
      </c>
      <c r="Y105" s="27">
        <v>0</v>
      </c>
      <c r="Z105" s="27">
        <v>1</v>
      </c>
      <c r="AA105" s="11">
        <v>0</v>
      </c>
      <c r="AB105" s="27">
        <v>0</v>
      </c>
      <c r="AC105" s="27" t="s">
        <v>395</v>
      </c>
      <c r="AD105" s="11">
        <v>1.95</v>
      </c>
      <c r="AE105" s="27">
        <v>2.5499999999999998</v>
      </c>
      <c r="AF105" s="27" t="s">
        <v>396</v>
      </c>
      <c r="AG105" s="27">
        <v>0</v>
      </c>
      <c r="AH105" s="27" t="s">
        <v>35</v>
      </c>
      <c r="AI105" s="27">
        <v>46</v>
      </c>
      <c r="AJ105" s="27">
        <v>40</v>
      </c>
      <c r="AK105" s="27">
        <v>60</v>
      </c>
      <c r="AL105" s="27">
        <v>62</v>
      </c>
      <c r="AM105" s="27">
        <v>50</v>
      </c>
      <c r="AN105" s="27">
        <v>68</v>
      </c>
      <c r="AO105" s="33">
        <v>29</v>
      </c>
      <c r="AP105" s="27">
        <v>0</v>
      </c>
      <c r="AQ105" s="27">
        <v>0</v>
      </c>
      <c r="AR105" s="27">
        <v>1</v>
      </c>
      <c r="AS105" s="27">
        <v>0</v>
      </c>
      <c r="AT105" s="27">
        <v>0</v>
      </c>
      <c r="AU105" s="27">
        <v>0</v>
      </c>
      <c r="AV105" s="27">
        <v>0</v>
      </c>
      <c r="AW105" s="27">
        <v>1</v>
      </c>
      <c r="AX105" s="27">
        <v>1</v>
      </c>
      <c r="AY105" s="34" t="s">
        <v>407</v>
      </c>
      <c r="AZ105" s="25" t="s">
        <v>398</v>
      </c>
      <c r="BA105" s="17" t="s">
        <v>183</v>
      </c>
      <c r="BB105" s="150" t="s">
        <v>46</v>
      </c>
      <c r="BC105" s="150" t="s">
        <v>402</v>
      </c>
      <c r="BD105" s="17">
        <v>3</v>
      </c>
      <c r="BE105" s="17">
        <v>7</v>
      </c>
      <c r="BF105" s="17">
        <v>0</v>
      </c>
      <c r="BG105" s="17">
        <v>0</v>
      </c>
      <c r="BH105" s="17">
        <v>1</v>
      </c>
      <c r="BI105" s="17">
        <v>0</v>
      </c>
      <c r="BJ105" s="17">
        <v>0.88</v>
      </c>
      <c r="BK105" s="17">
        <v>0.88</v>
      </c>
      <c r="BL105" s="150" t="s">
        <v>41</v>
      </c>
      <c r="BM105" s="17">
        <v>60</v>
      </c>
      <c r="BN105" s="17"/>
      <c r="BO105" s="17"/>
      <c r="BP105" s="17"/>
      <c r="BQ105" s="17"/>
      <c r="BR105" s="36"/>
      <c r="BS105" s="36"/>
      <c r="BT105" s="17"/>
      <c r="BU105" s="17">
        <v>4.45</v>
      </c>
      <c r="BV105" s="17">
        <v>1.52</v>
      </c>
      <c r="BW105" s="17"/>
      <c r="BX105" s="17">
        <v>56</v>
      </c>
      <c r="BY105" s="17">
        <v>5.16</v>
      </c>
      <c r="BZ105" s="17">
        <v>1.23</v>
      </c>
      <c r="CA105" s="17"/>
      <c r="CB105" s="17">
        <v>56</v>
      </c>
      <c r="CC105" s="17">
        <v>1</v>
      </c>
      <c r="CD105" s="37">
        <f t="shared" si="19"/>
        <v>0.51351621089991728</v>
      </c>
      <c r="CE105" s="17">
        <v>112</v>
      </c>
      <c r="CF105" s="22">
        <f t="shared" si="7"/>
        <v>0.51351621089991728</v>
      </c>
      <c r="CG105" s="22">
        <f t="shared" si="15"/>
        <v>0.54741012012040546</v>
      </c>
      <c r="CH105" s="150"/>
      <c r="CI105" s="37">
        <f t="shared" si="17"/>
        <v>3.6891512941325928E-2</v>
      </c>
      <c r="CJ105" s="37">
        <f t="shared" si="16"/>
        <v>3.7610854319413793E-2</v>
      </c>
    </row>
    <row r="106" spans="1:88" s="35" customFormat="1" x14ac:dyDescent="0.35">
      <c r="A106" s="29" t="s">
        <v>389</v>
      </c>
      <c r="B106" s="183" t="s">
        <v>390</v>
      </c>
      <c r="C106" s="29" t="s">
        <v>192</v>
      </c>
      <c r="D106" s="184" t="s">
        <v>391</v>
      </c>
      <c r="E106" s="184" t="s">
        <v>392</v>
      </c>
      <c r="F106" s="12" t="s">
        <v>1108</v>
      </c>
      <c r="G106" s="27">
        <v>0</v>
      </c>
      <c r="H106" s="27">
        <v>0</v>
      </c>
      <c r="I106" s="27">
        <v>4</v>
      </c>
      <c r="J106" s="11" t="s">
        <v>1106</v>
      </c>
      <c r="K106" s="82">
        <v>0</v>
      </c>
      <c r="L106" s="31" t="s">
        <v>393</v>
      </c>
      <c r="M106" s="31">
        <v>2</v>
      </c>
      <c r="N106" s="31" t="s">
        <v>394</v>
      </c>
      <c r="O106" s="27">
        <v>218</v>
      </c>
      <c r="P106" s="27" t="s">
        <v>147</v>
      </c>
      <c r="Q106" s="27">
        <v>4</v>
      </c>
      <c r="R106" s="27">
        <v>4</v>
      </c>
      <c r="S106" s="32">
        <v>0</v>
      </c>
      <c r="T106" s="27">
        <v>0</v>
      </c>
      <c r="U106" s="27">
        <v>0</v>
      </c>
      <c r="V106" s="27">
        <v>0</v>
      </c>
      <c r="W106" s="27">
        <v>1</v>
      </c>
      <c r="X106" s="27">
        <v>0</v>
      </c>
      <c r="Y106" s="27">
        <v>0</v>
      </c>
      <c r="Z106" s="27">
        <v>1</v>
      </c>
      <c r="AA106" s="11">
        <v>0</v>
      </c>
      <c r="AB106" s="27">
        <v>0</v>
      </c>
      <c r="AC106" s="27" t="s">
        <v>395</v>
      </c>
      <c r="AD106" s="11">
        <v>1.95</v>
      </c>
      <c r="AE106" s="27">
        <v>2.5499999999999998</v>
      </c>
      <c r="AF106" s="27" t="s">
        <v>396</v>
      </c>
      <c r="AG106" s="27">
        <v>0</v>
      </c>
      <c r="AH106" s="27" t="s">
        <v>35</v>
      </c>
      <c r="AI106" s="27">
        <v>46</v>
      </c>
      <c r="AJ106" s="27">
        <v>40</v>
      </c>
      <c r="AK106" s="27">
        <v>60</v>
      </c>
      <c r="AL106" s="27">
        <v>62</v>
      </c>
      <c r="AM106" s="27">
        <v>50</v>
      </c>
      <c r="AN106" s="27">
        <v>68</v>
      </c>
      <c r="AO106" s="33">
        <v>29</v>
      </c>
      <c r="AP106" s="27">
        <v>0</v>
      </c>
      <c r="AQ106" s="27">
        <v>1</v>
      </c>
      <c r="AR106" s="27">
        <v>0</v>
      </c>
      <c r="AS106" s="27">
        <v>1</v>
      </c>
      <c r="AT106" s="27">
        <v>0</v>
      </c>
      <c r="AU106" s="27">
        <v>0</v>
      </c>
      <c r="AV106" s="27">
        <v>0</v>
      </c>
      <c r="AW106" s="27">
        <v>1</v>
      </c>
      <c r="AX106" s="27">
        <v>1</v>
      </c>
      <c r="AY106" s="34" t="s">
        <v>408</v>
      </c>
      <c r="AZ106" s="25" t="s">
        <v>398</v>
      </c>
      <c r="BA106" s="17" t="s">
        <v>409</v>
      </c>
      <c r="BB106" s="150" t="s">
        <v>399</v>
      </c>
      <c r="BC106" s="150" t="s">
        <v>400</v>
      </c>
      <c r="BD106" s="17">
        <v>2</v>
      </c>
      <c r="BE106" s="17">
        <v>7</v>
      </c>
      <c r="BF106" s="17">
        <v>1</v>
      </c>
      <c r="BG106" s="17">
        <v>1</v>
      </c>
      <c r="BH106" s="17">
        <v>0</v>
      </c>
      <c r="BI106" s="17">
        <v>0</v>
      </c>
      <c r="BJ106" s="17">
        <v>0.61</v>
      </c>
      <c r="BK106" s="17">
        <v>0.61</v>
      </c>
      <c r="BL106" s="150" t="s">
        <v>41</v>
      </c>
      <c r="BM106" s="17">
        <v>60</v>
      </c>
      <c r="BN106" s="17"/>
      <c r="BO106" s="17"/>
      <c r="BP106" s="17"/>
      <c r="BQ106" s="17"/>
      <c r="BR106" s="36"/>
      <c r="BS106" s="36"/>
      <c r="BT106" s="17"/>
      <c r="BU106" s="17">
        <v>4.8899999999999997</v>
      </c>
      <c r="BV106" s="17">
        <v>1.41</v>
      </c>
      <c r="BW106" s="17"/>
      <c r="BX106" s="17">
        <v>56</v>
      </c>
      <c r="BY106" s="17">
        <v>5.27</v>
      </c>
      <c r="BZ106" s="17">
        <v>1.21</v>
      </c>
      <c r="CA106" s="17"/>
      <c r="CB106" s="17">
        <v>56</v>
      </c>
      <c r="CC106" s="17">
        <v>1</v>
      </c>
      <c r="CD106" s="37">
        <f t="shared" si="19"/>
        <v>0.28923485018793116</v>
      </c>
      <c r="CE106" s="17">
        <v>112</v>
      </c>
      <c r="CF106" s="22">
        <f t="shared" si="7"/>
        <v>0.28923485018793116</v>
      </c>
      <c r="CG106" s="22">
        <f t="shared" si="15"/>
        <v>0.37032727785921299</v>
      </c>
      <c r="CH106" s="150"/>
      <c r="CI106" s="37">
        <f t="shared" si="17"/>
        <v>3.6087753565014438E-2</v>
      </c>
      <c r="CJ106" s="37">
        <f t="shared" si="16"/>
        <v>3.6582274908757956E-2</v>
      </c>
    </row>
    <row r="107" spans="1:88" s="35" customFormat="1" x14ac:dyDescent="0.35">
      <c r="A107" s="38" t="s">
        <v>389</v>
      </c>
      <c r="B107" s="185" t="s">
        <v>390</v>
      </c>
      <c r="C107" s="38" t="s">
        <v>192</v>
      </c>
      <c r="D107" s="186" t="s">
        <v>391</v>
      </c>
      <c r="E107" s="186" t="s">
        <v>392</v>
      </c>
      <c r="F107" s="18" t="s">
        <v>1108</v>
      </c>
      <c r="G107" s="28">
        <v>0</v>
      </c>
      <c r="H107" s="28">
        <v>0</v>
      </c>
      <c r="I107" s="28">
        <v>4</v>
      </c>
      <c r="J107" s="18" t="s">
        <v>1106</v>
      </c>
      <c r="K107" s="83">
        <v>0</v>
      </c>
      <c r="L107" s="40" t="s">
        <v>393</v>
      </c>
      <c r="M107" s="40">
        <v>2</v>
      </c>
      <c r="N107" s="40" t="s">
        <v>394</v>
      </c>
      <c r="O107" s="28">
        <v>218</v>
      </c>
      <c r="P107" s="28" t="s">
        <v>147</v>
      </c>
      <c r="Q107" s="28">
        <v>4</v>
      </c>
      <c r="R107" s="28">
        <v>4</v>
      </c>
      <c r="S107" s="41">
        <v>0</v>
      </c>
      <c r="T107" s="28">
        <v>0</v>
      </c>
      <c r="U107" s="28">
        <v>0</v>
      </c>
      <c r="V107" s="28">
        <v>0</v>
      </c>
      <c r="W107" s="28">
        <v>1</v>
      </c>
      <c r="X107" s="28">
        <v>0</v>
      </c>
      <c r="Y107" s="28">
        <v>0</v>
      </c>
      <c r="Z107" s="28">
        <v>1</v>
      </c>
      <c r="AA107" s="18">
        <v>0</v>
      </c>
      <c r="AB107" s="28">
        <v>0</v>
      </c>
      <c r="AC107" s="28" t="s">
        <v>395</v>
      </c>
      <c r="AD107" s="18">
        <v>1.95</v>
      </c>
      <c r="AE107" s="28">
        <v>2.5499999999999998</v>
      </c>
      <c r="AF107" s="28" t="s">
        <v>396</v>
      </c>
      <c r="AG107" s="28">
        <v>0</v>
      </c>
      <c r="AH107" s="28" t="s">
        <v>35</v>
      </c>
      <c r="AI107" s="28">
        <v>46</v>
      </c>
      <c r="AJ107" s="28">
        <v>40</v>
      </c>
      <c r="AK107" s="28">
        <v>60</v>
      </c>
      <c r="AL107" s="28">
        <v>62</v>
      </c>
      <c r="AM107" s="28">
        <v>50</v>
      </c>
      <c r="AN107" s="28">
        <v>68</v>
      </c>
      <c r="AO107" s="42">
        <v>29</v>
      </c>
      <c r="AP107" s="28">
        <v>0</v>
      </c>
      <c r="AQ107" s="28">
        <v>1</v>
      </c>
      <c r="AR107" s="28">
        <v>0</v>
      </c>
      <c r="AS107" s="28">
        <v>1</v>
      </c>
      <c r="AT107" s="28">
        <v>0</v>
      </c>
      <c r="AU107" s="28">
        <v>0</v>
      </c>
      <c r="AV107" s="28">
        <v>0</v>
      </c>
      <c r="AW107" s="28">
        <v>1</v>
      </c>
      <c r="AX107" s="28">
        <v>1</v>
      </c>
      <c r="AY107" s="34" t="s">
        <v>410</v>
      </c>
      <c r="AZ107" s="25" t="s">
        <v>398</v>
      </c>
      <c r="BA107" s="17" t="s">
        <v>409</v>
      </c>
      <c r="BB107" s="150" t="s">
        <v>46</v>
      </c>
      <c r="BC107" s="150" t="s">
        <v>402</v>
      </c>
      <c r="BD107" s="17">
        <v>3</v>
      </c>
      <c r="BE107" s="17">
        <v>7</v>
      </c>
      <c r="BF107" s="17">
        <v>0</v>
      </c>
      <c r="BG107" s="17">
        <v>0</v>
      </c>
      <c r="BH107" s="17">
        <v>1</v>
      </c>
      <c r="BI107" s="17">
        <v>0</v>
      </c>
      <c r="BJ107" s="17">
        <v>0.88</v>
      </c>
      <c r="BK107" s="17">
        <v>0.88</v>
      </c>
      <c r="BL107" s="150" t="s">
        <v>41</v>
      </c>
      <c r="BM107" s="17">
        <v>60</v>
      </c>
      <c r="BN107" s="17"/>
      <c r="BO107" s="17"/>
      <c r="BP107" s="17"/>
      <c r="BQ107" s="17"/>
      <c r="BR107" s="36"/>
      <c r="BS107" s="36"/>
      <c r="BT107" s="17"/>
      <c r="BU107" s="17">
        <v>4.58</v>
      </c>
      <c r="BV107" s="17">
        <v>1.21</v>
      </c>
      <c r="BW107" s="17"/>
      <c r="BX107" s="17">
        <v>56</v>
      </c>
      <c r="BY107" s="17">
        <v>5.16</v>
      </c>
      <c r="BZ107" s="17">
        <v>1.23</v>
      </c>
      <c r="CA107" s="17"/>
      <c r="CB107" s="17">
        <v>56</v>
      </c>
      <c r="CC107" s="17">
        <v>1</v>
      </c>
      <c r="CD107" s="37">
        <f t="shared" si="19"/>
        <v>0.47539386637054371</v>
      </c>
      <c r="CE107" s="17">
        <v>112</v>
      </c>
      <c r="CF107" s="22">
        <f t="shared" si="7"/>
        <v>0.47539386637054371</v>
      </c>
      <c r="CG107" s="22">
        <f t="shared" si="15"/>
        <v>0.50677156430631631</v>
      </c>
      <c r="CH107" s="150"/>
      <c r="CI107" s="37">
        <f t="shared" si="17"/>
        <v>3.6723211286530062E-2</v>
      </c>
      <c r="CJ107" s="37">
        <f t="shared" si="16"/>
        <v>3.736055121678232E-2</v>
      </c>
    </row>
    <row r="108" spans="1:88" s="35" customFormat="1" x14ac:dyDescent="0.35">
      <c r="A108" s="29" t="s">
        <v>411</v>
      </c>
      <c r="B108" s="183" t="s">
        <v>412</v>
      </c>
      <c r="C108" s="29" t="s">
        <v>413</v>
      </c>
      <c r="D108" s="184" t="s">
        <v>414</v>
      </c>
      <c r="E108" s="184" t="s">
        <v>415</v>
      </c>
      <c r="F108" s="11" t="s">
        <v>1109</v>
      </c>
      <c r="G108" s="27">
        <v>0</v>
      </c>
      <c r="H108" s="27">
        <v>1</v>
      </c>
      <c r="I108" s="27">
        <v>2</v>
      </c>
      <c r="J108" s="11" t="s">
        <v>1107</v>
      </c>
      <c r="K108" s="82">
        <v>0</v>
      </c>
      <c r="L108" s="31" t="s">
        <v>416</v>
      </c>
      <c r="M108" s="31">
        <v>1</v>
      </c>
      <c r="N108" s="31">
        <v>796</v>
      </c>
      <c r="O108" s="27">
        <v>1514</v>
      </c>
      <c r="P108" s="27" t="s">
        <v>147</v>
      </c>
      <c r="Q108" s="27">
        <v>2</v>
      </c>
      <c r="R108" s="27">
        <v>1</v>
      </c>
      <c r="S108" s="32">
        <v>0</v>
      </c>
      <c r="T108" s="27">
        <v>0</v>
      </c>
      <c r="U108" s="27">
        <v>0</v>
      </c>
      <c r="V108" s="27">
        <v>0</v>
      </c>
      <c r="W108" s="27">
        <v>1</v>
      </c>
      <c r="X108" s="27">
        <v>0</v>
      </c>
      <c r="Y108" s="27">
        <v>0</v>
      </c>
      <c r="Z108" s="27">
        <v>1</v>
      </c>
      <c r="AA108" s="11">
        <v>0</v>
      </c>
      <c r="AB108" s="27">
        <v>0</v>
      </c>
      <c r="AC108" s="27" t="s">
        <v>382</v>
      </c>
      <c r="AD108" s="11">
        <v>3.2</v>
      </c>
      <c r="AE108" s="27">
        <v>2.6</v>
      </c>
      <c r="AF108" s="27" t="s">
        <v>417</v>
      </c>
      <c r="AG108" s="27">
        <v>1</v>
      </c>
      <c r="AH108" s="27" t="s">
        <v>180</v>
      </c>
      <c r="AI108" s="27">
        <v>69</v>
      </c>
      <c r="AJ108" s="27">
        <v>58</v>
      </c>
      <c r="AK108" s="27">
        <v>40</v>
      </c>
      <c r="AL108" s="27">
        <v>45</v>
      </c>
      <c r="AM108" s="27">
        <v>87</v>
      </c>
      <c r="AN108" s="27">
        <v>49</v>
      </c>
      <c r="AO108" s="33">
        <v>26</v>
      </c>
      <c r="AP108" s="27">
        <v>1</v>
      </c>
      <c r="AQ108" s="27">
        <v>0</v>
      </c>
      <c r="AR108" s="27">
        <v>0</v>
      </c>
      <c r="AS108" s="27">
        <v>0</v>
      </c>
      <c r="AT108" s="27">
        <v>0</v>
      </c>
      <c r="AU108" s="27">
        <v>1</v>
      </c>
      <c r="AV108" s="27">
        <v>0</v>
      </c>
      <c r="AW108" s="27">
        <v>1</v>
      </c>
      <c r="AX108" s="27">
        <v>1</v>
      </c>
      <c r="AY108" s="34" t="s">
        <v>418</v>
      </c>
      <c r="AZ108" s="25" t="s">
        <v>419</v>
      </c>
      <c r="BA108" s="17" t="s">
        <v>183</v>
      </c>
      <c r="BB108" s="150" t="s">
        <v>420</v>
      </c>
      <c r="BC108" s="150"/>
      <c r="BD108" s="17">
        <v>3</v>
      </c>
      <c r="BE108" s="17">
        <v>7</v>
      </c>
      <c r="BF108" s="17">
        <v>1</v>
      </c>
      <c r="BG108" s="17">
        <v>1</v>
      </c>
      <c r="BH108" s="17">
        <v>0</v>
      </c>
      <c r="BI108" s="17">
        <v>0</v>
      </c>
      <c r="BJ108" s="17">
        <v>0.82</v>
      </c>
      <c r="BK108" s="17">
        <v>0.82</v>
      </c>
      <c r="BL108" s="150" t="s">
        <v>41</v>
      </c>
      <c r="BM108" s="17">
        <v>799</v>
      </c>
      <c r="BN108" s="17"/>
      <c r="BO108" s="17"/>
      <c r="BP108" s="17"/>
      <c r="BQ108" s="17"/>
      <c r="BR108" s="36"/>
      <c r="BS108" s="36"/>
      <c r="BT108" s="17"/>
      <c r="BU108" s="17">
        <v>14.01</v>
      </c>
      <c r="BV108" s="17">
        <v>3.1</v>
      </c>
      <c r="BW108" s="17"/>
      <c r="BX108" s="17">
        <v>757</v>
      </c>
      <c r="BY108" s="17">
        <v>14.26</v>
      </c>
      <c r="BZ108" s="17">
        <v>2.87</v>
      </c>
      <c r="CA108" s="17"/>
      <c r="CB108" s="17">
        <v>757</v>
      </c>
      <c r="CC108" s="17">
        <v>0</v>
      </c>
      <c r="CD108" s="37">
        <f t="shared" si="19"/>
        <v>8.3690008390730528E-2</v>
      </c>
      <c r="CE108" s="17">
        <v>1514</v>
      </c>
      <c r="CF108" s="22">
        <f t="shared" si="7"/>
        <v>8.3690008390730528E-2</v>
      </c>
      <c r="CG108" s="22">
        <f t="shared" si="15"/>
        <v>9.242015343805085E-2</v>
      </c>
      <c r="CH108" s="150"/>
      <c r="CI108" s="37">
        <f t="shared" si="17"/>
        <v>2.6443210097438709E-3</v>
      </c>
      <c r="CJ108" s="37">
        <f t="shared" si="16"/>
        <v>2.6474902654085746E-3</v>
      </c>
    </row>
    <row r="109" spans="1:88" s="35" customFormat="1" x14ac:dyDescent="0.35">
      <c r="A109" s="29" t="s">
        <v>411</v>
      </c>
      <c r="B109" s="183" t="s">
        <v>412</v>
      </c>
      <c r="C109" s="29" t="s">
        <v>413</v>
      </c>
      <c r="D109" s="184" t="s">
        <v>414</v>
      </c>
      <c r="E109" s="184" t="s">
        <v>415</v>
      </c>
      <c r="F109" s="12" t="s">
        <v>1109</v>
      </c>
      <c r="G109" s="27">
        <v>0</v>
      </c>
      <c r="H109" s="27">
        <v>1</v>
      </c>
      <c r="I109" s="27">
        <v>2</v>
      </c>
      <c r="J109" s="11" t="s">
        <v>1107</v>
      </c>
      <c r="K109" s="82">
        <v>0</v>
      </c>
      <c r="L109" s="31" t="s">
        <v>416</v>
      </c>
      <c r="M109" s="31">
        <v>1</v>
      </c>
      <c r="N109" s="31">
        <v>796</v>
      </c>
      <c r="O109" s="27">
        <v>1514</v>
      </c>
      <c r="P109" s="27" t="s">
        <v>147</v>
      </c>
      <c r="Q109" s="27">
        <v>2</v>
      </c>
      <c r="R109" s="27">
        <v>1</v>
      </c>
      <c r="S109" s="32">
        <v>0</v>
      </c>
      <c r="T109" s="27">
        <v>0</v>
      </c>
      <c r="U109" s="27">
        <v>0</v>
      </c>
      <c r="V109" s="27">
        <v>0</v>
      </c>
      <c r="W109" s="27">
        <v>1</v>
      </c>
      <c r="X109" s="27">
        <v>0</v>
      </c>
      <c r="Y109" s="27">
        <v>0</v>
      </c>
      <c r="Z109" s="27">
        <v>1</v>
      </c>
      <c r="AA109" s="12">
        <v>0</v>
      </c>
      <c r="AB109" s="27">
        <v>0</v>
      </c>
      <c r="AC109" s="27" t="s">
        <v>382</v>
      </c>
      <c r="AD109" s="12">
        <v>3.2</v>
      </c>
      <c r="AE109" s="27">
        <v>2.6</v>
      </c>
      <c r="AF109" s="27" t="s">
        <v>417</v>
      </c>
      <c r="AG109" s="27">
        <v>1</v>
      </c>
      <c r="AH109" s="27" t="s">
        <v>180</v>
      </c>
      <c r="AI109" s="27">
        <v>69</v>
      </c>
      <c r="AJ109" s="27">
        <v>58</v>
      </c>
      <c r="AK109" s="27">
        <v>40</v>
      </c>
      <c r="AL109" s="27">
        <v>45</v>
      </c>
      <c r="AM109" s="27">
        <v>87</v>
      </c>
      <c r="AN109" s="27">
        <v>49</v>
      </c>
      <c r="AO109" s="33">
        <v>26</v>
      </c>
      <c r="AP109" s="27">
        <v>1</v>
      </c>
      <c r="AQ109" s="27">
        <v>0</v>
      </c>
      <c r="AR109" s="27">
        <v>0</v>
      </c>
      <c r="AS109" s="27">
        <v>0</v>
      </c>
      <c r="AT109" s="27">
        <v>0</v>
      </c>
      <c r="AU109" s="27">
        <v>1</v>
      </c>
      <c r="AV109" s="27">
        <v>0</v>
      </c>
      <c r="AW109" s="27">
        <v>1</v>
      </c>
      <c r="AX109" s="27">
        <v>1</v>
      </c>
      <c r="AY109" s="34" t="s">
        <v>421</v>
      </c>
      <c r="AZ109" s="25" t="s">
        <v>419</v>
      </c>
      <c r="BA109" s="17" t="s">
        <v>183</v>
      </c>
      <c r="BB109" s="150" t="s">
        <v>422</v>
      </c>
      <c r="BC109" s="150"/>
      <c r="BD109" s="17">
        <v>4</v>
      </c>
      <c r="BE109" s="17">
        <v>7</v>
      </c>
      <c r="BF109" s="17">
        <v>1</v>
      </c>
      <c r="BG109" s="17">
        <v>1</v>
      </c>
      <c r="BH109" s="17">
        <v>0</v>
      </c>
      <c r="BI109" s="17">
        <v>0</v>
      </c>
      <c r="BJ109" s="17">
        <v>0.94</v>
      </c>
      <c r="BK109" s="17">
        <v>0.94</v>
      </c>
      <c r="BL109" s="150" t="s">
        <v>41</v>
      </c>
      <c r="BM109" s="17">
        <v>799</v>
      </c>
      <c r="BN109" s="17"/>
      <c r="BO109" s="17"/>
      <c r="BP109" s="17"/>
      <c r="BQ109" s="17"/>
      <c r="BR109" s="36"/>
      <c r="BS109" s="36"/>
      <c r="BT109" s="17"/>
      <c r="BU109" s="17">
        <f>(18.37+19.69)/2</f>
        <v>19.03</v>
      </c>
      <c r="BV109" s="17">
        <f>(3.69+3.74)/2</f>
        <v>3.7149999999999999</v>
      </c>
      <c r="BW109" s="17"/>
      <c r="BX109" s="17">
        <v>757</v>
      </c>
      <c r="BY109" s="17">
        <f>(19.61+18.85)/2</f>
        <v>19.23</v>
      </c>
      <c r="BZ109" s="17">
        <f>(3.25+3.44)/2</f>
        <v>3.3449999999999998</v>
      </c>
      <c r="CA109" s="17"/>
      <c r="CB109" s="17">
        <v>757</v>
      </c>
      <c r="CC109" s="17">
        <v>0</v>
      </c>
      <c r="CD109" s="37">
        <f t="shared" si="19"/>
        <v>5.6579576588287328E-2</v>
      </c>
      <c r="CE109" s="17">
        <v>1514</v>
      </c>
      <c r="CF109" s="22">
        <f t="shared" si="7"/>
        <v>5.6579576588287328E-2</v>
      </c>
      <c r="CG109" s="22">
        <f t="shared" si="15"/>
        <v>5.8357377397486171E-2</v>
      </c>
      <c r="CH109" s="150"/>
      <c r="CI109" s="37">
        <f t="shared" si="17"/>
        <v>2.6430651415082266E-3</v>
      </c>
      <c r="CJ109" s="37">
        <f t="shared" si="16"/>
        <v>2.6441525000141515E-3</v>
      </c>
    </row>
    <row r="110" spans="1:88" s="35" customFormat="1" x14ac:dyDescent="0.35">
      <c r="A110" s="29" t="s">
        <v>411</v>
      </c>
      <c r="B110" s="183" t="s">
        <v>412</v>
      </c>
      <c r="C110" s="29" t="s">
        <v>413</v>
      </c>
      <c r="D110" s="184" t="s">
        <v>414</v>
      </c>
      <c r="E110" s="184" t="s">
        <v>415</v>
      </c>
      <c r="F110" s="12" t="s">
        <v>1109</v>
      </c>
      <c r="G110" s="27">
        <v>0</v>
      </c>
      <c r="H110" s="27">
        <v>1</v>
      </c>
      <c r="I110" s="27">
        <v>2</v>
      </c>
      <c r="J110" s="11" t="s">
        <v>1107</v>
      </c>
      <c r="K110" s="82">
        <v>0</v>
      </c>
      <c r="L110" s="40" t="s">
        <v>416</v>
      </c>
      <c r="M110" s="40">
        <v>1</v>
      </c>
      <c r="N110" s="40">
        <v>796</v>
      </c>
      <c r="O110" s="28">
        <v>1514</v>
      </c>
      <c r="P110" s="28" t="s">
        <v>147</v>
      </c>
      <c r="Q110" s="28">
        <v>2</v>
      </c>
      <c r="R110" s="28">
        <v>1</v>
      </c>
      <c r="S110" s="41">
        <v>0</v>
      </c>
      <c r="T110" s="28">
        <v>0</v>
      </c>
      <c r="U110" s="28">
        <v>0</v>
      </c>
      <c r="V110" s="28">
        <v>0</v>
      </c>
      <c r="W110" s="28">
        <v>1</v>
      </c>
      <c r="X110" s="28">
        <v>0</v>
      </c>
      <c r="Y110" s="28">
        <v>0</v>
      </c>
      <c r="Z110" s="28">
        <v>1</v>
      </c>
      <c r="AA110" s="18">
        <v>0</v>
      </c>
      <c r="AB110" s="28">
        <v>0</v>
      </c>
      <c r="AC110" s="28" t="s">
        <v>382</v>
      </c>
      <c r="AD110" s="18">
        <v>3.2</v>
      </c>
      <c r="AE110" s="28">
        <v>2.6</v>
      </c>
      <c r="AF110" s="28" t="s">
        <v>417</v>
      </c>
      <c r="AG110" s="28">
        <v>1</v>
      </c>
      <c r="AH110" s="28" t="s">
        <v>180</v>
      </c>
      <c r="AI110" s="28">
        <v>69</v>
      </c>
      <c r="AJ110" s="28">
        <v>58</v>
      </c>
      <c r="AK110" s="28">
        <v>40</v>
      </c>
      <c r="AL110" s="28">
        <v>45</v>
      </c>
      <c r="AM110" s="28">
        <v>87</v>
      </c>
      <c r="AN110" s="28">
        <v>49</v>
      </c>
      <c r="AO110" s="42">
        <v>26</v>
      </c>
      <c r="AP110" s="28">
        <v>1</v>
      </c>
      <c r="AQ110" s="28">
        <v>0</v>
      </c>
      <c r="AR110" s="28">
        <v>0</v>
      </c>
      <c r="AS110" s="28">
        <v>0</v>
      </c>
      <c r="AT110" s="28">
        <v>0</v>
      </c>
      <c r="AU110" s="28">
        <v>1</v>
      </c>
      <c r="AV110" s="28">
        <v>0</v>
      </c>
      <c r="AW110" s="28">
        <v>1</v>
      </c>
      <c r="AX110" s="28">
        <v>1</v>
      </c>
      <c r="AY110" s="34" t="s">
        <v>423</v>
      </c>
      <c r="AZ110" s="25" t="s">
        <v>419</v>
      </c>
      <c r="BA110" s="17" t="s">
        <v>183</v>
      </c>
      <c r="BB110" s="150" t="s">
        <v>46</v>
      </c>
      <c r="BC110" s="150"/>
      <c r="BD110" s="17">
        <v>3</v>
      </c>
      <c r="BE110" s="17">
        <v>7</v>
      </c>
      <c r="BF110" s="17">
        <v>0</v>
      </c>
      <c r="BG110" s="17">
        <v>0</v>
      </c>
      <c r="BH110" s="17">
        <v>1</v>
      </c>
      <c r="BI110" s="17">
        <v>0</v>
      </c>
      <c r="BJ110" s="17">
        <v>0.9</v>
      </c>
      <c r="BK110" s="17">
        <v>0.9</v>
      </c>
      <c r="BL110" s="150" t="s">
        <v>41</v>
      </c>
      <c r="BM110" s="17">
        <v>799</v>
      </c>
      <c r="BN110" s="17"/>
      <c r="BO110" s="17"/>
      <c r="BP110" s="17"/>
      <c r="BQ110" s="17"/>
      <c r="BR110" s="36"/>
      <c r="BS110" s="36"/>
      <c r="BT110" s="17"/>
      <c r="BU110" s="17">
        <f>(12.1+19.61)/2</f>
        <v>15.855</v>
      </c>
      <c r="BV110" s="17">
        <f>(3.87+3.44)/2</f>
        <v>3.6550000000000002</v>
      </c>
      <c r="BW110" s="17"/>
      <c r="BX110" s="17">
        <v>757</v>
      </c>
      <c r="BY110" s="17">
        <f>(13.35+12.81)/2</f>
        <v>13.08</v>
      </c>
      <c r="BZ110" s="17">
        <f>(3.56+3.77)/2</f>
        <v>3.665</v>
      </c>
      <c r="CA110" s="17"/>
      <c r="CB110" s="17">
        <v>757</v>
      </c>
      <c r="CC110" s="17">
        <v>1</v>
      </c>
      <c r="CD110" s="37">
        <f t="shared" si="19"/>
        <v>-0.75819601380708967</v>
      </c>
      <c r="CE110" s="17">
        <v>1514</v>
      </c>
      <c r="CF110" s="22">
        <f t="shared" si="7"/>
        <v>-0.75819601380708967</v>
      </c>
      <c r="CG110" s="22">
        <f t="shared" si="15"/>
        <v>-0.79920877216362529</v>
      </c>
      <c r="CH110" s="150"/>
      <c r="CI110" s="37">
        <f t="shared" si="17"/>
        <v>2.8318564053345313E-3</v>
      </c>
      <c r="CJ110" s="37">
        <f t="shared" si="16"/>
        <v>3.0442337833936077E-3</v>
      </c>
    </row>
    <row r="111" spans="1:88" s="35" customFormat="1" x14ac:dyDescent="0.35">
      <c r="A111" s="29" t="s">
        <v>411</v>
      </c>
      <c r="B111" s="183" t="s">
        <v>412</v>
      </c>
      <c r="C111" s="29" t="s">
        <v>413</v>
      </c>
      <c r="D111" s="184" t="s">
        <v>414</v>
      </c>
      <c r="E111" s="184" t="s">
        <v>415</v>
      </c>
      <c r="F111" s="12" t="s">
        <v>1109</v>
      </c>
      <c r="G111" s="27">
        <v>0</v>
      </c>
      <c r="H111" s="27">
        <v>1</v>
      </c>
      <c r="I111" s="27">
        <v>2</v>
      </c>
      <c r="J111" s="11" t="s">
        <v>1107</v>
      </c>
      <c r="K111" s="82">
        <v>0</v>
      </c>
      <c r="L111" s="31" t="s">
        <v>424</v>
      </c>
      <c r="M111" s="31">
        <v>2</v>
      </c>
      <c r="N111" s="31">
        <v>796</v>
      </c>
      <c r="O111" s="27">
        <v>687</v>
      </c>
      <c r="P111" s="27" t="s">
        <v>147</v>
      </c>
      <c r="Q111" s="27">
        <v>2</v>
      </c>
      <c r="R111" s="27">
        <v>1</v>
      </c>
      <c r="S111" s="32">
        <v>0</v>
      </c>
      <c r="T111" s="27">
        <v>0</v>
      </c>
      <c r="U111" s="27">
        <v>0</v>
      </c>
      <c r="V111" s="27">
        <v>0</v>
      </c>
      <c r="W111" s="27">
        <v>1</v>
      </c>
      <c r="X111" s="27">
        <v>0</v>
      </c>
      <c r="Y111" s="27">
        <v>0</v>
      </c>
      <c r="Z111" s="27">
        <v>1</v>
      </c>
      <c r="AA111" s="12">
        <v>0</v>
      </c>
      <c r="AB111" s="27">
        <v>0</v>
      </c>
      <c r="AC111" s="27" t="s">
        <v>382</v>
      </c>
      <c r="AD111" s="12">
        <v>3.2</v>
      </c>
      <c r="AE111" s="27">
        <v>2.6</v>
      </c>
      <c r="AF111" s="27" t="s">
        <v>417</v>
      </c>
      <c r="AG111" s="27">
        <v>1</v>
      </c>
      <c r="AH111" s="27" t="s">
        <v>180</v>
      </c>
      <c r="AI111" s="27">
        <v>69</v>
      </c>
      <c r="AJ111" s="27">
        <v>58</v>
      </c>
      <c r="AK111" s="27">
        <v>40</v>
      </c>
      <c r="AL111" s="27">
        <v>45</v>
      </c>
      <c r="AM111" s="27">
        <v>87</v>
      </c>
      <c r="AN111" s="27">
        <v>49</v>
      </c>
      <c r="AO111" s="33">
        <v>26</v>
      </c>
      <c r="AP111" s="27">
        <v>1</v>
      </c>
      <c r="AQ111" s="27">
        <v>0</v>
      </c>
      <c r="AR111" s="27">
        <v>0</v>
      </c>
      <c r="AS111" s="27">
        <v>0</v>
      </c>
      <c r="AT111" s="27">
        <v>0</v>
      </c>
      <c r="AU111" s="27">
        <v>1</v>
      </c>
      <c r="AV111" s="27">
        <v>0</v>
      </c>
      <c r="AW111" s="27">
        <v>1</v>
      </c>
      <c r="AX111" s="27">
        <v>1</v>
      </c>
      <c r="AY111" s="34" t="s">
        <v>425</v>
      </c>
      <c r="AZ111" s="25" t="s">
        <v>426</v>
      </c>
      <c r="BA111" s="17" t="s">
        <v>183</v>
      </c>
      <c r="BB111" s="150" t="s">
        <v>420</v>
      </c>
      <c r="BC111" s="150"/>
      <c r="BD111" s="17">
        <v>3</v>
      </c>
      <c r="BE111" s="17">
        <v>7</v>
      </c>
      <c r="BF111" s="17">
        <v>1</v>
      </c>
      <c r="BG111" s="17">
        <v>1</v>
      </c>
      <c r="BH111" s="17">
        <v>0</v>
      </c>
      <c r="BI111" s="17">
        <v>0</v>
      </c>
      <c r="BJ111" s="17">
        <v>0.82</v>
      </c>
      <c r="BK111" s="17">
        <v>0.82</v>
      </c>
      <c r="BL111" s="150" t="s">
        <v>41</v>
      </c>
      <c r="BM111" s="17">
        <v>800</v>
      </c>
      <c r="BN111" s="17"/>
      <c r="BO111" s="17"/>
      <c r="BP111" s="17"/>
      <c r="BQ111" s="17"/>
      <c r="BR111" s="36"/>
      <c r="BS111" s="36"/>
      <c r="BT111" s="17"/>
      <c r="BU111" s="17">
        <f>(14.44+15.04)/2</f>
        <v>14.739999999999998</v>
      </c>
      <c r="BV111" s="17">
        <f>(2.86+2.77)/2</f>
        <v>2.8149999999999999</v>
      </c>
      <c r="BW111" s="17"/>
      <c r="BX111" s="17">
        <v>343</v>
      </c>
      <c r="BY111" s="17">
        <f>(15.27+14.1)/2</f>
        <v>14.684999999999999</v>
      </c>
      <c r="BZ111" s="17">
        <f>(2.34+2.49)/2</f>
        <v>2.415</v>
      </c>
      <c r="CA111" s="17"/>
      <c r="CB111" s="17">
        <v>344</v>
      </c>
      <c r="CC111" s="17">
        <v>0</v>
      </c>
      <c r="CD111" s="37">
        <f t="shared" si="19"/>
        <v>-2.0973587087103122E-2</v>
      </c>
      <c r="CE111" s="17">
        <v>687</v>
      </c>
      <c r="CF111" s="22">
        <f t="shared" si="7"/>
        <v>-2.0973587087103122E-2</v>
      </c>
      <c r="CG111" s="22">
        <f t="shared" si="15"/>
        <v>-2.3161452292924933E-2</v>
      </c>
      <c r="CH111" s="150"/>
      <c r="CI111" s="37">
        <f t="shared" si="17"/>
        <v>5.8227487930545968E-3</v>
      </c>
      <c r="CJ111" s="37">
        <f t="shared" si="16"/>
        <v>5.8231326456238963E-3</v>
      </c>
    </row>
    <row r="112" spans="1:88" s="35" customFormat="1" x14ac:dyDescent="0.35">
      <c r="A112" s="29" t="s">
        <v>411</v>
      </c>
      <c r="B112" s="183" t="s">
        <v>412</v>
      </c>
      <c r="C112" s="29" t="s">
        <v>413</v>
      </c>
      <c r="D112" s="184" t="s">
        <v>414</v>
      </c>
      <c r="E112" s="184" t="s">
        <v>415</v>
      </c>
      <c r="F112" s="11" t="s">
        <v>1109</v>
      </c>
      <c r="G112" s="27">
        <v>0</v>
      </c>
      <c r="H112" s="27">
        <v>1</v>
      </c>
      <c r="I112" s="27">
        <v>2</v>
      </c>
      <c r="J112" s="11" t="s">
        <v>1107</v>
      </c>
      <c r="K112" s="82">
        <v>0</v>
      </c>
      <c r="L112" s="31" t="s">
        <v>424</v>
      </c>
      <c r="M112" s="31">
        <v>2</v>
      </c>
      <c r="N112" s="31">
        <v>796</v>
      </c>
      <c r="O112" s="27">
        <v>687</v>
      </c>
      <c r="P112" s="27" t="s">
        <v>147</v>
      </c>
      <c r="Q112" s="27">
        <v>2</v>
      </c>
      <c r="R112" s="27">
        <v>1</v>
      </c>
      <c r="S112" s="32">
        <v>0</v>
      </c>
      <c r="T112" s="27">
        <v>0</v>
      </c>
      <c r="U112" s="27">
        <v>0</v>
      </c>
      <c r="V112" s="27">
        <v>0</v>
      </c>
      <c r="W112" s="27">
        <v>1</v>
      </c>
      <c r="X112" s="27">
        <v>0</v>
      </c>
      <c r="Y112" s="27">
        <v>0</v>
      </c>
      <c r="Z112" s="27">
        <v>1</v>
      </c>
      <c r="AA112" s="11">
        <v>0</v>
      </c>
      <c r="AB112" s="27">
        <v>0</v>
      </c>
      <c r="AC112" s="27" t="s">
        <v>382</v>
      </c>
      <c r="AD112" s="11">
        <v>3.2</v>
      </c>
      <c r="AE112" s="27">
        <v>2.6</v>
      </c>
      <c r="AF112" s="27" t="s">
        <v>417</v>
      </c>
      <c r="AG112" s="27">
        <v>1</v>
      </c>
      <c r="AH112" s="27" t="s">
        <v>180</v>
      </c>
      <c r="AI112" s="27">
        <v>69</v>
      </c>
      <c r="AJ112" s="27">
        <v>58</v>
      </c>
      <c r="AK112" s="27">
        <v>40</v>
      </c>
      <c r="AL112" s="27">
        <v>45</v>
      </c>
      <c r="AM112" s="27">
        <v>87</v>
      </c>
      <c r="AN112" s="27">
        <v>49</v>
      </c>
      <c r="AO112" s="33">
        <v>26</v>
      </c>
      <c r="AP112" s="27">
        <v>1</v>
      </c>
      <c r="AQ112" s="27">
        <v>0</v>
      </c>
      <c r="AR112" s="27">
        <v>0</v>
      </c>
      <c r="AS112" s="27">
        <v>0</v>
      </c>
      <c r="AT112" s="27">
        <v>0</v>
      </c>
      <c r="AU112" s="27">
        <v>1</v>
      </c>
      <c r="AV112" s="27">
        <v>0</v>
      </c>
      <c r="AW112" s="27">
        <v>1</v>
      </c>
      <c r="AX112" s="27">
        <v>1</v>
      </c>
      <c r="AY112" s="34" t="s">
        <v>427</v>
      </c>
      <c r="AZ112" s="25" t="s">
        <v>426</v>
      </c>
      <c r="BA112" s="17" t="s">
        <v>183</v>
      </c>
      <c r="BB112" s="150" t="s">
        <v>422</v>
      </c>
      <c r="BC112" s="150"/>
      <c r="BD112" s="17">
        <v>4</v>
      </c>
      <c r="BE112" s="17">
        <v>7</v>
      </c>
      <c r="BF112" s="17">
        <v>1</v>
      </c>
      <c r="BG112" s="17">
        <v>1</v>
      </c>
      <c r="BH112" s="17">
        <v>0</v>
      </c>
      <c r="BI112" s="17">
        <v>0</v>
      </c>
      <c r="BJ112" s="17">
        <v>0.94</v>
      </c>
      <c r="BK112" s="17">
        <v>0.94</v>
      </c>
      <c r="BL112" s="150" t="s">
        <v>41</v>
      </c>
      <c r="BM112" s="17">
        <v>800</v>
      </c>
      <c r="BN112" s="17"/>
      <c r="BO112" s="17"/>
      <c r="BP112" s="17"/>
      <c r="BQ112" s="17"/>
      <c r="BR112" s="36"/>
      <c r="BS112" s="36"/>
      <c r="BT112" s="17"/>
      <c r="BU112" s="17">
        <f>(19.35+20.4)/2</f>
        <v>19.875</v>
      </c>
      <c r="BV112" s="17">
        <f>(3.77+4.4)/2</f>
        <v>4.085</v>
      </c>
      <c r="BW112" s="17"/>
      <c r="BX112" s="17">
        <v>343</v>
      </c>
      <c r="BY112" s="17">
        <f>(20.23+19.54)/2</f>
        <v>19.884999999999998</v>
      </c>
      <c r="BZ112" s="17">
        <f>(2.95+2.89)/2</f>
        <v>2.92</v>
      </c>
      <c r="CA112" s="17"/>
      <c r="CB112" s="17">
        <v>344</v>
      </c>
      <c r="CC112" s="17">
        <v>0</v>
      </c>
      <c r="CD112" s="37">
        <f t="shared" si="19"/>
        <v>2.8170851935243172E-3</v>
      </c>
      <c r="CE112" s="17">
        <v>687</v>
      </c>
      <c r="CF112" s="22">
        <f t="shared" si="7"/>
        <v>2.8170851935243172E-3</v>
      </c>
      <c r="CG112" s="22">
        <f t="shared" si="15"/>
        <v>2.9056015211220455E-3</v>
      </c>
      <c r="CH112" s="150"/>
      <c r="CI112" s="37">
        <f t="shared" si="17"/>
        <v>5.82243441504418E-3</v>
      </c>
      <c r="CJ112" s="37">
        <f t="shared" si="16"/>
        <v>5.8224399260214891E-3</v>
      </c>
    </row>
    <row r="113" spans="1:88" s="35" customFormat="1" x14ac:dyDescent="0.35">
      <c r="A113" s="38" t="s">
        <v>411</v>
      </c>
      <c r="B113" s="185" t="s">
        <v>412</v>
      </c>
      <c r="C113" s="38" t="s">
        <v>413</v>
      </c>
      <c r="D113" s="186" t="s">
        <v>414</v>
      </c>
      <c r="E113" s="186" t="s">
        <v>415</v>
      </c>
      <c r="F113" s="18" t="s">
        <v>1109</v>
      </c>
      <c r="G113" s="28">
        <v>0</v>
      </c>
      <c r="H113" s="28">
        <v>1</v>
      </c>
      <c r="I113" s="28">
        <v>2</v>
      </c>
      <c r="J113" s="18" t="s">
        <v>1107</v>
      </c>
      <c r="K113" s="83">
        <v>0</v>
      </c>
      <c r="L113" s="40" t="s">
        <v>424</v>
      </c>
      <c r="M113" s="40">
        <v>2</v>
      </c>
      <c r="N113" s="40">
        <v>796</v>
      </c>
      <c r="O113" s="28">
        <v>697</v>
      </c>
      <c r="P113" s="28" t="s">
        <v>147</v>
      </c>
      <c r="Q113" s="28">
        <v>2</v>
      </c>
      <c r="R113" s="28">
        <v>1</v>
      </c>
      <c r="S113" s="41">
        <v>0</v>
      </c>
      <c r="T113" s="28">
        <v>0</v>
      </c>
      <c r="U113" s="28">
        <v>0</v>
      </c>
      <c r="V113" s="28">
        <v>0</v>
      </c>
      <c r="W113" s="28">
        <v>1</v>
      </c>
      <c r="X113" s="28">
        <v>0</v>
      </c>
      <c r="Y113" s="28">
        <v>0</v>
      </c>
      <c r="Z113" s="27">
        <v>1</v>
      </c>
      <c r="AA113" s="12">
        <v>0</v>
      </c>
      <c r="AB113" s="27">
        <v>0</v>
      </c>
      <c r="AC113" s="28" t="s">
        <v>382</v>
      </c>
      <c r="AD113" s="18">
        <v>3.2</v>
      </c>
      <c r="AE113" s="28">
        <v>2.6</v>
      </c>
      <c r="AF113" s="28" t="s">
        <v>417</v>
      </c>
      <c r="AG113" s="28">
        <v>1</v>
      </c>
      <c r="AH113" s="28" t="s">
        <v>180</v>
      </c>
      <c r="AI113" s="28">
        <v>69</v>
      </c>
      <c r="AJ113" s="27">
        <v>58</v>
      </c>
      <c r="AK113" s="27">
        <v>40</v>
      </c>
      <c r="AL113" s="27">
        <v>45</v>
      </c>
      <c r="AM113" s="27">
        <v>87</v>
      </c>
      <c r="AN113" s="27">
        <v>49</v>
      </c>
      <c r="AO113" s="42">
        <v>26</v>
      </c>
      <c r="AP113" s="27">
        <v>1</v>
      </c>
      <c r="AQ113" s="27">
        <v>0</v>
      </c>
      <c r="AR113" s="27">
        <v>0</v>
      </c>
      <c r="AS113" s="27">
        <v>0</v>
      </c>
      <c r="AT113" s="27">
        <v>0</v>
      </c>
      <c r="AU113" s="27">
        <v>1</v>
      </c>
      <c r="AV113" s="27">
        <v>0</v>
      </c>
      <c r="AW113" s="27">
        <v>1</v>
      </c>
      <c r="AX113" s="27">
        <v>1</v>
      </c>
      <c r="AY113" s="34" t="s">
        <v>428</v>
      </c>
      <c r="AZ113" s="25" t="s">
        <v>426</v>
      </c>
      <c r="BA113" s="17" t="s">
        <v>183</v>
      </c>
      <c r="BB113" s="150" t="s">
        <v>46</v>
      </c>
      <c r="BC113" s="150"/>
      <c r="BD113" s="17">
        <v>3</v>
      </c>
      <c r="BE113" s="17">
        <v>7</v>
      </c>
      <c r="BF113" s="17">
        <v>0</v>
      </c>
      <c r="BG113" s="17">
        <v>0</v>
      </c>
      <c r="BH113" s="17">
        <v>1</v>
      </c>
      <c r="BI113" s="17">
        <v>0</v>
      </c>
      <c r="BJ113" s="17">
        <v>0.9</v>
      </c>
      <c r="BK113" s="17">
        <v>0.9</v>
      </c>
      <c r="BL113" s="150" t="s">
        <v>41</v>
      </c>
      <c r="BM113" s="17">
        <v>800</v>
      </c>
      <c r="BN113" s="17"/>
      <c r="BO113" s="17"/>
      <c r="BP113" s="17"/>
      <c r="BQ113" s="17"/>
      <c r="BR113" s="36"/>
      <c r="BS113" s="36"/>
      <c r="BT113" s="17"/>
      <c r="BU113" s="17">
        <f>(12.4+13.68)/2</f>
        <v>13.04</v>
      </c>
      <c r="BV113" s="17">
        <f>(4.05+3.44)/2</f>
        <v>3.7450000000000001</v>
      </c>
      <c r="BW113" s="17"/>
      <c r="BX113" s="17">
        <v>343</v>
      </c>
      <c r="BY113" s="17">
        <f>(13.87+13.54)/2</f>
        <v>13.704999999999998</v>
      </c>
      <c r="BZ113" s="17">
        <f>(3.58+3.17)/2</f>
        <v>3.375</v>
      </c>
      <c r="CA113" s="17"/>
      <c r="CB113" s="17">
        <v>344</v>
      </c>
      <c r="CC113" s="17">
        <v>1</v>
      </c>
      <c r="CD113" s="37">
        <f t="shared" si="19"/>
        <v>0.18656015472781037</v>
      </c>
      <c r="CE113" s="17">
        <v>687</v>
      </c>
      <c r="CF113" s="22">
        <f t="shared" si="7"/>
        <v>0.18656015472781037</v>
      </c>
      <c r="CG113" s="22">
        <f t="shared" si="15"/>
        <v>0.19665166985777033</v>
      </c>
      <c r="CH113" s="150"/>
      <c r="CI113" s="37">
        <f t="shared" si="17"/>
        <v>5.847759564507846E-3</v>
      </c>
      <c r="CJ113" s="37">
        <f t="shared" si="16"/>
        <v>5.8741290125691493E-3</v>
      </c>
    </row>
    <row r="114" spans="1:88" s="35" customFormat="1" x14ac:dyDescent="0.35">
      <c r="A114" s="50" t="s">
        <v>429</v>
      </c>
      <c r="B114" s="189" t="s">
        <v>430</v>
      </c>
      <c r="C114" s="50" t="s">
        <v>192</v>
      </c>
      <c r="D114" s="190" t="s">
        <v>431</v>
      </c>
      <c r="E114" s="190" t="s">
        <v>54</v>
      </c>
      <c r="F114" s="20" t="s">
        <v>1109</v>
      </c>
      <c r="G114" s="26">
        <v>0</v>
      </c>
      <c r="H114" s="26">
        <v>1</v>
      </c>
      <c r="I114" s="26">
        <v>3</v>
      </c>
      <c r="J114" s="20" t="s">
        <v>1106</v>
      </c>
      <c r="K114" s="84">
        <v>1</v>
      </c>
      <c r="L114" s="45" t="s">
        <v>432</v>
      </c>
      <c r="M114" s="45">
        <v>1</v>
      </c>
      <c r="N114" s="45">
        <v>3</v>
      </c>
      <c r="O114" s="26">
        <v>103</v>
      </c>
      <c r="P114" s="26" t="s">
        <v>31</v>
      </c>
      <c r="Q114" s="26">
        <v>2</v>
      </c>
      <c r="R114" s="26">
        <v>1</v>
      </c>
      <c r="S114" s="46">
        <v>0</v>
      </c>
      <c r="T114" s="26">
        <v>0</v>
      </c>
      <c r="U114" s="26">
        <v>0</v>
      </c>
      <c r="V114" s="26">
        <v>0</v>
      </c>
      <c r="W114" s="26">
        <v>1</v>
      </c>
      <c r="X114" s="26">
        <v>0</v>
      </c>
      <c r="Y114" s="26">
        <v>0</v>
      </c>
      <c r="Z114" s="26">
        <v>1</v>
      </c>
      <c r="AA114" s="20">
        <v>1</v>
      </c>
      <c r="AB114" s="26">
        <v>0</v>
      </c>
      <c r="AC114" s="26" t="s">
        <v>433</v>
      </c>
      <c r="AD114" s="20">
        <v>2.5</v>
      </c>
      <c r="AE114" s="26">
        <v>2.5</v>
      </c>
      <c r="AF114" s="26" t="s">
        <v>220</v>
      </c>
      <c r="AG114" s="26">
        <v>0</v>
      </c>
      <c r="AH114" s="26" t="s">
        <v>35</v>
      </c>
      <c r="AI114" s="26">
        <v>46</v>
      </c>
      <c r="AJ114" s="26">
        <v>40</v>
      </c>
      <c r="AK114" s="26">
        <v>60</v>
      </c>
      <c r="AL114" s="26">
        <v>62</v>
      </c>
      <c r="AM114" s="26">
        <v>50</v>
      </c>
      <c r="AN114" s="26">
        <v>68</v>
      </c>
      <c r="AO114" s="47">
        <v>21.2</v>
      </c>
      <c r="AP114" s="26">
        <v>0</v>
      </c>
      <c r="AQ114" s="26">
        <v>0</v>
      </c>
      <c r="AR114" s="26">
        <v>1</v>
      </c>
      <c r="AS114" s="26">
        <v>0</v>
      </c>
      <c r="AT114" s="26">
        <v>0</v>
      </c>
      <c r="AU114" s="26">
        <v>0</v>
      </c>
      <c r="AV114" s="26">
        <v>0</v>
      </c>
      <c r="AW114" s="26">
        <v>1</v>
      </c>
      <c r="AX114" s="26">
        <v>1</v>
      </c>
      <c r="AY114" s="34" t="s">
        <v>434</v>
      </c>
      <c r="AZ114" s="25" t="s">
        <v>435</v>
      </c>
      <c r="BA114" s="17" t="s">
        <v>183</v>
      </c>
      <c r="BB114" s="150" t="s">
        <v>46</v>
      </c>
      <c r="BC114" s="150" t="s">
        <v>436</v>
      </c>
      <c r="BD114" s="17">
        <v>3</v>
      </c>
      <c r="BE114" s="17">
        <v>7</v>
      </c>
      <c r="BF114" s="17">
        <v>0</v>
      </c>
      <c r="BG114" s="17">
        <v>0</v>
      </c>
      <c r="BH114" s="17">
        <v>1</v>
      </c>
      <c r="BI114" s="17">
        <v>0</v>
      </c>
      <c r="BJ114" s="17">
        <v>0.91</v>
      </c>
      <c r="BK114" s="17">
        <v>0.91</v>
      </c>
      <c r="BL114" s="150" t="s">
        <v>41</v>
      </c>
      <c r="BM114" s="17">
        <v>4</v>
      </c>
      <c r="BN114" s="17"/>
      <c r="BO114" s="17"/>
      <c r="BP114" s="17">
        <v>3.15</v>
      </c>
      <c r="BQ114" s="17"/>
      <c r="BR114" s="36"/>
      <c r="BS114" s="36"/>
      <c r="BT114" s="17"/>
      <c r="BU114" s="17">
        <v>3.12</v>
      </c>
      <c r="BV114" s="17"/>
      <c r="BW114" s="17"/>
      <c r="BX114" s="17">
        <v>52</v>
      </c>
      <c r="BY114" s="17">
        <v>4.05</v>
      </c>
      <c r="BZ114" s="17"/>
      <c r="CA114" s="17"/>
      <c r="CB114" s="17">
        <v>51</v>
      </c>
      <c r="CC114" s="17">
        <v>1</v>
      </c>
      <c r="CD114" s="37">
        <f>(BP114*SQRT((CB114+BX114)/(CB114*BX114)))</f>
        <v>0.62078670348334575</v>
      </c>
      <c r="CE114" s="17">
        <v>103</v>
      </c>
      <c r="CF114" s="22">
        <f t="shared" si="7"/>
        <v>0.62078670348334575</v>
      </c>
      <c r="CG114" s="22">
        <f t="shared" si="15"/>
        <v>0.65076128810017697</v>
      </c>
      <c r="CH114" s="150"/>
      <c r="CI114" s="37">
        <f t="shared" si="17"/>
        <v>4.0709370286576167E-2</v>
      </c>
      <c r="CJ114" s="37">
        <f t="shared" si="16"/>
        <v>4.1452749738948837E-2</v>
      </c>
    </row>
    <row r="115" spans="1:88" s="35" customFormat="1" x14ac:dyDescent="0.35">
      <c r="A115" s="29" t="s">
        <v>437</v>
      </c>
      <c r="B115" s="183" t="s">
        <v>438</v>
      </c>
      <c r="C115" s="29" t="s">
        <v>133</v>
      </c>
      <c r="D115" s="184" t="s">
        <v>439</v>
      </c>
      <c r="E115" s="184" t="s">
        <v>216</v>
      </c>
      <c r="F115" s="12" t="s">
        <v>1109</v>
      </c>
      <c r="G115" s="57">
        <v>0</v>
      </c>
      <c r="H115" s="27">
        <v>1</v>
      </c>
      <c r="I115" s="27">
        <v>1</v>
      </c>
      <c r="J115" s="11" t="s">
        <v>1111</v>
      </c>
      <c r="K115" s="82">
        <v>0</v>
      </c>
      <c r="L115" s="31" t="s">
        <v>440</v>
      </c>
      <c r="M115" s="31">
        <v>1</v>
      </c>
      <c r="N115" s="31">
        <v>8</v>
      </c>
      <c r="O115" s="27">
        <v>398</v>
      </c>
      <c r="P115" s="27" t="s">
        <v>31</v>
      </c>
      <c r="Q115" s="27">
        <v>2</v>
      </c>
      <c r="R115" s="27">
        <v>1</v>
      </c>
      <c r="S115" s="32">
        <v>0</v>
      </c>
      <c r="T115" s="27">
        <v>0</v>
      </c>
      <c r="U115" s="27">
        <v>0</v>
      </c>
      <c r="V115" s="27">
        <v>1</v>
      </c>
      <c r="W115" s="27">
        <v>0</v>
      </c>
      <c r="X115" s="57">
        <v>1</v>
      </c>
      <c r="Y115" s="27">
        <v>0</v>
      </c>
      <c r="Z115" s="27">
        <v>0</v>
      </c>
      <c r="AA115" s="2">
        <v>1</v>
      </c>
      <c r="AB115" s="27">
        <v>0</v>
      </c>
      <c r="AC115" s="27" t="s">
        <v>441</v>
      </c>
      <c r="AD115" s="12">
        <v>1.9</v>
      </c>
      <c r="AE115" s="70">
        <v>2.6</v>
      </c>
      <c r="AF115" s="27" t="s">
        <v>442</v>
      </c>
      <c r="AG115" s="27">
        <v>1</v>
      </c>
      <c r="AH115" s="27" t="s">
        <v>139</v>
      </c>
      <c r="AI115" s="27">
        <v>65</v>
      </c>
      <c r="AJ115" s="27">
        <v>35</v>
      </c>
      <c r="AK115" s="27">
        <v>79</v>
      </c>
      <c r="AL115" s="27">
        <v>66</v>
      </c>
      <c r="AM115" s="27">
        <v>57</v>
      </c>
      <c r="AN115" s="27">
        <v>40</v>
      </c>
      <c r="AO115" s="33">
        <v>25.58</v>
      </c>
      <c r="AP115" s="27">
        <v>0</v>
      </c>
      <c r="AQ115" s="27">
        <v>0</v>
      </c>
      <c r="AR115" s="27">
        <v>0</v>
      </c>
      <c r="AS115" s="27">
        <v>0</v>
      </c>
      <c r="AT115" s="27">
        <v>0</v>
      </c>
      <c r="AU115" s="27">
        <v>1</v>
      </c>
      <c r="AV115" s="27">
        <v>0</v>
      </c>
      <c r="AW115" s="27">
        <v>1</v>
      </c>
      <c r="AX115" s="27">
        <v>1</v>
      </c>
      <c r="AY115" s="34" t="s">
        <v>444</v>
      </c>
      <c r="AZ115" s="17" t="s">
        <v>445</v>
      </c>
      <c r="BA115" s="17"/>
      <c r="BB115" s="25" t="s">
        <v>443</v>
      </c>
      <c r="BC115" s="150" t="s">
        <v>446</v>
      </c>
      <c r="BD115" s="17">
        <v>3</v>
      </c>
      <c r="BE115" s="17">
        <v>7</v>
      </c>
      <c r="BF115" s="17">
        <v>1</v>
      </c>
      <c r="BG115" s="17">
        <v>1</v>
      </c>
      <c r="BH115" s="17">
        <v>0</v>
      </c>
      <c r="BI115" s="17">
        <v>0</v>
      </c>
      <c r="BJ115" s="17">
        <f>(0.83+0.71)/2</f>
        <v>0.77</v>
      </c>
      <c r="BK115" s="17">
        <f>(0.83+0.71)/2</f>
        <v>0.77</v>
      </c>
      <c r="BL115" s="150" t="s">
        <v>41</v>
      </c>
      <c r="BM115" s="17">
        <v>10</v>
      </c>
      <c r="BN115" s="37"/>
      <c r="BO115" s="17"/>
      <c r="BP115" s="17"/>
      <c r="BQ115" s="150"/>
      <c r="BR115" s="150"/>
      <c r="BS115" s="150"/>
      <c r="BT115" s="150"/>
      <c r="BU115" s="17">
        <v>5.7</v>
      </c>
      <c r="BV115" s="17">
        <v>0.83</v>
      </c>
      <c r="BW115" s="17"/>
      <c r="BX115" s="17">
        <v>190</v>
      </c>
      <c r="BY115" s="17">
        <v>5.48</v>
      </c>
      <c r="BZ115" s="17">
        <v>1.03</v>
      </c>
      <c r="CA115" s="17"/>
      <c r="CB115" s="17">
        <v>208</v>
      </c>
      <c r="CC115" s="17">
        <v>0</v>
      </c>
      <c r="CD115" s="37">
        <f>(BY115-BU115)/SQRT((((CB115-1)*BZ115^2)+((BX115-1)*BV115^2))/((CB115+BX115)-2))</f>
        <v>-0.23407506721359161</v>
      </c>
      <c r="CE115" s="17">
        <v>398</v>
      </c>
      <c r="CF115" s="22">
        <f t="shared" si="7"/>
        <v>-0.23407506721359161</v>
      </c>
      <c r="CG115" s="22">
        <f t="shared" si="15"/>
        <v>-0.266753295944894</v>
      </c>
      <c r="CH115" s="150"/>
      <c r="CI115" s="22">
        <f t="shared" si="17"/>
        <v>1.0139683289226948E-2</v>
      </c>
      <c r="CJ115" s="37">
        <f t="shared" si="16"/>
        <v>1.0221607238228861E-2</v>
      </c>
    </row>
    <row r="116" spans="1:88" s="35" customFormat="1" x14ac:dyDescent="0.35">
      <c r="A116" s="38" t="s">
        <v>437</v>
      </c>
      <c r="B116" s="185" t="s">
        <v>438</v>
      </c>
      <c r="C116" s="38" t="s">
        <v>133</v>
      </c>
      <c r="D116" s="186" t="s">
        <v>439</v>
      </c>
      <c r="E116" s="186" t="s">
        <v>216</v>
      </c>
      <c r="F116" s="18" t="s">
        <v>1109</v>
      </c>
      <c r="G116" s="68">
        <v>0</v>
      </c>
      <c r="H116" s="28">
        <v>1</v>
      </c>
      <c r="I116" s="28">
        <v>1</v>
      </c>
      <c r="J116" s="18" t="s">
        <v>1111</v>
      </c>
      <c r="K116" s="83">
        <v>0</v>
      </c>
      <c r="L116" s="40" t="s">
        <v>440</v>
      </c>
      <c r="M116" s="40">
        <v>1</v>
      </c>
      <c r="N116" s="40">
        <v>8</v>
      </c>
      <c r="O116" s="28">
        <v>398</v>
      </c>
      <c r="P116" s="28" t="s">
        <v>31</v>
      </c>
      <c r="Q116" s="28">
        <v>2</v>
      </c>
      <c r="R116" s="28">
        <v>1</v>
      </c>
      <c r="S116" s="41">
        <v>0</v>
      </c>
      <c r="T116" s="28">
        <v>0</v>
      </c>
      <c r="U116" s="28">
        <v>0</v>
      </c>
      <c r="V116" s="28">
        <v>1</v>
      </c>
      <c r="W116" s="28">
        <v>0</v>
      </c>
      <c r="X116" s="68">
        <v>1</v>
      </c>
      <c r="Y116" s="28">
        <v>0</v>
      </c>
      <c r="Z116" s="28">
        <v>0</v>
      </c>
      <c r="AA116" s="92">
        <v>1</v>
      </c>
      <c r="AB116" s="28">
        <v>0</v>
      </c>
      <c r="AC116" s="28" t="s">
        <v>441</v>
      </c>
      <c r="AD116" s="18">
        <v>1.9</v>
      </c>
      <c r="AE116" s="71">
        <v>2.6</v>
      </c>
      <c r="AF116" s="28" t="s">
        <v>442</v>
      </c>
      <c r="AG116" s="28">
        <v>1</v>
      </c>
      <c r="AH116" s="28" t="s">
        <v>139</v>
      </c>
      <c r="AI116" s="28">
        <v>65</v>
      </c>
      <c r="AJ116" s="27">
        <v>35</v>
      </c>
      <c r="AK116" s="27">
        <v>79</v>
      </c>
      <c r="AL116" s="27">
        <v>66</v>
      </c>
      <c r="AM116" s="27">
        <v>57</v>
      </c>
      <c r="AN116" s="27">
        <v>40</v>
      </c>
      <c r="AO116" s="42">
        <v>25.58</v>
      </c>
      <c r="AP116" s="28">
        <v>0</v>
      </c>
      <c r="AQ116" s="28">
        <v>0</v>
      </c>
      <c r="AR116" s="28">
        <v>0</v>
      </c>
      <c r="AS116" s="28">
        <v>0</v>
      </c>
      <c r="AT116" s="28">
        <v>0</v>
      </c>
      <c r="AU116" s="28">
        <v>1</v>
      </c>
      <c r="AV116" s="28">
        <v>0</v>
      </c>
      <c r="AW116" s="28">
        <v>1</v>
      </c>
      <c r="AX116" s="28">
        <v>1</v>
      </c>
      <c r="AY116" s="34" t="s">
        <v>447</v>
      </c>
      <c r="AZ116" s="17" t="s">
        <v>445</v>
      </c>
      <c r="BA116" s="17"/>
      <c r="BB116" s="150" t="s">
        <v>46</v>
      </c>
      <c r="BC116" s="150" t="s">
        <v>448</v>
      </c>
      <c r="BD116" s="17">
        <v>4</v>
      </c>
      <c r="BE116" s="17">
        <v>7</v>
      </c>
      <c r="BF116" s="17">
        <v>0</v>
      </c>
      <c r="BG116" s="17">
        <v>0</v>
      </c>
      <c r="BH116" s="17">
        <v>1</v>
      </c>
      <c r="BI116" s="17">
        <v>0</v>
      </c>
      <c r="BJ116" s="17">
        <f xml:space="preserve"> (0.94+0.96)/2</f>
        <v>0.95</v>
      </c>
      <c r="BK116" s="17">
        <f xml:space="preserve"> (0.94+0.96)/2</f>
        <v>0.95</v>
      </c>
      <c r="BL116" s="150" t="s">
        <v>41</v>
      </c>
      <c r="BM116" s="17">
        <v>10</v>
      </c>
      <c r="BN116" s="37"/>
      <c r="BO116" s="17"/>
      <c r="BP116" s="17"/>
      <c r="BQ116" s="150"/>
      <c r="BR116" s="150"/>
      <c r="BS116" s="150"/>
      <c r="BT116" s="150"/>
      <c r="BU116" s="17">
        <v>4.41</v>
      </c>
      <c r="BV116" s="17">
        <v>1.76</v>
      </c>
      <c r="BW116" s="17"/>
      <c r="BX116" s="17">
        <v>190</v>
      </c>
      <c r="BY116" s="17">
        <v>4.32</v>
      </c>
      <c r="BZ116" s="17">
        <v>1.71</v>
      </c>
      <c r="CA116" s="17"/>
      <c r="CB116" s="17">
        <v>208</v>
      </c>
      <c r="CC116" s="17">
        <v>0</v>
      </c>
      <c r="CD116" s="37">
        <f>(BY116-BU116)/SQRT((((CB116-1)*BZ116^2)+((BX116-1)*BV116^2))/((CB116+BX116)-2))</f>
        <v>-5.1901812511750266E-2</v>
      </c>
      <c r="CE116" s="17">
        <v>398</v>
      </c>
      <c r="CF116" s="22">
        <f t="shared" si="7"/>
        <v>-5.1901812511750266E-2</v>
      </c>
      <c r="CG116" s="22">
        <f t="shared" si="15"/>
        <v>-5.3250136071038172E-2</v>
      </c>
      <c r="CH116" s="150"/>
      <c r="CI116" s="22">
        <f t="shared" si="17"/>
        <v>1.0074234370949255E-2</v>
      </c>
      <c r="CJ116" s="37">
        <f t="shared" si="16"/>
        <v>1.0076857780801149E-2</v>
      </c>
    </row>
    <row r="117" spans="1:88" s="35" customFormat="1" x14ac:dyDescent="0.35">
      <c r="A117" s="38" t="s">
        <v>449</v>
      </c>
      <c r="B117" s="185" t="s">
        <v>450</v>
      </c>
      <c r="C117" s="38" t="s">
        <v>451</v>
      </c>
      <c r="D117" s="186" t="s">
        <v>452</v>
      </c>
      <c r="E117" s="186" t="s">
        <v>453</v>
      </c>
      <c r="F117" s="18" t="s">
        <v>1109</v>
      </c>
      <c r="G117" s="28">
        <v>0</v>
      </c>
      <c r="H117" s="28">
        <v>1</v>
      </c>
      <c r="I117" s="28">
        <v>1</v>
      </c>
      <c r="J117" s="20" t="s">
        <v>1106</v>
      </c>
      <c r="K117" s="83">
        <v>1</v>
      </c>
      <c r="L117" s="40" t="s">
        <v>454</v>
      </c>
      <c r="M117" s="40">
        <v>1</v>
      </c>
      <c r="N117" s="40">
        <v>383</v>
      </c>
      <c r="O117" s="28">
        <v>106</v>
      </c>
      <c r="P117" s="28" t="s">
        <v>31</v>
      </c>
      <c r="Q117" s="28">
        <v>2</v>
      </c>
      <c r="R117" s="28">
        <v>1</v>
      </c>
      <c r="S117" s="46">
        <v>0</v>
      </c>
      <c r="T117" s="28">
        <v>0</v>
      </c>
      <c r="U117" s="28">
        <v>0</v>
      </c>
      <c r="V117" s="28">
        <v>0</v>
      </c>
      <c r="W117" s="28">
        <v>1</v>
      </c>
      <c r="X117" s="28">
        <v>0</v>
      </c>
      <c r="Y117" s="28">
        <v>0</v>
      </c>
      <c r="Z117" s="28">
        <v>1</v>
      </c>
      <c r="AA117" s="92">
        <v>1</v>
      </c>
      <c r="AB117" s="28">
        <v>0</v>
      </c>
      <c r="AC117" s="28" t="s">
        <v>382</v>
      </c>
      <c r="AD117" s="18">
        <v>3.2</v>
      </c>
      <c r="AE117" s="28">
        <v>2.6</v>
      </c>
      <c r="AF117" s="28" t="s">
        <v>455</v>
      </c>
      <c r="AG117" s="28">
        <v>1</v>
      </c>
      <c r="AH117" s="28" t="s">
        <v>35</v>
      </c>
      <c r="AI117" s="28">
        <v>46</v>
      </c>
      <c r="AJ117" s="26">
        <v>40</v>
      </c>
      <c r="AK117" s="26">
        <v>60</v>
      </c>
      <c r="AL117" s="26">
        <v>62</v>
      </c>
      <c r="AM117" s="26">
        <v>50</v>
      </c>
      <c r="AN117" s="26">
        <v>68</v>
      </c>
      <c r="AO117" s="42">
        <v>21.57</v>
      </c>
      <c r="AP117" s="28">
        <v>0</v>
      </c>
      <c r="AQ117" s="28">
        <v>0</v>
      </c>
      <c r="AR117" s="28">
        <v>0</v>
      </c>
      <c r="AS117" s="28">
        <v>0</v>
      </c>
      <c r="AT117" s="28">
        <v>0</v>
      </c>
      <c r="AU117" s="28">
        <v>1</v>
      </c>
      <c r="AV117" s="28">
        <v>0</v>
      </c>
      <c r="AW117" s="28">
        <v>1</v>
      </c>
      <c r="AX117" s="28">
        <v>1</v>
      </c>
      <c r="AY117" s="34" t="s">
        <v>456</v>
      </c>
      <c r="AZ117" s="25" t="s">
        <v>457</v>
      </c>
      <c r="BA117" s="17" t="s">
        <v>183</v>
      </c>
      <c r="BB117" s="150" t="s">
        <v>422</v>
      </c>
      <c r="BC117" s="150"/>
      <c r="BD117" s="17"/>
      <c r="BE117" s="17"/>
      <c r="BF117" s="17">
        <v>1</v>
      </c>
      <c r="BG117" s="17">
        <v>1</v>
      </c>
      <c r="BH117" s="17">
        <v>0</v>
      </c>
      <c r="BI117" s="17">
        <v>0</v>
      </c>
      <c r="BJ117" s="17"/>
      <c r="BK117" s="17">
        <v>0.8</v>
      </c>
      <c r="BL117" s="150"/>
      <c r="BM117" s="17">
        <v>391</v>
      </c>
      <c r="BN117" s="17"/>
      <c r="BO117" s="17"/>
      <c r="BP117" s="17">
        <v>2.4900000000000002</v>
      </c>
      <c r="BQ117" s="17">
        <v>104</v>
      </c>
      <c r="BR117" s="36"/>
      <c r="BS117" s="36"/>
      <c r="BT117" s="17"/>
      <c r="BU117" s="17">
        <v>5.16</v>
      </c>
      <c r="BV117" s="17"/>
      <c r="BW117" s="17"/>
      <c r="BX117" s="17">
        <v>53</v>
      </c>
      <c r="BY117" s="17">
        <v>5.57</v>
      </c>
      <c r="BZ117" s="17"/>
      <c r="CA117" s="17"/>
      <c r="CB117" s="17">
        <v>53</v>
      </c>
      <c r="CC117" s="17">
        <v>1</v>
      </c>
      <c r="CD117" s="37">
        <f>(BP117*SQRT((CB117+BX117)/(CB117*BX117)))</f>
        <v>0.48370035945391759</v>
      </c>
      <c r="CE117" s="17">
        <v>106</v>
      </c>
      <c r="CF117" s="22">
        <f t="shared" si="7"/>
        <v>0.48370035945391759</v>
      </c>
      <c r="CG117" s="22">
        <f t="shared" si="15"/>
        <v>0.54079344224002146</v>
      </c>
      <c r="CH117" s="150"/>
      <c r="CI117" s="37">
        <f t="shared" si="17"/>
        <v>3.8839462442150231E-2</v>
      </c>
      <c r="CJ117" s="37">
        <f t="shared" si="16"/>
        <v>3.9541142557651988E-2</v>
      </c>
    </row>
    <row r="118" spans="1:88" s="35" customFormat="1" ht="20.5" customHeight="1" x14ac:dyDescent="0.35">
      <c r="A118" s="29" t="s">
        <v>458</v>
      </c>
      <c r="B118" s="183" t="s">
        <v>459</v>
      </c>
      <c r="C118" s="29" t="s">
        <v>192</v>
      </c>
      <c r="D118" s="184" t="s">
        <v>460</v>
      </c>
      <c r="E118" s="184" t="s">
        <v>461</v>
      </c>
      <c r="F118" s="11" t="s">
        <v>1109</v>
      </c>
      <c r="G118" s="27">
        <v>0</v>
      </c>
      <c r="H118" s="27">
        <v>1</v>
      </c>
      <c r="I118" s="27">
        <v>1</v>
      </c>
      <c r="J118" s="11" t="s">
        <v>1111</v>
      </c>
      <c r="K118" s="82">
        <v>0</v>
      </c>
      <c r="L118" s="31" t="s">
        <v>462</v>
      </c>
      <c r="M118" s="31">
        <v>1</v>
      </c>
      <c r="N118" s="31">
        <v>4</v>
      </c>
      <c r="O118" s="27">
        <v>169</v>
      </c>
      <c r="P118" s="27" t="s">
        <v>147</v>
      </c>
      <c r="Q118" s="27">
        <v>2</v>
      </c>
      <c r="R118" s="27">
        <v>1</v>
      </c>
      <c r="S118" s="32">
        <v>0</v>
      </c>
      <c r="T118" s="27">
        <v>1</v>
      </c>
      <c r="U118" s="27">
        <v>0</v>
      </c>
      <c r="V118" s="27">
        <v>0</v>
      </c>
      <c r="W118" s="27">
        <v>0</v>
      </c>
      <c r="X118" s="27">
        <v>0</v>
      </c>
      <c r="Y118" s="27">
        <v>1</v>
      </c>
      <c r="Z118" s="27">
        <v>0</v>
      </c>
      <c r="AA118" s="97">
        <v>1</v>
      </c>
      <c r="AB118" s="27">
        <v>1</v>
      </c>
      <c r="AC118" s="27" t="s">
        <v>463</v>
      </c>
      <c r="AD118" s="11">
        <v>4.4000000000000004</v>
      </c>
      <c r="AE118" s="27">
        <v>2.9</v>
      </c>
      <c r="AF118" s="27" t="s">
        <v>464</v>
      </c>
      <c r="AG118" s="27">
        <v>1</v>
      </c>
      <c r="AH118" s="27" t="s">
        <v>465</v>
      </c>
      <c r="AI118" s="27">
        <v>30</v>
      </c>
      <c r="AJ118" s="27">
        <v>80</v>
      </c>
      <c r="AK118" s="27">
        <v>43</v>
      </c>
      <c r="AL118" s="27">
        <v>66</v>
      </c>
      <c r="AM118" s="27">
        <v>77</v>
      </c>
      <c r="AN118" s="27">
        <v>24</v>
      </c>
      <c r="AO118" s="33">
        <v>23</v>
      </c>
      <c r="AP118" s="27">
        <v>0</v>
      </c>
      <c r="AQ118" s="27">
        <v>1</v>
      </c>
      <c r="AR118" s="27">
        <v>0</v>
      </c>
      <c r="AS118" s="27">
        <v>1</v>
      </c>
      <c r="AT118" s="27">
        <v>0</v>
      </c>
      <c r="AU118" s="27">
        <v>0</v>
      </c>
      <c r="AV118" s="27">
        <v>0</v>
      </c>
      <c r="AW118" s="27">
        <v>0</v>
      </c>
      <c r="AX118" s="27">
        <v>1</v>
      </c>
      <c r="AY118" s="34" t="s">
        <v>466</v>
      </c>
      <c r="AZ118" s="25" t="s">
        <v>467</v>
      </c>
      <c r="BA118" s="17" t="s">
        <v>141</v>
      </c>
      <c r="BB118" s="150" t="s">
        <v>468</v>
      </c>
      <c r="BC118" s="150" t="s">
        <v>469</v>
      </c>
      <c r="BD118" s="17">
        <v>4</v>
      </c>
      <c r="BE118" s="17">
        <v>7</v>
      </c>
      <c r="BF118" s="17">
        <v>1</v>
      </c>
      <c r="BG118" s="17">
        <v>1</v>
      </c>
      <c r="BH118" s="17">
        <v>0</v>
      </c>
      <c r="BI118" s="17">
        <v>0</v>
      </c>
      <c r="BJ118" s="17">
        <v>0.94</v>
      </c>
      <c r="BK118" s="17">
        <v>0.94</v>
      </c>
      <c r="BL118" s="150" t="s">
        <v>41</v>
      </c>
      <c r="BM118" s="17">
        <v>6</v>
      </c>
      <c r="BN118" s="17"/>
      <c r="BO118" s="17"/>
      <c r="BP118" s="17"/>
      <c r="BQ118" s="17"/>
      <c r="BR118" s="36">
        <v>46.91</v>
      </c>
      <c r="BS118" s="36"/>
      <c r="BT118" s="17"/>
      <c r="BU118" s="17">
        <v>5.28</v>
      </c>
      <c r="BV118" s="17"/>
      <c r="BW118" s="17"/>
      <c r="BX118" s="17">
        <v>84</v>
      </c>
      <c r="BY118" s="17">
        <v>6.23</v>
      </c>
      <c r="BZ118" s="17"/>
      <c r="CA118" s="17"/>
      <c r="CB118" s="17">
        <v>85</v>
      </c>
      <c r="CC118" s="17">
        <v>1</v>
      </c>
      <c r="CD118" s="37">
        <f>2*SQRT(BR118/CE118)</f>
        <v>1.0537057739180162</v>
      </c>
      <c r="CE118" s="17">
        <v>169</v>
      </c>
      <c r="CF118" s="22">
        <f t="shared" si="7"/>
        <v>1.0537057739180162</v>
      </c>
      <c r="CG118" s="22">
        <f t="shared" si="15"/>
        <v>1.0868145225246069</v>
      </c>
      <c r="CH118" s="150"/>
      <c r="CI118" s="37">
        <f t="shared" si="17"/>
        <v>2.6954366775245511E-2</v>
      </c>
      <c r="CJ118" s="37">
        <f t="shared" si="16"/>
        <v>2.7479680065729005E-2</v>
      </c>
    </row>
    <row r="119" spans="1:88" s="35" customFormat="1" ht="15" customHeight="1" x14ac:dyDescent="0.35">
      <c r="A119" s="29" t="s">
        <v>458</v>
      </c>
      <c r="B119" s="183" t="s">
        <v>459</v>
      </c>
      <c r="C119" s="29" t="s">
        <v>192</v>
      </c>
      <c r="D119" s="184" t="s">
        <v>460</v>
      </c>
      <c r="E119" s="184" t="s">
        <v>461</v>
      </c>
      <c r="F119" s="11" t="s">
        <v>1109</v>
      </c>
      <c r="G119" s="27">
        <v>0</v>
      </c>
      <c r="H119" s="27">
        <v>1</v>
      </c>
      <c r="I119" s="27">
        <v>1</v>
      </c>
      <c r="J119" s="11" t="s">
        <v>1111</v>
      </c>
      <c r="K119" s="82">
        <v>0</v>
      </c>
      <c r="L119" s="31" t="s">
        <v>462</v>
      </c>
      <c r="M119" s="31">
        <v>1</v>
      </c>
      <c r="N119" s="31">
        <v>4</v>
      </c>
      <c r="O119" s="27">
        <v>169</v>
      </c>
      <c r="P119" s="27" t="s">
        <v>147</v>
      </c>
      <c r="Q119" s="27">
        <v>2</v>
      </c>
      <c r="R119" s="27">
        <v>1</v>
      </c>
      <c r="S119" s="32">
        <v>0</v>
      </c>
      <c r="T119" s="27">
        <v>1</v>
      </c>
      <c r="U119" s="27">
        <v>0</v>
      </c>
      <c r="V119" s="27">
        <v>0</v>
      </c>
      <c r="W119" s="27">
        <v>0</v>
      </c>
      <c r="X119" s="27">
        <v>0</v>
      </c>
      <c r="Y119" s="27">
        <v>1</v>
      </c>
      <c r="Z119" s="27">
        <v>0</v>
      </c>
      <c r="AA119" s="97">
        <v>1</v>
      </c>
      <c r="AB119" s="27">
        <v>1</v>
      </c>
      <c r="AC119" s="27" t="s">
        <v>463</v>
      </c>
      <c r="AD119" s="11">
        <v>4.4000000000000004</v>
      </c>
      <c r="AE119" s="27">
        <v>2.9</v>
      </c>
      <c r="AF119" s="27" t="s">
        <v>464</v>
      </c>
      <c r="AG119" s="27">
        <v>1</v>
      </c>
      <c r="AH119" s="27" t="s">
        <v>465</v>
      </c>
      <c r="AI119" s="27">
        <v>30</v>
      </c>
      <c r="AJ119" s="27">
        <v>80</v>
      </c>
      <c r="AK119" s="27">
        <v>43</v>
      </c>
      <c r="AL119" s="27">
        <v>66</v>
      </c>
      <c r="AM119" s="27">
        <v>77</v>
      </c>
      <c r="AN119" s="27">
        <v>24</v>
      </c>
      <c r="AO119" s="33">
        <v>23</v>
      </c>
      <c r="AP119" s="27">
        <v>0</v>
      </c>
      <c r="AQ119" s="27">
        <v>1</v>
      </c>
      <c r="AR119" s="27">
        <v>0</v>
      </c>
      <c r="AS119" s="27">
        <v>1</v>
      </c>
      <c r="AT119" s="27">
        <v>0</v>
      </c>
      <c r="AU119" s="27">
        <v>0</v>
      </c>
      <c r="AV119" s="27">
        <v>0</v>
      </c>
      <c r="AW119" s="27">
        <v>0</v>
      </c>
      <c r="AX119" s="27">
        <v>1</v>
      </c>
      <c r="AY119" s="34" t="s">
        <v>470</v>
      </c>
      <c r="AZ119" s="25" t="s">
        <v>467</v>
      </c>
      <c r="BA119" s="17" t="s">
        <v>141</v>
      </c>
      <c r="BB119" s="150" t="s">
        <v>422</v>
      </c>
      <c r="BC119" s="150" t="s">
        <v>471</v>
      </c>
      <c r="BD119" s="17">
        <v>6</v>
      </c>
      <c r="BE119" s="17">
        <v>7</v>
      </c>
      <c r="BF119" s="17">
        <v>1</v>
      </c>
      <c r="BG119" s="17">
        <v>1</v>
      </c>
      <c r="BH119" s="17">
        <v>0</v>
      </c>
      <c r="BI119" s="17">
        <v>0</v>
      </c>
      <c r="BJ119" s="17">
        <v>0.97</v>
      </c>
      <c r="BK119" s="17">
        <v>0.97</v>
      </c>
      <c r="BL119" s="150" t="s">
        <v>41</v>
      </c>
      <c r="BM119" s="17">
        <v>6</v>
      </c>
      <c r="BN119" s="17"/>
      <c r="BO119" s="17"/>
      <c r="BP119" s="17"/>
      <c r="BQ119" s="17"/>
      <c r="BR119" s="36">
        <v>4.6500000000000004</v>
      </c>
      <c r="BS119" s="36"/>
      <c r="BT119" s="17"/>
      <c r="BU119" s="17">
        <v>5.88</v>
      </c>
      <c r="BV119" s="17"/>
      <c r="BW119" s="17"/>
      <c r="BX119" s="17">
        <v>84</v>
      </c>
      <c r="BY119" s="17">
        <v>6.22</v>
      </c>
      <c r="BZ119" s="17"/>
      <c r="CA119" s="17"/>
      <c r="CB119" s="17">
        <v>85</v>
      </c>
      <c r="CC119" s="17">
        <v>1</v>
      </c>
      <c r="CD119" s="37">
        <f>2*SQRT(BR119/CE119)</f>
        <v>0.33175167158227425</v>
      </c>
      <c r="CE119" s="17">
        <v>169</v>
      </c>
      <c r="CF119" s="22">
        <f t="shared" ref="CF119:CF182" si="20">CD119</f>
        <v>0.33175167158227425</v>
      </c>
      <c r="CG119" s="22">
        <f t="shared" si="15"/>
        <v>0.33684278751773</v>
      </c>
      <c r="CH119" s="150"/>
      <c r="CI119" s="37">
        <f t="shared" si="17"/>
        <v>2.3995086637995416E-2</v>
      </c>
      <c r="CJ119" s="37">
        <f t="shared" si="16"/>
        <v>2.4035477669381668E-2</v>
      </c>
    </row>
    <row r="120" spans="1:88" s="35" customFormat="1" ht="13.5" customHeight="1" x14ac:dyDescent="0.35">
      <c r="A120" s="29" t="s">
        <v>458</v>
      </c>
      <c r="B120" s="183" t="s">
        <v>459</v>
      </c>
      <c r="C120" s="29" t="s">
        <v>192</v>
      </c>
      <c r="D120" s="184" t="s">
        <v>460</v>
      </c>
      <c r="E120" s="184" t="s">
        <v>461</v>
      </c>
      <c r="F120" s="12" t="s">
        <v>1109</v>
      </c>
      <c r="G120" s="27">
        <v>0</v>
      </c>
      <c r="H120" s="27">
        <v>1</v>
      </c>
      <c r="I120" s="27">
        <v>1</v>
      </c>
      <c r="J120" s="11" t="s">
        <v>1111</v>
      </c>
      <c r="K120" s="82">
        <v>0</v>
      </c>
      <c r="L120" s="31" t="s">
        <v>462</v>
      </c>
      <c r="M120" s="31">
        <v>1</v>
      </c>
      <c r="N120" s="31">
        <v>4</v>
      </c>
      <c r="O120" s="27">
        <v>169</v>
      </c>
      <c r="P120" s="27" t="s">
        <v>147</v>
      </c>
      <c r="Q120" s="27">
        <v>2</v>
      </c>
      <c r="R120" s="27">
        <v>1</v>
      </c>
      <c r="S120" s="32">
        <v>0</v>
      </c>
      <c r="T120" s="27">
        <v>1</v>
      </c>
      <c r="U120" s="27">
        <v>0</v>
      </c>
      <c r="V120" s="27">
        <v>0</v>
      </c>
      <c r="W120" s="27">
        <v>0</v>
      </c>
      <c r="X120" s="27">
        <v>0</v>
      </c>
      <c r="Y120" s="27">
        <v>1</v>
      </c>
      <c r="Z120" s="27">
        <v>0</v>
      </c>
      <c r="AA120" s="97">
        <v>1</v>
      </c>
      <c r="AB120" s="27">
        <v>1</v>
      </c>
      <c r="AC120" s="27" t="s">
        <v>463</v>
      </c>
      <c r="AD120" s="11">
        <v>4.4000000000000004</v>
      </c>
      <c r="AE120" s="27">
        <v>2.9</v>
      </c>
      <c r="AF120" s="27" t="s">
        <v>464</v>
      </c>
      <c r="AG120" s="27">
        <v>1</v>
      </c>
      <c r="AH120" s="27" t="s">
        <v>465</v>
      </c>
      <c r="AI120" s="27">
        <v>30</v>
      </c>
      <c r="AJ120" s="27">
        <v>80</v>
      </c>
      <c r="AK120" s="27">
        <v>43</v>
      </c>
      <c r="AL120" s="27">
        <v>66</v>
      </c>
      <c r="AM120" s="27">
        <v>77</v>
      </c>
      <c r="AN120" s="27">
        <v>24</v>
      </c>
      <c r="AO120" s="33">
        <v>23</v>
      </c>
      <c r="AP120" s="27">
        <v>0</v>
      </c>
      <c r="AQ120" s="27">
        <v>1</v>
      </c>
      <c r="AR120" s="27">
        <v>0</v>
      </c>
      <c r="AS120" s="27">
        <v>1</v>
      </c>
      <c r="AT120" s="27">
        <v>0</v>
      </c>
      <c r="AU120" s="27">
        <v>0</v>
      </c>
      <c r="AV120" s="27">
        <v>0</v>
      </c>
      <c r="AW120" s="27">
        <v>0</v>
      </c>
      <c r="AX120" s="27">
        <v>1</v>
      </c>
      <c r="AY120" s="34" t="s">
        <v>472</v>
      </c>
      <c r="AZ120" s="25" t="s">
        <v>467</v>
      </c>
      <c r="BA120" s="17" t="s">
        <v>141</v>
      </c>
      <c r="BB120" s="150" t="s">
        <v>46</v>
      </c>
      <c r="BC120" s="150" t="s">
        <v>473</v>
      </c>
      <c r="BD120" s="17">
        <v>3</v>
      </c>
      <c r="BE120" s="17">
        <v>7</v>
      </c>
      <c r="BF120" s="17">
        <v>0</v>
      </c>
      <c r="BG120" s="17">
        <v>0</v>
      </c>
      <c r="BH120" s="17">
        <v>1</v>
      </c>
      <c r="BI120" s="17">
        <v>0</v>
      </c>
      <c r="BJ120" s="17">
        <v>0.92</v>
      </c>
      <c r="BK120" s="17">
        <v>0.92</v>
      </c>
      <c r="BL120" s="150" t="s">
        <v>41</v>
      </c>
      <c r="BM120" s="17">
        <v>6</v>
      </c>
      <c r="BN120" s="17"/>
      <c r="BO120" s="17"/>
      <c r="BP120" s="17"/>
      <c r="BQ120" s="17"/>
      <c r="BR120" s="36">
        <v>7.71</v>
      </c>
      <c r="BS120" s="36"/>
      <c r="BT120" s="17"/>
      <c r="BU120" s="17">
        <v>5.53</v>
      </c>
      <c r="BV120" s="17"/>
      <c r="BW120" s="17"/>
      <c r="BX120" s="17">
        <v>84</v>
      </c>
      <c r="BY120" s="17">
        <v>5.96</v>
      </c>
      <c r="BZ120" s="17"/>
      <c r="CA120" s="17"/>
      <c r="CB120" s="17">
        <v>85</v>
      </c>
      <c r="CC120" s="17">
        <v>1</v>
      </c>
      <c r="CD120" s="37">
        <f>2*SQRT(BR120/CE120)</f>
        <v>0.42718287313584064</v>
      </c>
      <c r="CE120" s="17">
        <v>169</v>
      </c>
      <c r="CF120" s="22">
        <f t="shared" si="20"/>
        <v>0.42718287313584064</v>
      </c>
      <c r="CG120" s="22">
        <f t="shared" si="15"/>
        <v>0.44536893243568754</v>
      </c>
      <c r="CH120" s="150"/>
      <c r="CI120" s="37">
        <f t="shared" si="17"/>
        <v>2.4209364849542631E-2</v>
      </c>
      <c r="CJ120" s="37">
        <f t="shared" si="16"/>
        <v>2.4309317741885505E-2</v>
      </c>
    </row>
    <row r="121" spans="1:88" s="35" customFormat="1" ht="12" customHeight="1" x14ac:dyDescent="0.35">
      <c r="A121" s="29" t="s">
        <v>458</v>
      </c>
      <c r="B121" s="183" t="s">
        <v>459</v>
      </c>
      <c r="C121" s="29" t="s">
        <v>192</v>
      </c>
      <c r="D121" s="184" t="s">
        <v>460</v>
      </c>
      <c r="E121" s="184" t="s">
        <v>461</v>
      </c>
      <c r="F121" s="11" t="s">
        <v>1109</v>
      </c>
      <c r="G121" s="27">
        <v>0</v>
      </c>
      <c r="H121" s="27">
        <v>1</v>
      </c>
      <c r="I121" s="27">
        <v>1</v>
      </c>
      <c r="J121" s="11" t="s">
        <v>1111</v>
      </c>
      <c r="K121" s="82">
        <v>0</v>
      </c>
      <c r="L121" s="31" t="s">
        <v>462</v>
      </c>
      <c r="M121" s="31">
        <v>1</v>
      </c>
      <c r="N121" s="31">
        <v>4</v>
      </c>
      <c r="O121" s="27">
        <v>169</v>
      </c>
      <c r="P121" s="27" t="s">
        <v>147</v>
      </c>
      <c r="Q121" s="27">
        <v>2</v>
      </c>
      <c r="R121" s="27">
        <v>1</v>
      </c>
      <c r="S121" s="32">
        <v>0</v>
      </c>
      <c r="T121" s="27">
        <v>1</v>
      </c>
      <c r="U121" s="27">
        <v>0</v>
      </c>
      <c r="V121" s="27">
        <v>0</v>
      </c>
      <c r="W121" s="27">
        <v>0</v>
      </c>
      <c r="X121" s="27">
        <v>0</v>
      </c>
      <c r="Y121" s="27">
        <v>1</v>
      </c>
      <c r="Z121" s="27">
        <v>0</v>
      </c>
      <c r="AA121" s="97">
        <v>1</v>
      </c>
      <c r="AB121" s="27">
        <v>1</v>
      </c>
      <c r="AC121" s="27" t="s">
        <v>463</v>
      </c>
      <c r="AD121" s="11">
        <v>4.4000000000000004</v>
      </c>
      <c r="AE121" s="27">
        <v>2.9</v>
      </c>
      <c r="AF121" s="27" t="s">
        <v>464</v>
      </c>
      <c r="AG121" s="27">
        <v>1</v>
      </c>
      <c r="AH121" s="27" t="s">
        <v>465</v>
      </c>
      <c r="AI121" s="27">
        <v>30</v>
      </c>
      <c r="AJ121" s="27">
        <v>80</v>
      </c>
      <c r="AK121" s="27">
        <v>43</v>
      </c>
      <c r="AL121" s="27">
        <v>66</v>
      </c>
      <c r="AM121" s="27">
        <v>77</v>
      </c>
      <c r="AN121" s="27">
        <v>24</v>
      </c>
      <c r="AO121" s="33">
        <v>23</v>
      </c>
      <c r="AP121" s="27">
        <v>0</v>
      </c>
      <c r="AQ121" s="27">
        <v>1</v>
      </c>
      <c r="AR121" s="27">
        <v>0</v>
      </c>
      <c r="AS121" s="27">
        <v>1</v>
      </c>
      <c r="AT121" s="27">
        <v>0</v>
      </c>
      <c r="AU121" s="27">
        <v>0</v>
      </c>
      <c r="AV121" s="27">
        <v>0</v>
      </c>
      <c r="AW121" s="27">
        <v>0</v>
      </c>
      <c r="AX121" s="27">
        <v>1</v>
      </c>
      <c r="AY121" s="34" t="s">
        <v>474</v>
      </c>
      <c r="AZ121" s="25" t="s">
        <v>467</v>
      </c>
      <c r="BA121" s="17" t="s">
        <v>141</v>
      </c>
      <c r="BB121" s="150" t="s">
        <v>475</v>
      </c>
      <c r="BC121" s="150" t="s">
        <v>471</v>
      </c>
      <c r="BD121" s="17">
        <v>6</v>
      </c>
      <c r="BE121" s="17">
        <v>7</v>
      </c>
      <c r="BF121" s="17">
        <v>1</v>
      </c>
      <c r="BG121" s="17">
        <v>1</v>
      </c>
      <c r="BH121" s="17">
        <v>0</v>
      </c>
      <c r="BI121" s="17">
        <v>0</v>
      </c>
      <c r="BJ121" s="17">
        <v>0.94</v>
      </c>
      <c r="BK121" s="17">
        <v>0.94</v>
      </c>
      <c r="BL121" s="150" t="s">
        <v>41</v>
      </c>
      <c r="BM121" s="17">
        <v>6</v>
      </c>
      <c r="BN121" s="17"/>
      <c r="BO121" s="17"/>
      <c r="BP121" s="17"/>
      <c r="BQ121" s="17"/>
      <c r="BR121" s="36">
        <v>0.23</v>
      </c>
      <c r="BS121" s="36"/>
      <c r="BT121" s="17"/>
      <c r="BU121" s="17">
        <v>6.2</v>
      </c>
      <c r="BV121" s="17"/>
      <c r="BW121" s="17"/>
      <c r="BX121" s="17">
        <v>84</v>
      </c>
      <c r="BY121" s="17">
        <v>6.12</v>
      </c>
      <c r="BZ121" s="17"/>
      <c r="CA121" s="17"/>
      <c r="CB121" s="17">
        <v>85</v>
      </c>
      <c r="CC121" s="17">
        <v>0</v>
      </c>
      <c r="CD121" s="37">
        <f>2*SQRT(BR121/CE121)</f>
        <v>7.378202343558031E-2</v>
      </c>
      <c r="CE121" s="17">
        <v>169</v>
      </c>
      <c r="CF121" s="22">
        <f t="shared" si="20"/>
        <v>7.378202343558031E-2</v>
      </c>
      <c r="CG121" s="22">
        <f t="shared" si="15"/>
        <v>7.6100346563421753E-2</v>
      </c>
      <c r="CH121" s="150"/>
      <c r="CI121" s="37">
        <f t="shared" si="17"/>
        <v>2.3685573665760552E-2</v>
      </c>
      <c r="CJ121" s="37">
        <f t="shared" si="16"/>
        <v>2.3688149279847338E-2</v>
      </c>
    </row>
    <row r="122" spans="1:88" s="35" customFormat="1" x14ac:dyDescent="0.35">
      <c r="A122" s="38" t="s">
        <v>458</v>
      </c>
      <c r="B122" s="185" t="s">
        <v>459</v>
      </c>
      <c r="C122" s="38" t="s">
        <v>192</v>
      </c>
      <c r="D122" s="186" t="s">
        <v>460</v>
      </c>
      <c r="E122" s="186" t="s">
        <v>461</v>
      </c>
      <c r="F122" s="18" t="s">
        <v>1109</v>
      </c>
      <c r="G122" s="28">
        <v>0</v>
      </c>
      <c r="H122" s="28">
        <v>1</v>
      </c>
      <c r="I122" s="28">
        <v>1</v>
      </c>
      <c r="J122" s="18" t="s">
        <v>1111</v>
      </c>
      <c r="K122" s="83">
        <v>0</v>
      </c>
      <c r="L122" s="40" t="s">
        <v>462</v>
      </c>
      <c r="M122" s="40">
        <v>1</v>
      </c>
      <c r="N122" s="40">
        <v>4</v>
      </c>
      <c r="O122" s="28">
        <v>169</v>
      </c>
      <c r="P122" s="28" t="s">
        <v>147</v>
      </c>
      <c r="Q122" s="28">
        <v>2</v>
      </c>
      <c r="R122" s="28">
        <v>1</v>
      </c>
      <c r="S122" s="41">
        <v>0</v>
      </c>
      <c r="T122" s="28">
        <v>1</v>
      </c>
      <c r="U122" s="28">
        <v>0</v>
      </c>
      <c r="V122" s="28">
        <v>0</v>
      </c>
      <c r="W122" s="28">
        <v>0</v>
      </c>
      <c r="X122" s="28">
        <v>0</v>
      </c>
      <c r="Y122" s="28">
        <v>1</v>
      </c>
      <c r="Z122" s="28">
        <v>0</v>
      </c>
      <c r="AA122" s="92">
        <v>1</v>
      </c>
      <c r="AB122" s="28">
        <v>1</v>
      </c>
      <c r="AC122" s="28" t="s">
        <v>463</v>
      </c>
      <c r="AD122" s="18">
        <v>4.4000000000000004</v>
      </c>
      <c r="AE122" s="28">
        <v>2.9</v>
      </c>
      <c r="AF122" s="28" t="s">
        <v>464</v>
      </c>
      <c r="AG122" s="28">
        <v>1</v>
      </c>
      <c r="AH122" s="28" t="s">
        <v>465</v>
      </c>
      <c r="AI122" s="28">
        <v>30</v>
      </c>
      <c r="AJ122" s="28">
        <v>80</v>
      </c>
      <c r="AK122" s="28">
        <v>43</v>
      </c>
      <c r="AL122" s="28">
        <v>66</v>
      </c>
      <c r="AM122" s="28">
        <v>77</v>
      </c>
      <c r="AN122" s="28">
        <v>24</v>
      </c>
      <c r="AO122" s="42">
        <v>23</v>
      </c>
      <c r="AP122" s="28">
        <v>0</v>
      </c>
      <c r="AQ122" s="28">
        <v>1</v>
      </c>
      <c r="AR122" s="28">
        <v>0</v>
      </c>
      <c r="AS122" s="28">
        <v>1</v>
      </c>
      <c r="AT122" s="28">
        <v>0</v>
      </c>
      <c r="AU122" s="28">
        <v>0</v>
      </c>
      <c r="AV122" s="28">
        <v>0</v>
      </c>
      <c r="AW122" s="28">
        <v>0</v>
      </c>
      <c r="AX122" s="28">
        <v>1</v>
      </c>
      <c r="AY122" s="34" t="s">
        <v>476</v>
      </c>
      <c r="AZ122" s="25" t="s">
        <v>467</v>
      </c>
      <c r="BA122" s="17" t="s">
        <v>141</v>
      </c>
      <c r="BB122" s="150" t="s">
        <v>477</v>
      </c>
      <c r="BC122" s="150" t="s">
        <v>473</v>
      </c>
      <c r="BD122" s="17">
        <v>3</v>
      </c>
      <c r="BE122" s="17">
        <v>7</v>
      </c>
      <c r="BF122" s="17">
        <v>0</v>
      </c>
      <c r="BG122" s="17">
        <v>0</v>
      </c>
      <c r="BH122" s="17">
        <v>1</v>
      </c>
      <c r="BI122" s="17">
        <v>0</v>
      </c>
      <c r="BJ122" s="17">
        <v>0.93</v>
      </c>
      <c r="BK122" s="17">
        <v>0.93</v>
      </c>
      <c r="BL122" s="150" t="s">
        <v>41</v>
      </c>
      <c r="BM122" s="17">
        <v>6</v>
      </c>
      <c r="BN122" s="17"/>
      <c r="BO122" s="17"/>
      <c r="BP122" s="17"/>
      <c r="BQ122" s="17"/>
      <c r="BR122" s="36">
        <v>2.61</v>
      </c>
      <c r="BS122" s="36"/>
      <c r="BT122" s="17"/>
      <c r="BU122" s="17">
        <v>5.26</v>
      </c>
      <c r="BV122" s="17"/>
      <c r="BW122" s="17"/>
      <c r="BX122" s="17">
        <v>84</v>
      </c>
      <c r="BY122" s="17">
        <v>5.52</v>
      </c>
      <c r="BZ122" s="17"/>
      <c r="CA122" s="17"/>
      <c r="CB122" s="17">
        <v>85</v>
      </c>
      <c r="CC122" s="17">
        <v>0</v>
      </c>
      <c r="CD122" s="37">
        <f>2*SQRT(BR122/CE122)</f>
        <v>0.24854606802159249</v>
      </c>
      <c r="CE122" s="17">
        <v>169</v>
      </c>
      <c r="CF122" s="22">
        <f t="shared" si="20"/>
        <v>0.24854606802159249</v>
      </c>
      <c r="CG122" s="22">
        <f t="shared" si="15"/>
        <v>0.25773026645357389</v>
      </c>
      <c r="CH122" s="150"/>
      <c r="CI122" s="37">
        <f t="shared" ref="CI122:CI153" si="21">((BX122+CB122)/(BX122*CB122))+((CF122^2)/(2*(BX122+CB122)))</f>
        <v>2.3852234496963939E-2</v>
      </c>
      <c r="CJ122" s="37">
        <f t="shared" si="16"/>
        <v>2.3873225119158497E-2</v>
      </c>
    </row>
    <row r="123" spans="1:88" s="35" customFormat="1" x14ac:dyDescent="0.35">
      <c r="A123" s="29" t="s">
        <v>478</v>
      </c>
      <c r="B123" s="183" t="s">
        <v>479</v>
      </c>
      <c r="C123" s="29" t="s">
        <v>378</v>
      </c>
      <c r="D123" s="184" t="s">
        <v>480</v>
      </c>
      <c r="E123" s="184" t="s">
        <v>481</v>
      </c>
      <c r="F123" s="11" t="s">
        <v>1109</v>
      </c>
      <c r="G123" s="27">
        <v>0</v>
      </c>
      <c r="H123" s="27">
        <v>1</v>
      </c>
      <c r="I123" s="27">
        <v>2</v>
      </c>
      <c r="J123" s="11" t="s">
        <v>1106</v>
      </c>
      <c r="K123" s="82">
        <v>1</v>
      </c>
      <c r="L123" s="31" t="s">
        <v>482</v>
      </c>
      <c r="M123" s="31">
        <v>1</v>
      </c>
      <c r="N123" s="31">
        <v>46</v>
      </c>
      <c r="O123" s="27">
        <v>60</v>
      </c>
      <c r="P123" s="27" t="s">
        <v>31</v>
      </c>
      <c r="Q123" s="27">
        <v>2</v>
      </c>
      <c r="R123" s="27">
        <v>1</v>
      </c>
      <c r="S123" s="32">
        <v>0</v>
      </c>
      <c r="T123" s="27">
        <v>0</v>
      </c>
      <c r="U123" s="27">
        <v>0</v>
      </c>
      <c r="V123" s="27">
        <v>0</v>
      </c>
      <c r="W123" s="27">
        <v>1</v>
      </c>
      <c r="X123" s="27">
        <v>0</v>
      </c>
      <c r="Y123" s="27">
        <v>0</v>
      </c>
      <c r="Z123" s="27">
        <v>1</v>
      </c>
      <c r="AA123" s="97">
        <v>1</v>
      </c>
      <c r="AB123" s="27">
        <v>0</v>
      </c>
      <c r="AC123" s="27" t="s">
        <v>382</v>
      </c>
      <c r="AD123" s="11">
        <v>3.2</v>
      </c>
      <c r="AE123" s="27">
        <v>2.6</v>
      </c>
      <c r="AF123" s="27" t="s">
        <v>483</v>
      </c>
      <c r="AG123" s="27">
        <v>1</v>
      </c>
      <c r="AH123" s="27" t="s">
        <v>35</v>
      </c>
      <c r="AI123" s="27">
        <v>46</v>
      </c>
      <c r="AJ123" s="27">
        <v>40</v>
      </c>
      <c r="AK123" s="27">
        <v>60</v>
      </c>
      <c r="AL123" s="27">
        <v>62</v>
      </c>
      <c r="AM123" s="27">
        <v>50</v>
      </c>
      <c r="AN123" s="27">
        <v>68</v>
      </c>
      <c r="AO123" s="33">
        <v>21.6</v>
      </c>
      <c r="AP123" s="27">
        <v>1</v>
      </c>
      <c r="AQ123" s="27">
        <v>0</v>
      </c>
      <c r="AR123" s="27">
        <v>0</v>
      </c>
      <c r="AS123" s="27">
        <v>0</v>
      </c>
      <c r="AT123" s="27">
        <v>0</v>
      </c>
      <c r="AU123" s="27">
        <v>1</v>
      </c>
      <c r="AV123" s="27">
        <v>0</v>
      </c>
      <c r="AW123" s="27">
        <v>1</v>
      </c>
      <c r="AX123" s="27">
        <v>1</v>
      </c>
      <c r="AY123" s="34" t="s">
        <v>484</v>
      </c>
      <c r="AZ123" s="25" t="s">
        <v>241</v>
      </c>
      <c r="BA123" s="17" t="s">
        <v>183</v>
      </c>
      <c r="BB123" s="150" t="s">
        <v>422</v>
      </c>
      <c r="BC123" s="150" t="s">
        <v>485</v>
      </c>
      <c r="BD123" s="17">
        <v>6</v>
      </c>
      <c r="BE123" s="17">
        <v>7</v>
      </c>
      <c r="BF123" s="17">
        <v>1</v>
      </c>
      <c r="BG123" s="17">
        <v>1</v>
      </c>
      <c r="BH123" s="17">
        <v>0</v>
      </c>
      <c r="BI123" s="17">
        <v>0</v>
      </c>
      <c r="BJ123" s="17">
        <v>0.91</v>
      </c>
      <c r="BK123" s="17">
        <v>0.91</v>
      </c>
      <c r="BL123" s="150" t="s">
        <v>41</v>
      </c>
      <c r="BM123" s="17">
        <v>49</v>
      </c>
      <c r="BN123" s="17"/>
      <c r="BO123" s="17"/>
      <c r="BP123" s="17">
        <v>2.1800000000000002</v>
      </c>
      <c r="BQ123" s="17">
        <v>59</v>
      </c>
      <c r="BR123" s="36"/>
      <c r="BS123" s="36"/>
      <c r="BT123" s="17"/>
      <c r="BU123" s="17">
        <v>4.8499999999999996</v>
      </c>
      <c r="BV123" s="17"/>
      <c r="BW123" s="17"/>
      <c r="BX123" s="17">
        <v>30</v>
      </c>
      <c r="BY123" s="17">
        <v>5.4</v>
      </c>
      <c r="BZ123" s="17"/>
      <c r="CA123" s="17"/>
      <c r="CB123" s="17">
        <v>30</v>
      </c>
      <c r="CC123" s="17">
        <v>1</v>
      </c>
      <c r="CD123" s="37">
        <f t="shared" ref="CD123:CD128" si="22">(BP123*SQRT((CB123+BX123)/(CB123*BX123)))</f>
        <v>0.56287357964881124</v>
      </c>
      <c r="CE123" s="17">
        <v>60</v>
      </c>
      <c r="CF123" s="22">
        <f t="shared" si="20"/>
        <v>0.56287357964881124</v>
      </c>
      <c r="CG123" s="22">
        <f t="shared" si="15"/>
        <v>0.59005183853723575</v>
      </c>
      <c r="CH123" s="150"/>
      <c r="CI123" s="37">
        <f t="shared" si="21"/>
        <v>6.930688888888889E-2</v>
      </c>
      <c r="CJ123" s="37">
        <f t="shared" si="16"/>
        <v>6.8278523945190614E-2</v>
      </c>
    </row>
    <row r="124" spans="1:88" s="35" customFormat="1" ht="17.149999999999999" customHeight="1" x14ac:dyDescent="0.35">
      <c r="A124" s="29" t="s">
        <v>478</v>
      </c>
      <c r="B124" s="183" t="s">
        <v>479</v>
      </c>
      <c r="C124" s="29" t="s">
        <v>378</v>
      </c>
      <c r="D124" s="184" t="s">
        <v>480</v>
      </c>
      <c r="E124" s="184" t="s">
        <v>481</v>
      </c>
      <c r="F124" s="12" t="s">
        <v>1109</v>
      </c>
      <c r="G124" s="27">
        <v>0</v>
      </c>
      <c r="H124" s="27">
        <v>1</v>
      </c>
      <c r="I124" s="27">
        <v>2</v>
      </c>
      <c r="J124" s="11" t="s">
        <v>1106</v>
      </c>
      <c r="K124" s="82">
        <v>1</v>
      </c>
      <c r="L124" s="40" t="s">
        <v>482</v>
      </c>
      <c r="M124" s="40">
        <v>1</v>
      </c>
      <c r="N124" s="40">
        <v>46</v>
      </c>
      <c r="O124" s="28">
        <v>60</v>
      </c>
      <c r="P124" s="28" t="s">
        <v>31</v>
      </c>
      <c r="Q124" s="28">
        <v>2</v>
      </c>
      <c r="R124" s="28">
        <v>1</v>
      </c>
      <c r="S124" s="41">
        <v>0</v>
      </c>
      <c r="T124" s="28">
        <v>0</v>
      </c>
      <c r="U124" s="28">
        <v>0</v>
      </c>
      <c r="V124" s="28">
        <v>0</v>
      </c>
      <c r="W124" s="28">
        <v>1</v>
      </c>
      <c r="X124" s="28">
        <v>0</v>
      </c>
      <c r="Y124" s="28">
        <v>0</v>
      </c>
      <c r="Z124" s="28">
        <v>1</v>
      </c>
      <c r="AA124" s="92">
        <v>1</v>
      </c>
      <c r="AB124" s="28">
        <v>0</v>
      </c>
      <c r="AC124" s="28" t="s">
        <v>382</v>
      </c>
      <c r="AD124" s="18">
        <v>3.2</v>
      </c>
      <c r="AE124" s="28">
        <v>2.6</v>
      </c>
      <c r="AF124" s="28" t="s">
        <v>483</v>
      </c>
      <c r="AG124" s="28">
        <v>1</v>
      </c>
      <c r="AH124" s="28" t="s">
        <v>35</v>
      </c>
      <c r="AI124" s="28">
        <v>46</v>
      </c>
      <c r="AJ124" s="28">
        <v>40</v>
      </c>
      <c r="AK124" s="28">
        <v>60</v>
      </c>
      <c r="AL124" s="28">
        <v>62</v>
      </c>
      <c r="AM124" s="28">
        <v>50</v>
      </c>
      <c r="AN124" s="28">
        <v>68</v>
      </c>
      <c r="AO124" s="42">
        <v>21.6</v>
      </c>
      <c r="AP124" s="28">
        <v>1</v>
      </c>
      <c r="AQ124" s="28">
        <v>0</v>
      </c>
      <c r="AR124" s="28">
        <v>0</v>
      </c>
      <c r="AS124" s="28">
        <v>0</v>
      </c>
      <c r="AT124" s="28">
        <v>0</v>
      </c>
      <c r="AU124" s="28">
        <v>1</v>
      </c>
      <c r="AV124" s="28">
        <v>0</v>
      </c>
      <c r="AW124" s="28">
        <v>1</v>
      </c>
      <c r="AX124" s="28">
        <v>1</v>
      </c>
      <c r="AY124" s="34" t="s">
        <v>486</v>
      </c>
      <c r="AZ124" s="25" t="s">
        <v>241</v>
      </c>
      <c r="BA124" s="17" t="s">
        <v>183</v>
      </c>
      <c r="BB124" s="150" t="s">
        <v>46</v>
      </c>
      <c r="BC124" s="150" t="s">
        <v>487</v>
      </c>
      <c r="BD124" s="17">
        <v>4</v>
      </c>
      <c r="BE124" s="17">
        <v>7</v>
      </c>
      <c r="BF124" s="17">
        <v>0</v>
      </c>
      <c r="BG124" s="17">
        <v>0</v>
      </c>
      <c r="BH124" s="17">
        <v>1</v>
      </c>
      <c r="BI124" s="17">
        <v>0</v>
      </c>
      <c r="BJ124" s="17">
        <v>0.9</v>
      </c>
      <c r="BK124" s="17">
        <v>0.9</v>
      </c>
      <c r="BL124" s="150" t="s">
        <v>41</v>
      </c>
      <c r="BM124" s="17">
        <v>49</v>
      </c>
      <c r="BN124" s="17"/>
      <c r="BO124" s="17"/>
      <c r="BP124" s="17">
        <v>1.66</v>
      </c>
      <c r="BQ124" s="17">
        <v>59</v>
      </c>
      <c r="BR124" s="36"/>
      <c r="BS124" s="36"/>
      <c r="BT124" s="17"/>
      <c r="BU124" s="17">
        <v>2.83</v>
      </c>
      <c r="BV124" s="17"/>
      <c r="BW124" s="17"/>
      <c r="BX124" s="17">
        <v>30</v>
      </c>
      <c r="BY124" s="17">
        <v>3.39</v>
      </c>
      <c r="BZ124" s="17"/>
      <c r="CA124" s="17"/>
      <c r="CB124" s="17">
        <v>30</v>
      </c>
      <c r="CC124" s="17">
        <v>0</v>
      </c>
      <c r="CD124" s="37">
        <f t="shared" si="22"/>
        <v>0.42861015698028743</v>
      </c>
      <c r="CE124" s="17">
        <v>60</v>
      </c>
      <c r="CF124" s="22">
        <f t="shared" si="20"/>
        <v>0.42861015698028743</v>
      </c>
      <c r="CG124" s="22">
        <f t="shared" si="15"/>
        <v>0.4517947747800084</v>
      </c>
      <c r="CH124" s="150"/>
      <c r="CI124" s="37">
        <f t="shared" si="21"/>
        <v>6.8197555555555553E-2</v>
      </c>
      <c r="CJ124" s="37">
        <f t="shared" si="16"/>
        <v>6.7611659807956109E-2</v>
      </c>
    </row>
    <row r="125" spans="1:88" s="35" customFormat="1" x14ac:dyDescent="0.35">
      <c r="A125" s="29" t="s">
        <v>478</v>
      </c>
      <c r="B125" s="183" t="s">
        <v>479</v>
      </c>
      <c r="C125" s="29" t="s">
        <v>378</v>
      </c>
      <c r="D125" s="184" t="s">
        <v>480</v>
      </c>
      <c r="E125" s="184" t="s">
        <v>481</v>
      </c>
      <c r="F125" s="11" t="s">
        <v>1109</v>
      </c>
      <c r="G125" s="27">
        <v>0</v>
      </c>
      <c r="H125" s="27">
        <v>1</v>
      </c>
      <c r="I125" s="27">
        <v>2</v>
      </c>
      <c r="J125" s="11" t="s">
        <v>1106</v>
      </c>
      <c r="K125" s="82">
        <v>1</v>
      </c>
      <c r="L125" s="31" t="s">
        <v>488</v>
      </c>
      <c r="M125" s="31">
        <v>2</v>
      </c>
      <c r="N125" s="31">
        <v>51</v>
      </c>
      <c r="O125" s="27">
        <v>93</v>
      </c>
      <c r="P125" s="27" t="s">
        <v>147</v>
      </c>
      <c r="Q125" s="27">
        <v>2</v>
      </c>
      <c r="R125" s="27">
        <v>1</v>
      </c>
      <c r="S125" s="32">
        <v>0</v>
      </c>
      <c r="T125" s="27">
        <v>0</v>
      </c>
      <c r="U125" s="27">
        <v>0</v>
      </c>
      <c r="V125" s="27">
        <v>0</v>
      </c>
      <c r="W125" s="27">
        <v>1</v>
      </c>
      <c r="X125" s="27">
        <v>0</v>
      </c>
      <c r="Y125" s="27">
        <v>0</v>
      </c>
      <c r="Z125" s="27">
        <v>1</v>
      </c>
      <c r="AA125" s="11">
        <v>1</v>
      </c>
      <c r="AB125" s="27">
        <v>0</v>
      </c>
      <c r="AC125" s="27" t="s">
        <v>489</v>
      </c>
      <c r="AD125" s="11">
        <v>3.7</v>
      </c>
      <c r="AE125" s="27">
        <v>2.6</v>
      </c>
      <c r="AF125" s="27" t="s">
        <v>58</v>
      </c>
      <c r="AG125" s="27">
        <v>0</v>
      </c>
      <c r="AH125" s="27" t="s">
        <v>35</v>
      </c>
      <c r="AI125" s="27">
        <v>46</v>
      </c>
      <c r="AJ125" s="27">
        <v>40</v>
      </c>
      <c r="AK125" s="27">
        <v>60</v>
      </c>
      <c r="AL125" s="27">
        <v>62</v>
      </c>
      <c r="AM125" s="27">
        <v>50</v>
      </c>
      <c r="AN125" s="27">
        <v>68</v>
      </c>
      <c r="AO125" s="33">
        <v>20.9</v>
      </c>
      <c r="AP125" s="27">
        <v>1</v>
      </c>
      <c r="AQ125" s="27">
        <v>0</v>
      </c>
      <c r="AR125" s="27">
        <v>0</v>
      </c>
      <c r="AS125" s="27">
        <v>0</v>
      </c>
      <c r="AT125" s="27">
        <v>0</v>
      </c>
      <c r="AU125" s="27">
        <v>1</v>
      </c>
      <c r="AV125" s="27">
        <v>0</v>
      </c>
      <c r="AW125" s="27">
        <v>1</v>
      </c>
      <c r="AX125" s="27">
        <v>1</v>
      </c>
      <c r="AY125" s="34" t="s">
        <v>490</v>
      </c>
      <c r="AZ125" s="25" t="s">
        <v>241</v>
      </c>
      <c r="BA125" s="27" t="s">
        <v>183</v>
      </c>
      <c r="BB125" s="150" t="s">
        <v>422</v>
      </c>
      <c r="BC125" s="150" t="s">
        <v>485</v>
      </c>
      <c r="BD125" s="17">
        <v>6</v>
      </c>
      <c r="BE125" s="17">
        <v>7</v>
      </c>
      <c r="BF125" s="17">
        <v>1</v>
      </c>
      <c r="BG125" s="17">
        <v>1</v>
      </c>
      <c r="BH125" s="17">
        <v>0</v>
      </c>
      <c r="BI125" s="17">
        <v>0</v>
      </c>
      <c r="BJ125" s="17">
        <v>0.89</v>
      </c>
      <c r="BK125" s="17">
        <v>0.89</v>
      </c>
      <c r="BL125" s="150" t="s">
        <v>491</v>
      </c>
      <c r="BM125" s="17">
        <v>53</v>
      </c>
      <c r="BN125" s="17"/>
      <c r="BO125" s="17"/>
      <c r="BP125" s="17">
        <v>2.92</v>
      </c>
      <c r="BQ125" s="17">
        <v>51</v>
      </c>
      <c r="BR125" s="36"/>
      <c r="BS125" s="36"/>
      <c r="BT125" s="17"/>
      <c r="BU125" s="17">
        <v>4.26</v>
      </c>
      <c r="BV125" s="17"/>
      <c r="BW125" s="17"/>
      <c r="BX125" s="17">
        <v>23</v>
      </c>
      <c r="BY125" s="17">
        <v>5.25</v>
      </c>
      <c r="BZ125" s="17"/>
      <c r="CA125" s="17"/>
      <c r="CB125" s="17">
        <v>24</v>
      </c>
      <c r="CC125" s="17">
        <v>1</v>
      </c>
      <c r="CD125" s="37">
        <f t="shared" si="22"/>
        <v>0.8520444296777766</v>
      </c>
      <c r="CE125" s="17">
        <v>47</v>
      </c>
      <c r="CF125" s="22">
        <f t="shared" si="20"/>
        <v>0.8520444296777766</v>
      </c>
      <c r="CG125" s="22">
        <f t="shared" si="15"/>
        <v>0.90316528912967131</v>
      </c>
      <c r="CH125" s="150"/>
      <c r="CI125" s="37">
        <f t="shared" si="21"/>
        <v>9.2868115942028984E-2</v>
      </c>
      <c r="CJ125" s="37">
        <f t="shared" si="16"/>
        <v>8.9143493906274449E-2</v>
      </c>
    </row>
    <row r="126" spans="1:88" s="35" customFormat="1" ht="17.149999999999999" customHeight="1" x14ac:dyDescent="0.35">
      <c r="A126" s="29" t="s">
        <v>478</v>
      </c>
      <c r="B126" s="183" t="s">
        <v>479</v>
      </c>
      <c r="C126" s="29" t="s">
        <v>378</v>
      </c>
      <c r="D126" s="184" t="s">
        <v>480</v>
      </c>
      <c r="E126" s="184" t="s">
        <v>481</v>
      </c>
      <c r="F126" s="12" t="s">
        <v>1109</v>
      </c>
      <c r="G126" s="27">
        <v>0</v>
      </c>
      <c r="H126" s="27">
        <v>1</v>
      </c>
      <c r="I126" s="27">
        <v>2</v>
      </c>
      <c r="J126" s="11" t="s">
        <v>1106</v>
      </c>
      <c r="K126" s="82">
        <v>1</v>
      </c>
      <c r="L126" s="31" t="s">
        <v>488</v>
      </c>
      <c r="M126" s="31">
        <v>2</v>
      </c>
      <c r="N126" s="31">
        <v>51</v>
      </c>
      <c r="O126" s="27">
        <v>93</v>
      </c>
      <c r="P126" s="27" t="s">
        <v>147</v>
      </c>
      <c r="Q126" s="27">
        <v>2</v>
      </c>
      <c r="R126" s="27">
        <v>1</v>
      </c>
      <c r="S126" s="32">
        <v>0</v>
      </c>
      <c r="T126" s="27">
        <v>0</v>
      </c>
      <c r="U126" s="27">
        <v>0</v>
      </c>
      <c r="V126" s="27">
        <v>0</v>
      </c>
      <c r="W126" s="27">
        <v>1</v>
      </c>
      <c r="X126" s="27">
        <v>0</v>
      </c>
      <c r="Y126" s="27">
        <v>0</v>
      </c>
      <c r="Z126" s="27">
        <v>1</v>
      </c>
      <c r="AA126" s="97">
        <v>1</v>
      </c>
      <c r="AB126" s="27">
        <v>0</v>
      </c>
      <c r="AC126" s="27" t="s">
        <v>489</v>
      </c>
      <c r="AD126" s="11">
        <v>3.7</v>
      </c>
      <c r="AE126" s="27">
        <v>2.6</v>
      </c>
      <c r="AF126" s="27" t="s">
        <v>58</v>
      </c>
      <c r="AG126" s="27">
        <v>0</v>
      </c>
      <c r="AH126" s="27" t="s">
        <v>35</v>
      </c>
      <c r="AI126" s="27">
        <v>46</v>
      </c>
      <c r="AJ126" s="27">
        <v>40</v>
      </c>
      <c r="AK126" s="27">
        <v>60</v>
      </c>
      <c r="AL126" s="27">
        <v>62</v>
      </c>
      <c r="AM126" s="27">
        <v>50</v>
      </c>
      <c r="AN126" s="27">
        <v>68</v>
      </c>
      <c r="AO126" s="33">
        <v>20.9</v>
      </c>
      <c r="AP126" s="27">
        <v>1</v>
      </c>
      <c r="AQ126" s="27">
        <v>0</v>
      </c>
      <c r="AR126" s="27">
        <v>0</v>
      </c>
      <c r="AS126" s="27">
        <v>0</v>
      </c>
      <c r="AT126" s="27">
        <v>0</v>
      </c>
      <c r="AU126" s="27">
        <v>1</v>
      </c>
      <c r="AV126" s="27">
        <v>0</v>
      </c>
      <c r="AW126" s="27">
        <v>1</v>
      </c>
      <c r="AX126" s="27">
        <v>1</v>
      </c>
      <c r="AY126" s="34" t="s">
        <v>492</v>
      </c>
      <c r="AZ126" s="25" t="s">
        <v>241</v>
      </c>
      <c r="BA126" s="17" t="s">
        <v>183</v>
      </c>
      <c r="BB126" s="150" t="s">
        <v>46</v>
      </c>
      <c r="BC126" s="150" t="s">
        <v>487</v>
      </c>
      <c r="BD126" s="17">
        <v>4</v>
      </c>
      <c r="BE126" s="17">
        <v>7</v>
      </c>
      <c r="BF126" s="17">
        <v>0</v>
      </c>
      <c r="BG126" s="10">
        <v>0</v>
      </c>
      <c r="BH126" s="10">
        <v>1</v>
      </c>
      <c r="BI126" s="10">
        <v>0</v>
      </c>
      <c r="BJ126" s="17">
        <v>0.79</v>
      </c>
      <c r="BK126" s="17">
        <v>0.79</v>
      </c>
      <c r="BL126" s="150" t="s">
        <v>491</v>
      </c>
      <c r="BM126" s="17">
        <v>53</v>
      </c>
      <c r="BN126" s="17"/>
      <c r="BO126" s="17"/>
      <c r="BP126" s="17">
        <v>2.0499999999999998</v>
      </c>
      <c r="BQ126" s="17">
        <v>51</v>
      </c>
      <c r="BR126" s="36"/>
      <c r="BS126" s="36"/>
      <c r="BT126" s="17"/>
      <c r="BU126" s="17">
        <v>2.31</v>
      </c>
      <c r="BV126" s="17"/>
      <c r="BW126" s="17"/>
      <c r="BX126" s="17">
        <v>23</v>
      </c>
      <c r="BY126" s="17">
        <v>3.27</v>
      </c>
      <c r="BZ126" s="17"/>
      <c r="CA126" s="17"/>
      <c r="CB126" s="17">
        <v>24</v>
      </c>
      <c r="CC126" s="17">
        <v>1</v>
      </c>
      <c r="CD126" s="37">
        <f t="shared" si="22"/>
        <v>0.59818187699980885</v>
      </c>
      <c r="CE126" s="17">
        <v>47</v>
      </c>
      <c r="CF126" s="22">
        <f t="shared" si="20"/>
        <v>0.59818187699980885</v>
      </c>
      <c r="CG126" s="22">
        <f t="shared" si="15"/>
        <v>0.67300719236570394</v>
      </c>
      <c r="CH126" s="150"/>
      <c r="CI126" s="37">
        <f t="shared" si="21"/>
        <v>8.8951539855072467E-2</v>
      </c>
      <c r="CJ126" s="37">
        <f t="shared" si="16"/>
        <v>8.8919416544364957E-2</v>
      </c>
    </row>
    <row r="127" spans="1:88" s="35" customFormat="1" x14ac:dyDescent="0.35">
      <c r="A127" s="29" t="s">
        <v>478</v>
      </c>
      <c r="B127" s="183" t="s">
        <v>479</v>
      </c>
      <c r="C127" s="29" t="s">
        <v>378</v>
      </c>
      <c r="D127" s="184" t="s">
        <v>480</v>
      </c>
      <c r="E127" s="184" t="s">
        <v>481</v>
      </c>
      <c r="F127" s="11" t="s">
        <v>1109</v>
      </c>
      <c r="G127" s="27">
        <v>0</v>
      </c>
      <c r="H127" s="27">
        <v>1</v>
      </c>
      <c r="I127" s="27">
        <v>2</v>
      </c>
      <c r="J127" s="11" t="s">
        <v>1106</v>
      </c>
      <c r="K127" s="82">
        <v>1</v>
      </c>
      <c r="L127" s="31" t="s">
        <v>488</v>
      </c>
      <c r="M127" s="31">
        <v>2</v>
      </c>
      <c r="N127" s="31">
        <v>51</v>
      </c>
      <c r="O127" s="27">
        <v>93</v>
      </c>
      <c r="P127" s="27" t="s">
        <v>147</v>
      </c>
      <c r="Q127" s="27">
        <v>2</v>
      </c>
      <c r="R127" s="27">
        <v>2</v>
      </c>
      <c r="S127" s="32">
        <v>0</v>
      </c>
      <c r="T127" s="27">
        <v>0</v>
      </c>
      <c r="U127" s="27">
        <v>0</v>
      </c>
      <c r="V127" s="27">
        <v>0</v>
      </c>
      <c r="W127" s="27">
        <v>1</v>
      </c>
      <c r="X127" s="27">
        <v>0</v>
      </c>
      <c r="Y127" s="27">
        <v>0</v>
      </c>
      <c r="Z127" s="27">
        <v>1</v>
      </c>
      <c r="AA127" s="97">
        <v>1</v>
      </c>
      <c r="AB127" s="27">
        <v>0</v>
      </c>
      <c r="AC127" s="27" t="s">
        <v>493</v>
      </c>
      <c r="AD127" s="11">
        <v>3.2</v>
      </c>
      <c r="AE127" s="27">
        <v>2.9</v>
      </c>
      <c r="AF127" s="27" t="s">
        <v>58</v>
      </c>
      <c r="AG127" s="27">
        <v>0</v>
      </c>
      <c r="AH127" s="27" t="s">
        <v>35</v>
      </c>
      <c r="AI127" s="27">
        <v>46</v>
      </c>
      <c r="AJ127" s="27">
        <v>40</v>
      </c>
      <c r="AK127" s="27">
        <v>60</v>
      </c>
      <c r="AL127" s="27">
        <v>62</v>
      </c>
      <c r="AM127" s="27">
        <v>50</v>
      </c>
      <c r="AN127" s="27">
        <v>68</v>
      </c>
      <c r="AO127" s="33">
        <v>20.9</v>
      </c>
      <c r="AP127" s="27">
        <v>1</v>
      </c>
      <c r="AQ127" s="27">
        <v>0</v>
      </c>
      <c r="AR127" s="27">
        <v>0</v>
      </c>
      <c r="AS127" s="27">
        <v>0</v>
      </c>
      <c r="AT127" s="27">
        <v>0</v>
      </c>
      <c r="AU127" s="27">
        <v>1</v>
      </c>
      <c r="AV127" s="27">
        <v>0</v>
      </c>
      <c r="AW127" s="27">
        <v>1</v>
      </c>
      <c r="AX127" s="27">
        <v>1</v>
      </c>
      <c r="AY127" s="34" t="s">
        <v>494</v>
      </c>
      <c r="AZ127" s="25" t="s">
        <v>241</v>
      </c>
      <c r="BA127" s="17" t="s">
        <v>183</v>
      </c>
      <c r="BB127" s="150" t="s">
        <v>422</v>
      </c>
      <c r="BC127" s="150" t="s">
        <v>485</v>
      </c>
      <c r="BD127" s="17">
        <v>6</v>
      </c>
      <c r="BE127" s="17">
        <v>7</v>
      </c>
      <c r="BF127" s="17">
        <v>1</v>
      </c>
      <c r="BG127" s="17">
        <v>1</v>
      </c>
      <c r="BH127" s="17">
        <v>0</v>
      </c>
      <c r="BI127" s="17">
        <v>0</v>
      </c>
      <c r="BJ127" s="17">
        <v>0.89</v>
      </c>
      <c r="BK127" s="17">
        <v>0.89</v>
      </c>
      <c r="BL127" s="150" t="s">
        <v>491</v>
      </c>
      <c r="BM127" s="17">
        <v>53</v>
      </c>
      <c r="BN127" s="17"/>
      <c r="BO127" s="17"/>
      <c r="BP127" s="17">
        <v>2.46</v>
      </c>
      <c r="BQ127" s="17">
        <v>40</v>
      </c>
      <c r="BR127" s="36"/>
      <c r="BS127" s="36"/>
      <c r="BT127" s="17"/>
      <c r="BU127" s="17">
        <v>4.55</v>
      </c>
      <c r="BV127" s="17"/>
      <c r="BW127" s="17"/>
      <c r="BX127" s="17">
        <v>22</v>
      </c>
      <c r="BY127" s="17">
        <v>5.42</v>
      </c>
      <c r="BZ127" s="17"/>
      <c r="CA127" s="17"/>
      <c r="CB127" s="17">
        <v>23</v>
      </c>
      <c r="CC127" s="17">
        <v>1</v>
      </c>
      <c r="CD127" s="37">
        <f t="shared" si="22"/>
        <v>0.73361145761975943</v>
      </c>
      <c r="CE127" s="17">
        <v>45</v>
      </c>
      <c r="CF127" s="22">
        <f t="shared" si="20"/>
        <v>0.73361145761975943</v>
      </c>
      <c r="CG127" s="22">
        <f t="shared" si="15"/>
        <v>0.77762658982532062</v>
      </c>
      <c r="CH127" s="150"/>
      <c r="CI127" s="37">
        <f t="shared" si="21"/>
        <v>9.4912648221343876E-2</v>
      </c>
      <c r="CJ127" s="37">
        <f t="shared" si="16"/>
        <v>9.4057408978376417E-2</v>
      </c>
    </row>
    <row r="128" spans="1:88" s="35" customFormat="1" x14ac:dyDescent="0.35">
      <c r="A128" s="38" t="s">
        <v>478</v>
      </c>
      <c r="B128" s="185" t="s">
        <v>479</v>
      </c>
      <c r="C128" s="38" t="s">
        <v>378</v>
      </c>
      <c r="D128" s="186" t="s">
        <v>480</v>
      </c>
      <c r="E128" s="186" t="s">
        <v>481</v>
      </c>
      <c r="F128" s="18" t="s">
        <v>1109</v>
      </c>
      <c r="G128" s="28">
        <v>0</v>
      </c>
      <c r="H128" s="28">
        <v>1</v>
      </c>
      <c r="I128" s="28">
        <v>2</v>
      </c>
      <c r="J128" s="18" t="s">
        <v>1106</v>
      </c>
      <c r="K128" s="83">
        <v>1</v>
      </c>
      <c r="L128" s="40" t="s">
        <v>488</v>
      </c>
      <c r="M128" s="40">
        <v>2</v>
      </c>
      <c r="N128" s="40">
        <v>51</v>
      </c>
      <c r="O128" s="28">
        <v>93</v>
      </c>
      <c r="P128" s="28" t="s">
        <v>147</v>
      </c>
      <c r="Q128" s="28">
        <v>2</v>
      </c>
      <c r="R128" s="28">
        <v>2</v>
      </c>
      <c r="S128" s="41">
        <v>0</v>
      </c>
      <c r="T128" s="28">
        <v>0</v>
      </c>
      <c r="U128" s="28">
        <v>0</v>
      </c>
      <c r="V128" s="28">
        <v>0</v>
      </c>
      <c r="W128" s="28">
        <v>1</v>
      </c>
      <c r="X128" s="28">
        <v>0</v>
      </c>
      <c r="Y128" s="28">
        <v>0</v>
      </c>
      <c r="Z128" s="28">
        <v>1</v>
      </c>
      <c r="AA128" s="92">
        <v>1</v>
      </c>
      <c r="AB128" s="28">
        <v>0</v>
      </c>
      <c r="AC128" s="28" t="s">
        <v>493</v>
      </c>
      <c r="AD128" s="18">
        <v>3.2</v>
      </c>
      <c r="AE128" s="28">
        <v>2.9</v>
      </c>
      <c r="AF128" s="28" t="s">
        <v>58</v>
      </c>
      <c r="AG128" s="28">
        <v>0</v>
      </c>
      <c r="AH128" s="28" t="s">
        <v>35</v>
      </c>
      <c r="AI128" s="28">
        <v>46</v>
      </c>
      <c r="AJ128" s="28">
        <v>40</v>
      </c>
      <c r="AK128" s="28">
        <v>60</v>
      </c>
      <c r="AL128" s="28">
        <v>62</v>
      </c>
      <c r="AM128" s="28">
        <v>50</v>
      </c>
      <c r="AN128" s="28">
        <v>68</v>
      </c>
      <c r="AO128" s="42">
        <v>20.9</v>
      </c>
      <c r="AP128" s="28">
        <v>1</v>
      </c>
      <c r="AQ128" s="28">
        <v>0</v>
      </c>
      <c r="AR128" s="28">
        <v>0</v>
      </c>
      <c r="AS128" s="28">
        <v>0</v>
      </c>
      <c r="AT128" s="28">
        <v>0</v>
      </c>
      <c r="AU128" s="28">
        <v>1</v>
      </c>
      <c r="AV128" s="28">
        <v>0</v>
      </c>
      <c r="AW128" s="28">
        <v>1</v>
      </c>
      <c r="AX128" s="28">
        <v>1</v>
      </c>
      <c r="AY128" s="34" t="s">
        <v>495</v>
      </c>
      <c r="AZ128" s="25" t="s">
        <v>241</v>
      </c>
      <c r="BA128" s="17" t="s">
        <v>183</v>
      </c>
      <c r="BB128" s="150" t="s">
        <v>46</v>
      </c>
      <c r="BC128" s="150" t="s">
        <v>487</v>
      </c>
      <c r="BD128" s="17">
        <v>4</v>
      </c>
      <c r="BE128" s="17">
        <v>7</v>
      </c>
      <c r="BF128" s="17">
        <v>0</v>
      </c>
      <c r="BG128" s="17">
        <v>0</v>
      </c>
      <c r="BH128" s="17">
        <v>1</v>
      </c>
      <c r="BI128" s="17">
        <v>0</v>
      </c>
      <c r="BJ128" s="17">
        <v>0.79</v>
      </c>
      <c r="BK128" s="17">
        <v>0.79</v>
      </c>
      <c r="BL128" s="150" t="s">
        <v>491</v>
      </c>
      <c r="BM128" s="17">
        <v>53</v>
      </c>
      <c r="BN128" s="17"/>
      <c r="BO128" s="17"/>
      <c r="BP128" s="17">
        <v>1.77</v>
      </c>
      <c r="BQ128" s="17">
        <v>40</v>
      </c>
      <c r="BR128" s="36"/>
      <c r="BS128" s="36"/>
      <c r="BT128" s="17"/>
      <c r="BU128" s="17">
        <v>2.76</v>
      </c>
      <c r="BV128" s="17"/>
      <c r="BW128" s="17"/>
      <c r="BX128" s="17">
        <v>22</v>
      </c>
      <c r="BY128" s="17">
        <v>3.65</v>
      </c>
      <c r="BZ128" s="17"/>
      <c r="CA128" s="17"/>
      <c r="CB128" s="17">
        <v>23</v>
      </c>
      <c r="CC128" s="17">
        <v>1</v>
      </c>
      <c r="CD128" s="37">
        <f t="shared" si="22"/>
        <v>0.52784239023860746</v>
      </c>
      <c r="CE128" s="17">
        <v>45</v>
      </c>
      <c r="CF128" s="22">
        <f t="shared" si="20"/>
        <v>0.52784239023860746</v>
      </c>
      <c r="CG128" s="22">
        <f t="shared" si="15"/>
        <v>0.59386908685333006</v>
      </c>
      <c r="CH128" s="150"/>
      <c r="CI128" s="37">
        <f t="shared" si="21"/>
        <v>9.202855731225297E-2</v>
      </c>
      <c r="CJ128" s="37">
        <f t="shared" si="16"/>
        <v>9.1871810426777403E-2</v>
      </c>
    </row>
    <row r="129" spans="1:88" s="35" customFormat="1" x14ac:dyDescent="0.35">
      <c r="A129" s="29" t="s">
        <v>496</v>
      </c>
      <c r="B129" s="183" t="s">
        <v>497</v>
      </c>
      <c r="C129" s="29" t="s">
        <v>498</v>
      </c>
      <c r="D129" s="184" t="s">
        <v>499</v>
      </c>
      <c r="E129" s="184" t="s">
        <v>500</v>
      </c>
      <c r="F129" s="11" t="s">
        <v>1109</v>
      </c>
      <c r="G129" s="27">
        <v>1</v>
      </c>
      <c r="H129" s="27">
        <v>1</v>
      </c>
      <c r="I129" s="27">
        <v>4</v>
      </c>
      <c r="J129" s="11" t="s">
        <v>1106</v>
      </c>
      <c r="K129" s="82">
        <v>1</v>
      </c>
      <c r="L129" s="31" t="s">
        <v>501</v>
      </c>
      <c r="M129" s="31">
        <v>2</v>
      </c>
      <c r="N129" s="31">
        <v>398</v>
      </c>
      <c r="O129" s="27">
        <v>73</v>
      </c>
      <c r="P129" s="27" t="s">
        <v>366</v>
      </c>
      <c r="Q129" s="27">
        <v>2</v>
      </c>
      <c r="R129" s="27">
        <v>1</v>
      </c>
      <c r="S129" s="32">
        <v>0</v>
      </c>
      <c r="T129" s="27">
        <v>0</v>
      </c>
      <c r="U129" s="27">
        <v>0</v>
      </c>
      <c r="V129" s="27">
        <v>0</v>
      </c>
      <c r="W129" s="27">
        <v>1</v>
      </c>
      <c r="X129" s="27">
        <v>0</v>
      </c>
      <c r="Y129" s="27">
        <v>0</v>
      </c>
      <c r="Z129" s="27">
        <v>1</v>
      </c>
      <c r="AA129" s="11">
        <v>1</v>
      </c>
      <c r="AB129" s="27">
        <v>0</v>
      </c>
      <c r="AC129" s="27" t="s">
        <v>489</v>
      </c>
      <c r="AD129" s="11">
        <v>3.7</v>
      </c>
      <c r="AE129" s="27">
        <v>2.6</v>
      </c>
      <c r="AF129" s="27" t="s">
        <v>58</v>
      </c>
      <c r="AG129" s="27">
        <v>0</v>
      </c>
      <c r="AH129" s="27" t="s">
        <v>35</v>
      </c>
      <c r="AI129" s="27">
        <v>46</v>
      </c>
      <c r="AJ129" s="27">
        <v>40</v>
      </c>
      <c r="AK129" s="27">
        <v>60</v>
      </c>
      <c r="AL129" s="27">
        <v>62</v>
      </c>
      <c r="AM129" s="27">
        <v>50</v>
      </c>
      <c r="AN129" s="27">
        <v>68</v>
      </c>
      <c r="AO129" s="33">
        <v>21</v>
      </c>
      <c r="AP129" s="27">
        <v>1</v>
      </c>
      <c r="AQ129" s="27">
        <v>0</v>
      </c>
      <c r="AR129" s="27">
        <v>0</v>
      </c>
      <c r="AS129" s="27">
        <v>0</v>
      </c>
      <c r="AT129" s="27">
        <v>0</v>
      </c>
      <c r="AU129" s="27">
        <v>1</v>
      </c>
      <c r="AV129" s="27">
        <v>0</v>
      </c>
      <c r="AW129" s="27">
        <v>1</v>
      </c>
      <c r="AX129" s="27">
        <v>1</v>
      </c>
      <c r="AY129" s="34" t="s">
        <v>502</v>
      </c>
      <c r="AZ129" s="25" t="s">
        <v>503</v>
      </c>
      <c r="BA129" s="17" t="s">
        <v>183</v>
      </c>
      <c r="BB129" s="150" t="s">
        <v>422</v>
      </c>
      <c r="BC129" s="150" t="s">
        <v>504</v>
      </c>
      <c r="BD129" s="17">
        <v>5</v>
      </c>
      <c r="BE129" s="17">
        <v>7</v>
      </c>
      <c r="BF129" s="17">
        <v>1</v>
      </c>
      <c r="BG129" s="17">
        <v>1</v>
      </c>
      <c r="BH129" s="17">
        <v>0</v>
      </c>
      <c r="BI129" s="17">
        <v>0</v>
      </c>
      <c r="BJ129" s="17">
        <v>0.82</v>
      </c>
      <c r="BK129" s="17">
        <v>0.82</v>
      </c>
      <c r="BL129" s="150" t="s">
        <v>41</v>
      </c>
      <c r="BM129" s="17">
        <v>399</v>
      </c>
      <c r="BN129" s="17"/>
      <c r="BO129" s="17"/>
      <c r="BP129" s="17">
        <v>1.96</v>
      </c>
      <c r="BQ129" s="17">
        <v>71</v>
      </c>
      <c r="BR129" s="36"/>
      <c r="BS129" s="36"/>
      <c r="BT129" s="17"/>
      <c r="BU129" s="17">
        <v>4.63</v>
      </c>
      <c r="BV129" s="17">
        <v>1.2</v>
      </c>
      <c r="BW129" s="17"/>
      <c r="BX129" s="17">
        <v>37</v>
      </c>
      <c r="BY129" s="17">
        <v>5.14</v>
      </c>
      <c r="BZ129" s="17">
        <v>0.97</v>
      </c>
      <c r="CA129" s="17"/>
      <c r="CB129" s="17">
        <v>36</v>
      </c>
      <c r="CC129" s="17">
        <v>0</v>
      </c>
      <c r="CD129" s="37">
        <f>(BY129-BU129)/SQRT((((CB129-1)*BZ129^2)+((BX129-1)*BV129^2))/((CB129+BX129)-2))</f>
        <v>0.46673934940726741</v>
      </c>
      <c r="CE129" s="17">
        <v>73</v>
      </c>
      <c r="CF129" s="22">
        <f t="shared" si="20"/>
        <v>0.46673934940726741</v>
      </c>
      <c r="CG129" s="22">
        <f t="shared" si="15"/>
        <v>0.51542738634225571</v>
      </c>
      <c r="CH129" s="150"/>
      <c r="CI129" s="22">
        <f t="shared" si="21"/>
        <v>5.6296898094428907E-2</v>
      </c>
      <c r="CJ129" s="37">
        <f t="shared" si="16"/>
        <v>5.6624430767761032E-2</v>
      </c>
    </row>
    <row r="130" spans="1:88" s="35" customFormat="1" x14ac:dyDescent="0.35">
      <c r="A130" s="29" t="s">
        <v>496</v>
      </c>
      <c r="B130" s="183" t="s">
        <v>497</v>
      </c>
      <c r="C130" s="29" t="s">
        <v>498</v>
      </c>
      <c r="D130" s="184" t="s">
        <v>499</v>
      </c>
      <c r="E130" s="184" t="s">
        <v>500</v>
      </c>
      <c r="F130" s="11" t="s">
        <v>1109</v>
      </c>
      <c r="G130" s="27">
        <v>1</v>
      </c>
      <c r="H130" s="27">
        <v>1</v>
      </c>
      <c r="I130" s="27">
        <v>4</v>
      </c>
      <c r="J130" s="11" t="s">
        <v>1106</v>
      </c>
      <c r="K130" s="82">
        <v>1</v>
      </c>
      <c r="L130" s="31" t="s">
        <v>501</v>
      </c>
      <c r="M130" s="31">
        <v>2</v>
      </c>
      <c r="N130" s="31">
        <v>398</v>
      </c>
      <c r="O130" s="27">
        <v>73</v>
      </c>
      <c r="P130" s="27" t="s">
        <v>366</v>
      </c>
      <c r="Q130" s="27">
        <v>2</v>
      </c>
      <c r="R130" s="27">
        <v>2</v>
      </c>
      <c r="S130" s="32">
        <v>0</v>
      </c>
      <c r="T130" s="27">
        <v>0</v>
      </c>
      <c r="U130" s="27">
        <v>0</v>
      </c>
      <c r="V130" s="27">
        <v>0</v>
      </c>
      <c r="W130" s="27">
        <v>1</v>
      </c>
      <c r="X130" s="27">
        <v>0</v>
      </c>
      <c r="Y130" s="27">
        <v>0</v>
      </c>
      <c r="Z130" s="27">
        <v>1</v>
      </c>
      <c r="AA130" s="11">
        <v>1</v>
      </c>
      <c r="AB130" s="27">
        <v>0</v>
      </c>
      <c r="AC130" s="27" t="s">
        <v>505</v>
      </c>
      <c r="AD130" s="11">
        <v>2.5</v>
      </c>
      <c r="AE130" s="27">
        <v>2.7</v>
      </c>
      <c r="AF130" s="27" t="s">
        <v>58</v>
      </c>
      <c r="AG130" s="27">
        <v>0</v>
      </c>
      <c r="AH130" s="27" t="s">
        <v>35</v>
      </c>
      <c r="AI130" s="27">
        <v>46</v>
      </c>
      <c r="AJ130" s="27">
        <v>40</v>
      </c>
      <c r="AK130" s="27">
        <v>60</v>
      </c>
      <c r="AL130" s="27">
        <v>62</v>
      </c>
      <c r="AM130" s="27">
        <v>50</v>
      </c>
      <c r="AN130" s="27">
        <v>68</v>
      </c>
      <c r="AO130" s="33">
        <v>21</v>
      </c>
      <c r="AP130" s="27">
        <v>1</v>
      </c>
      <c r="AQ130" s="27">
        <v>0</v>
      </c>
      <c r="AR130" s="27">
        <v>0</v>
      </c>
      <c r="AS130" s="27">
        <v>0</v>
      </c>
      <c r="AT130" s="27">
        <v>0</v>
      </c>
      <c r="AU130" s="27">
        <v>1</v>
      </c>
      <c r="AV130" s="27">
        <v>0</v>
      </c>
      <c r="AW130" s="27">
        <v>1</v>
      </c>
      <c r="AX130" s="27">
        <v>1</v>
      </c>
      <c r="AY130" s="34" t="s">
        <v>506</v>
      </c>
      <c r="AZ130" s="25" t="s">
        <v>503</v>
      </c>
      <c r="BA130" s="17" t="s">
        <v>183</v>
      </c>
      <c r="BB130" s="150" t="s">
        <v>422</v>
      </c>
      <c r="BC130" s="150" t="s">
        <v>504</v>
      </c>
      <c r="BD130" s="17">
        <v>5</v>
      </c>
      <c r="BE130" s="17">
        <v>7</v>
      </c>
      <c r="BF130" s="17">
        <v>1</v>
      </c>
      <c r="BG130" s="17">
        <v>1</v>
      </c>
      <c r="BH130" s="17">
        <v>0</v>
      </c>
      <c r="BI130" s="17">
        <v>0</v>
      </c>
      <c r="BJ130" s="17">
        <v>0.86</v>
      </c>
      <c r="BK130" s="17">
        <v>0.86</v>
      </c>
      <c r="BL130" s="150" t="s">
        <v>41</v>
      </c>
      <c r="BM130" s="17">
        <v>399</v>
      </c>
      <c r="BN130" s="17"/>
      <c r="BO130" s="17"/>
      <c r="BP130" s="17">
        <v>1.35</v>
      </c>
      <c r="BQ130" s="17">
        <v>71</v>
      </c>
      <c r="BR130" s="36"/>
      <c r="BS130" s="36"/>
      <c r="BT130" s="17"/>
      <c r="BU130" s="17">
        <v>4.76</v>
      </c>
      <c r="BV130" s="17">
        <v>1.28</v>
      </c>
      <c r="BW130" s="17"/>
      <c r="BX130" s="17">
        <v>37</v>
      </c>
      <c r="BY130" s="17">
        <v>5.18</v>
      </c>
      <c r="BZ130" s="17">
        <v>1.4</v>
      </c>
      <c r="CA130" s="17"/>
      <c r="CB130" s="17">
        <v>36</v>
      </c>
      <c r="CC130" s="17">
        <v>0</v>
      </c>
      <c r="CD130" s="37">
        <f>(BY130-BU130)/SQRT((((CB130-1)*BZ130^2)+((BX130-1)*BV130^2))/((CB130+BX130)-2))</f>
        <v>0.31331636617256209</v>
      </c>
      <c r="CE130" s="17">
        <v>73</v>
      </c>
      <c r="CF130" s="22">
        <f t="shared" si="20"/>
        <v>0.31331636617256209</v>
      </c>
      <c r="CG130" s="22">
        <f t="shared" si="15"/>
        <v>0.3378577265441135</v>
      </c>
      <c r="CH130" s="150"/>
      <c r="CI130" s="22">
        <f t="shared" si="21"/>
        <v>5.5477182512418358E-2</v>
      </c>
      <c r="CJ130" s="37">
        <f t="shared" si="16"/>
        <v>5.5608662856815767E-2</v>
      </c>
    </row>
    <row r="131" spans="1:88" s="35" customFormat="1" x14ac:dyDescent="0.35">
      <c r="A131" s="29" t="s">
        <v>496</v>
      </c>
      <c r="B131" s="183" t="s">
        <v>497</v>
      </c>
      <c r="C131" s="29" t="s">
        <v>498</v>
      </c>
      <c r="D131" s="184" t="s">
        <v>499</v>
      </c>
      <c r="E131" s="184" t="s">
        <v>500</v>
      </c>
      <c r="F131" s="11" t="s">
        <v>1109</v>
      </c>
      <c r="G131" s="27">
        <v>1</v>
      </c>
      <c r="H131" s="27">
        <v>1</v>
      </c>
      <c r="I131" s="27">
        <v>4</v>
      </c>
      <c r="J131" s="11" t="s">
        <v>1106</v>
      </c>
      <c r="K131" s="82">
        <v>1</v>
      </c>
      <c r="L131" s="40" t="s">
        <v>501</v>
      </c>
      <c r="M131" s="40">
        <v>2</v>
      </c>
      <c r="N131" s="40">
        <v>398</v>
      </c>
      <c r="O131" s="28">
        <v>73</v>
      </c>
      <c r="P131" s="28" t="s">
        <v>366</v>
      </c>
      <c r="Q131" s="28">
        <v>2</v>
      </c>
      <c r="R131" s="28">
        <v>3</v>
      </c>
      <c r="S131" s="41">
        <v>0</v>
      </c>
      <c r="T131" s="28">
        <v>0</v>
      </c>
      <c r="U131" s="28">
        <v>0</v>
      </c>
      <c r="V131" s="28">
        <v>0</v>
      </c>
      <c r="W131" s="28">
        <v>1</v>
      </c>
      <c r="X131" s="28">
        <v>0</v>
      </c>
      <c r="Y131" s="28">
        <v>0</v>
      </c>
      <c r="Z131" s="28">
        <v>1</v>
      </c>
      <c r="AA131" s="18">
        <v>1</v>
      </c>
      <c r="AB131" s="28">
        <v>0</v>
      </c>
      <c r="AC131" s="28" t="s">
        <v>197</v>
      </c>
      <c r="AD131" s="18">
        <v>2.2999999999999998</v>
      </c>
      <c r="AE131" s="28">
        <v>2.6</v>
      </c>
      <c r="AF131" s="28" t="s">
        <v>58</v>
      </c>
      <c r="AG131" s="28">
        <v>0</v>
      </c>
      <c r="AH131" s="28" t="s">
        <v>35</v>
      </c>
      <c r="AI131" s="28">
        <v>46</v>
      </c>
      <c r="AJ131" s="28">
        <v>40</v>
      </c>
      <c r="AK131" s="28">
        <v>60</v>
      </c>
      <c r="AL131" s="28">
        <v>62</v>
      </c>
      <c r="AM131" s="28">
        <v>50</v>
      </c>
      <c r="AN131" s="28">
        <v>68</v>
      </c>
      <c r="AO131" s="42">
        <v>21</v>
      </c>
      <c r="AP131" s="28">
        <v>1</v>
      </c>
      <c r="AQ131" s="28">
        <v>0</v>
      </c>
      <c r="AR131" s="28">
        <v>0</v>
      </c>
      <c r="AS131" s="28">
        <v>0</v>
      </c>
      <c r="AT131" s="28">
        <v>0</v>
      </c>
      <c r="AU131" s="28">
        <v>1</v>
      </c>
      <c r="AV131" s="28">
        <v>0</v>
      </c>
      <c r="AW131" s="28">
        <v>1</v>
      </c>
      <c r="AX131" s="28">
        <v>1</v>
      </c>
      <c r="AY131" s="34" t="s">
        <v>507</v>
      </c>
      <c r="AZ131" s="25" t="s">
        <v>503</v>
      </c>
      <c r="BA131" s="27" t="s">
        <v>183</v>
      </c>
      <c r="BB131" s="150" t="s">
        <v>422</v>
      </c>
      <c r="BC131" s="150" t="s">
        <v>504</v>
      </c>
      <c r="BD131" s="17">
        <v>5</v>
      </c>
      <c r="BE131" s="17">
        <v>7</v>
      </c>
      <c r="BF131" s="17">
        <v>1</v>
      </c>
      <c r="BG131" s="17">
        <v>1</v>
      </c>
      <c r="BH131" s="17">
        <v>0</v>
      </c>
      <c r="BI131" s="17">
        <v>0</v>
      </c>
      <c r="BJ131" s="17">
        <v>0.8</v>
      </c>
      <c r="BK131" s="17">
        <v>0.8</v>
      </c>
      <c r="BL131" s="150" t="s">
        <v>41</v>
      </c>
      <c r="BM131" s="17">
        <v>399</v>
      </c>
      <c r="BN131" s="17"/>
      <c r="BO131" s="17"/>
      <c r="BP131" s="17">
        <v>1.53</v>
      </c>
      <c r="BQ131" s="17">
        <v>71</v>
      </c>
      <c r="BR131" s="36"/>
      <c r="BS131" s="36"/>
      <c r="BT131" s="17"/>
      <c r="BU131" s="17">
        <v>5.35</v>
      </c>
      <c r="BV131" s="17">
        <v>0.97</v>
      </c>
      <c r="BW131" s="17"/>
      <c r="BX131" s="17">
        <v>37</v>
      </c>
      <c r="BY131" s="17">
        <v>5.71</v>
      </c>
      <c r="BZ131" s="17">
        <v>1.04</v>
      </c>
      <c r="CA131" s="17"/>
      <c r="CB131" s="17">
        <v>36</v>
      </c>
      <c r="CC131" s="17">
        <v>0</v>
      </c>
      <c r="CD131" s="37">
        <f>(BY131-BU131)/SQRT((((CB131-1)*BZ131^2)+((BX131-1)*BV131^2))/((CB131+BX131)-2))</f>
        <v>0.35816744050313071</v>
      </c>
      <c r="CE131" s="17">
        <v>73</v>
      </c>
      <c r="CF131" s="22">
        <f t="shared" si="20"/>
        <v>0.35816744050313071</v>
      </c>
      <c r="CG131" s="22">
        <f t="shared" ref="CG131:CG194" si="23">(CF131/SQRT(BK131))</f>
        <v>0.40044337214605585</v>
      </c>
      <c r="CH131" s="150"/>
      <c r="CI131" s="22">
        <f t="shared" si="21"/>
        <v>5.5683461759849763E-2</v>
      </c>
      <c r="CJ131" s="37">
        <f t="shared" ref="CJ131:CJ194" si="24">((BX131+CB131)/(BX131*CB131))+((CG131^2)/(2*(BX151+CB131)))</f>
        <v>5.5934064623788637E-2</v>
      </c>
    </row>
    <row r="132" spans="1:88" s="35" customFormat="1" x14ac:dyDescent="0.35">
      <c r="A132" s="29" t="s">
        <v>496</v>
      </c>
      <c r="B132" s="183" t="s">
        <v>497</v>
      </c>
      <c r="C132" s="29" t="s">
        <v>498</v>
      </c>
      <c r="D132" s="184" t="s">
        <v>499</v>
      </c>
      <c r="E132" s="184" t="s">
        <v>500</v>
      </c>
      <c r="F132" s="12" t="s">
        <v>1109</v>
      </c>
      <c r="G132" s="27">
        <v>1</v>
      </c>
      <c r="H132" s="27">
        <v>1</v>
      </c>
      <c r="I132" s="27">
        <v>4</v>
      </c>
      <c r="J132" s="11" t="s">
        <v>1106</v>
      </c>
      <c r="K132" s="82">
        <v>1</v>
      </c>
      <c r="L132" s="31" t="s">
        <v>508</v>
      </c>
      <c r="M132" s="31">
        <v>3</v>
      </c>
      <c r="N132" s="31">
        <v>400</v>
      </c>
      <c r="O132" s="27">
        <v>60</v>
      </c>
      <c r="P132" s="27" t="s">
        <v>366</v>
      </c>
      <c r="Q132" s="27">
        <v>2</v>
      </c>
      <c r="R132" s="27">
        <v>1</v>
      </c>
      <c r="S132" s="32">
        <v>0</v>
      </c>
      <c r="T132" s="27">
        <v>0</v>
      </c>
      <c r="U132" s="27">
        <v>0</v>
      </c>
      <c r="V132" s="27">
        <v>0</v>
      </c>
      <c r="W132" s="27">
        <v>1</v>
      </c>
      <c r="X132" s="27">
        <v>0</v>
      </c>
      <c r="Y132" s="27">
        <v>0</v>
      </c>
      <c r="Z132" s="27">
        <v>1</v>
      </c>
      <c r="AA132" s="12">
        <v>1</v>
      </c>
      <c r="AB132" s="27">
        <v>0</v>
      </c>
      <c r="AC132" s="27" t="s">
        <v>489</v>
      </c>
      <c r="AD132" s="12">
        <v>3.7</v>
      </c>
      <c r="AE132" s="27">
        <v>2.6</v>
      </c>
      <c r="AF132" s="27" t="s">
        <v>58</v>
      </c>
      <c r="AG132" s="27">
        <v>0</v>
      </c>
      <c r="AH132" s="27" t="s">
        <v>35</v>
      </c>
      <c r="AI132" s="27">
        <v>46</v>
      </c>
      <c r="AJ132" s="27">
        <v>40</v>
      </c>
      <c r="AK132" s="27">
        <v>60</v>
      </c>
      <c r="AL132" s="27">
        <v>62</v>
      </c>
      <c r="AM132" s="27">
        <v>50</v>
      </c>
      <c r="AN132" s="27">
        <v>68</v>
      </c>
      <c r="AO132" s="33">
        <v>21</v>
      </c>
      <c r="AP132" s="27">
        <v>1</v>
      </c>
      <c r="AQ132" s="27">
        <v>0</v>
      </c>
      <c r="AR132" s="27">
        <v>0</v>
      </c>
      <c r="AS132" s="27">
        <v>0</v>
      </c>
      <c r="AT132" s="27">
        <v>0</v>
      </c>
      <c r="AU132" s="27">
        <v>1</v>
      </c>
      <c r="AV132" s="27">
        <v>0</v>
      </c>
      <c r="AW132" s="27">
        <v>1</v>
      </c>
      <c r="AX132" s="27">
        <v>1</v>
      </c>
      <c r="AY132" s="34" t="s">
        <v>509</v>
      </c>
      <c r="AZ132" s="25" t="s">
        <v>503</v>
      </c>
      <c r="BA132" s="17" t="s">
        <v>183</v>
      </c>
      <c r="BB132" s="150" t="s">
        <v>510</v>
      </c>
      <c r="BC132" s="150" t="s">
        <v>511</v>
      </c>
      <c r="BD132" s="17" t="s">
        <v>512</v>
      </c>
      <c r="BE132" s="17"/>
      <c r="BF132" s="17">
        <v>0</v>
      </c>
      <c r="BG132" s="17">
        <v>0</v>
      </c>
      <c r="BH132" s="17">
        <v>1</v>
      </c>
      <c r="BI132" s="17">
        <v>0</v>
      </c>
      <c r="BJ132" s="17"/>
      <c r="BK132" s="17">
        <v>0.8</v>
      </c>
      <c r="BL132" s="150"/>
      <c r="BM132" s="17">
        <v>402</v>
      </c>
      <c r="BN132" s="17"/>
      <c r="BO132" s="17"/>
      <c r="BP132" s="17">
        <v>1.84</v>
      </c>
      <c r="BQ132" s="17">
        <v>58</v>
      </c>
      <c r="BR132" s="36"/>
      <c r="BS132" s="36"/>
      <c r="BT132" s="17"/>
      <c r="BU132" s="17">
        <v>0.03</v>
      </c>
      <c r="BV132" s="17"/>
      <c r="BW132" s="17"/>
      <c r="BX132" s="17">
        <v>30</v>
      </c>
      <c r="BY132" s="17">
        <v>0.23</v>
      </c>
      <c r="BZ132" s="17"/>
      <c r="CA132" s="17"/>
      <c r="CB132" s="17">
        <v>30</v>
      </c>
      <c r="CC132" s="17">
        <v>0</v>
      </c>
      <c r="CD132" s="37">
        <f t="shared" ref="CD132:CD137" si="25">(BP132*SQRT((CB132+BX132)/(CB132*BX132)))</f>
        <v>0.47508595713477642</v>
      </c>
      <c r="CE132" s="17">
        <v>60</v>
      </c>
      <c r="CF132" s="22">
        <f t="shared" si="20"/>
        <v>0.47508595713477642</v>
      </c>
      <c r="CG132" s="22">
        <f t="shared" si="23"/>
        <v>0.53116224765445563</v>
      </c>
      <c r="CH132" s="150"/>
      <c r="CI132" s="22">
        <f t="shared" si="21"/>
        <v>6.8547555555555556E-2</v>
      </c>
      <c r="CJ132" s="37">
        <f t="shared" si="24"/>
        <v>6.8836923076923073E-2</v>
      </c>
    </row>
    <row r="133" spans="1:88" s="35" customFormat="1" x14ac:dyDescent="0.35">
      <c r="A133" s="29" t="s">
        <v>496</v>
      </c>
      <c r="B133" s="183" t="s">
        <v>497</v>
      </c>
      <c r="C133" s="29" t="s">
        <v>498</v>
      </c>
      <c r="D133" s="184" t="s">
        <v>499</v>
      </c>
      <c r="E133" s="184" t="s">
        <v>500</v>
      </c>
      <c r="F133" s="11" t="s">
        <v>1109</v>
      </c>
      <c r="G133" s="27">
        <v>1</v>
      </c>
      <c r="H133" s="27">
        <v>1</v>
      </c>
      <c r="I133" s="27">
        <v>4</v>
      </c>
      <c r="J133" s="11" t="s">
        <v>1106</v>
      </c>
      <c r="K133" s="82">
        <v>1</v>
      </c>
      <c r="L133" s="31" t="s">
        <v>508</v>
      </c>
      <c r="M133" s="31">
        <v>3</v>
      </c>
      <c r="N133" s="31">
        <v>400</v>
      </c>
      <c r="O133" s="27">
        <v>60</v>
      </c>
      <c r="P133" s="27" t="s">
        <v>366</v>
      </c>
      <c r="Q133" s="27">
        <v>2</v>
      </c>
      <c r="R133" s="27">
        <v>2</v>
      </c>
      <c r="S133" s="32">
        <v>0</v>
      </c>
      <c r="T133" s="27">
        <v>0</v>
      </c>
      <c r="U133" s="27">
        <v>0</v>
      </c>
      <c r="V133" s="27">
        <v>0</v>
      </c>
      <c r="W133" s="27">
        <v>1</v>
      </c>
      <c r="X133" s="27">
        <v>0</v>
      </c>
      <c r="Y133" s="27">
        <v>0</v>
      </c>
      <c r="Z133" s="27">
        <v>1</v>
      </c>
      <c r="AA133" s="11">
        <v>1</v>
      </c>
      <c r="AB133" s="27">
        <v>0</v>
      </c>
      <c r="AC133" s="27" t="s">
        <v>505</v>
      </c>
      <c r="AD133" s="11">
        <v>2.5</v>
      </c>
      <c r="AE133" s="27">
        <v>2.7</v>
      </c>
      <c r="AF133" s="27" t="s">
        <v>58</v>
      </c>
      <c r="AG133" s="27">
        <v>0</v>
      </c>
      <c r="AH133" s="27" t="s">
        <v>35</v>
      </c>
      <c r="AI133" s="27">
        <v>46</v>
      </c>
      <c r="AJ133" s="27">
        <v>40</v>
      </c>
      <c r="AK133" s="27">
        <v>60</v>
      </c>
      <c r="AL133" s="27">
        <v>62</v>
      </c>
      <c r="AM133" s="27">
        <v>50</v>
      </c>
      <c r="AN133" s="27">
        <v>68</v>
      </c>
      <c r="AO133" s="33">
        <v>21</v>
      </c>
      <c r="AP133" s="27">
        <v>1</v>
      </c>
      <c r="AQ133" s="27">
        <v>0</v>
      </c>
      <c r="AR133" s="27">
        <v>0</v>
      </c>
      <c r="AS133" s="27">
        <v>0</v>
      </c>
      <c r="AT133" s="27">
        <v>0</v>
      </c>
      <c r="AU133" s="27">
        <v>1</v>
      </c>
      <c r="AV133" s="27">
        <v>0</v>
      </c>
      <c r="AW133" s="27">
        <v>1</v>
      </c>
      <c r="AX133" s="27">
        <v>1</v>
      </c>
      <c r="AY133" s="34" t="s">
        <v>513</v>
      </c>
      <c r="AZ133" s="25" t="s">
        <v>503</v>
      </c>
      <c r="BA133" s="17" t="s">
        <v>183</v>
      </c>
      <c r="BB133" s="150" t="s">
        <v>510</v>
      </c>
      <c r="BC133" s="150" t="s">
        <v>511</v>
      </c>
      <c r="BD133" s="17" t="s">
        <v>512</v>
      </c>
      <c r="BE133" s="17"/>
      <c r="BF133" s="17">
        <v>0</v>
      </c>
      <c r="BG133" s="17">
        <v>0</v>
      </c>
      <c r="BH133" s="17">
        <v>1</v>
      </c>
      <c r="BI133" s="17">
        <v>0</v>
      </c>
      <c r="BJ133" s="17"/>
      <c r="BK133" s="17">
        <v>0.8</v>
      </c>
      <c r="BL133" s="150"/>
      <c r="BM133" s="17">
        <v>402</v>
      </c>
      <c r="BN133" s="17"/>
      <c r="BO133" s="17"/>
      <c r="BP133" s="17">
        <v>1.36</v>
      </c>
      <c r="BQ133" s="17">
        <v>58</v>
      </c>
      <c r="BR133" s="36"/>
      <c r="BS133" s="36"/>
      <c r="BT133" s="17"/>
      <c r="BU133" s="17">
        <v>0</v>
      </c>
      <c r="BV133" s="17"/>
      <c r="BW133" s="17"/>
      <c r="BX133" s="17">
        <v>30</v>
      </c>
      <c r="BY133" s="17">
        <v>0.1</v>
      </c>
      <c r="BZ133" s="17"/>
      <c r="CA133" s="17"/>
      <c r="CB133" s="17">
        <v>30</v>
      </c>
      <c r="CC133" s="17">
        <v>0</v>
      </c>
      <c r="CD133" s="37">
        <f t="shared" si="25"/>
        <v>0.35115049005613913</v>
      </c>
      <c r="CE133" s="17">
        <v>60</v>
      </c>
      <c r="CF133" s="22">
        <f t="shared" si="20"/>
        <v>0.35115049005613913</v>
      </c>
      <c r="CG133" s="22">
        <f t="shared" si="23"/>
        <v>0.3925981830489455</v>
      </c>
      <c r="CH133" s="150"/>
      <c r="CI133" s="22">
        <f t="shared" si="21"/>
        <v>6.7694222222222225E-2</v>
      </c>
      <c r="CJ133" s="37">
        <f t="shared" si="24"/>
        <v>6.7852307692307698E-2</v>
      </c>
    </row>
    <row r="134" spans="1:88" s="35" customFormat="1" x14ac:dyDescent="0.35">
      <c r="A134" s="29" t="s">
        <v>496</v>
      </c>
      <c r="B134" s="183" t="s">
        <v>497</v>
      </c>
      <c r="C134" s="29" t="s">
        <v>498</v>
      </c>
      <c r="D134" s="184" t="s">
        <v>499</v>
      </c>
      <c r="E134" s="184" t="s">
        <v>500</v>
      </c>
      <c r="F134" s="11" t="s">
        <v>1109</v>
      </c>
      <c r="G134" s="27">
        <v>1</v>
      </c>
      <c r="H134" s="27">
        <v>1</v>
      </c>
      <c r="I134" s="27">
        <v>4</v>
      </c>
      <c r="J134" s="11" t="s">
        <v>1106</v>
      </c>
      <c r="K134" s="82">
        <v>1</v>
      </c>
      <c r="L134" s="40" t="s">
        <v>508</v>
      </c>
      <c r="M134" s="40">
        <v>3</v>
      </c>
      <c r="N134" s="40">
        <v>400</v>
      </c>
      <c r="O134" s="28">
        <v>60</v>
      </c>
      <c r="P134" s="28" t="s">
        <v>366</v>
      </c>
      <c r="Q134" s="28">
        <v>2</v>
      </c>
      <c r="R134" s="28">
        <v>3</v>
      </c>
      <c r="S134" s="41">
        <v>0</v>
      </c>
      <c r="T134" s="28">
        <v>0</v>
      </c>
      <c r="U134" s="28">
        <v>0</v>
      </c>
      <c r="V134" s="28">
        <v>0</v>
      </c>
      <c r="W134" s="28">
        <v>1</v>
      </c>
      <c r="X134" s="28">
        <v>0</v>
      </c>
      <c r="Y134" s="28">
        <v>0</v>
      </c>
      <c r="Z134" s="28">
        <v>1</v>
      </c>
      <c r="AA134" s="18">
        <v>1</v>
      </c>
      <c r="AB134" s="28">
        <v>0</v>
      </c>
      <c r="AC134" s="28" t="s">
        <v>197</v>
      </c>
      <c r="AD134" s="18">
        <v>2.2999999999999998</v>
      </c>
      <c r="AE134" s="28">
        <v>2.6</v>
      </c>
      <c r="AF134" s="28" t="s">
        <v>58</v>
      </c>
      <c r="AG134" s="28">
        <v>0</v>
      </c>
      <c r="AH134" s="28" t="s">
        <v>35</v>
      </c>
      <c r="AI134" s="28">
        <v>46</v>
      </c>
      <c r="AJ134" s="28">
        <v>40</v>
      </c>
      <c r="AK134" s="28">
        <v>60</v>
      </c>
      <c r="AL134" s="28">
        <v>62</v>
      </c>
      <c r="AM134" s="28">
        <v>50</v>
      </c>
      <c r="AN134" s="28">
        <v>68</v>
      </c>
      <c r="AO134" s="42">
        <v>21</v>
      </c>
      <c r="AP134" s="28">
        <v>1</v>
      </c>
      <c r="AQ134" s="28">
        <v>0</v>
      </c>
      <c r="AR134" s="28">
        <v>0</v>
      </c>
      <c r="AS134" s="28">
        <v>0</v>
      </c>
      <c r="AT134" s="28">
        <v>0</v>
      </c>
      <c r="AU134" s="28">
        <v>1</v>
      </c>
      <c r="AV134" s="28">
        <v>0</v>
      </c>
      <c r="AW134" s="28">
        <v>1</v>
      </c>
      <c r="AX134" s="28">
        <v>1</v>
      </c>
      <c r="AY134" s="34" t="s">
        <v>514</v>
      </c>
      <c r="AZ134" s="25" t="s">
        <v>503</v>
      </c>
      <c r="BA134" s="17" t="s">
        <v>183</v>
      </c>
      <c r="BB134" s="150" t="s">
        <v>510</v>
      </c>
      <c r="BC134" s="150" t="s">
        <v>511</v>
      </c>
      <c r="BD134" s="17" t="s">
        <v>512</v>
      </c>
      <c r="BE134" s="17"/>
      <c r="BF134" s="17">
        <v>0</v>
      </c>
      <c r="BG134" s="17">
        <v>0</v>
      </c>
      <c r="BH134" s="17">
        <v>1</v>
      </c>
      <c r="BI134" s="17">
        <v>0</v>
      </c>
      <c r="BJ134" s="17"/>
      <c r="BK134" s="17">
        <v>0.8</v>
      </c>
      <c r="BL134" s="150"/>
      <c r="BM134" s="17">
        <v>402</v>
      </c>
      <c r="BN134" s="17"/>
      <c r="BO134" s="17"/>
      <c r="BP134" s="17">
        <v>1.24</v>
      </c>
      <c r="BQ134" s="17">
        <v>58</v>
      </c>
      <c r="BR134" s="36"/>
      <c r="BS134" s="36"/>
      <c r="BT134" s="17"/>
      <c r="BU134" s="17">
        <v>0.1</v>
      </c>
      <c r="BV134" s="17"/>
      <c r="BW134" s="17"/>
      <c r="BX134" s="17">
        <v>30</v>
      </c>
      <c r="BY134" s="17">
        <v>0.23</v>
      </c>
      <c r="BZ134" s="17"/>
      <c r="CA134" s="17"/>
      <c r="CB134" s="17">
        <v>30</v>
      </c>
      <c r="CC134" s="17">
        <v>0</v>
      </c>
      <c r="CD134" s="37">
        <f t="shared" si="25"/>
        <v>0.32016662328647977</v>
      </c>
      <c r="CE134" s="17">
        <v>60</v>
      </c>
      <c r="CF134" s="22">
        <f t="shared" si="20"/>
        <v>0.32016662328647977</v>
      </c>
      <c r="CG134" s="22">
        <f t="shared" si="23"/>
        <v>0.35795716689756796</v>
      </c>
      <c r="CH134" s="150"/>
      <c r="CI134" s="22">
        <f t="shared" si="21"/>
        <v>6.7520888888888894E-2</v>
      </c>
      <c r="CJ134" s="37">
        <f t="shared" si="24"/>
        <v>6.6996907216494844E-2</v>
      </c>
    </row>
    <row r="135" spans="1:88" s="35" customFormat="1" x14ac:dyDescent="0.35">
      <c r="A135" s="29" t="s">
        <v>496</v>
      </c>
      <c r="B135" s="183" t="s">
        <v>497</v>
      </c>
      <c r="C135" s="29" t="s">
        <v>498</v>
      </c>
      <c r="D135" s="184" t="s">
        <v>499</v>
      </c>
      <c r="E135" s="184" t="s">
        <v>500</v>
      </c>
      <c r="F135" s="12" t="s">
        <v>1109</v>
      </c>
      <c r="G135" s="27">
        <v>1</v>
      </c>
      <c r="H135" s="27">
        <v>1</v>
      </c>
      <c r="I135" s="27">
        <v>4</v>
      </c>
      <c r="J135" s="11" t="s">
        <v>1106</v>
      </c>
      <c r="K135" s="82">
        <v>1</v>
      </c>
      <c r="L135" s="31" t="s">
        <v>515</v>
      </c>
      <c r="M135" s="31">
        <v>4</v>
      </c>
      <c r="N135" s="31">
        <v>403</v>
      </c>
      <c r="O135" s="27">
        <v>64</v>
      </c>
      <c r="P135" s="27" t="s">
        <v>366</v>
      </c>
      <c r="Q135" s="27">
        <v>2</v>
      </c>
      <c r="R135" s="27">
        <v>1</v>
      </c>
      <c r="S135" s="32">
        <v>0</v>
      </c>
      <c r="T135" s="27">
        <v>0</v>
      </c>
      <c r="U135" s="27">
        <v>0</v>
      </c>
      <c r="V135" s="27">
        <v>0</v>
      </c>
      <c r="W135" s="27">
        <v>1</v>
      </c>
      <c r="X135" s="27">
        <v>0</v>
      </c>
      <c r="Y135" s="27">
        <v>0</v>
      </c>
      <c r="Z135" s="27">
        <v>1</v>
      </c>
      <c r="AA135" s="11">
        <v>1</v>
      </c>
      <c r="AB135" s="27">
        <v>0</v>
      </c>
      <c r="AC135" s="27" t="s">
        <v>489</v>
      </c>
      <c r="AD135" s="11">
        <v>3.7</v>
      </c>
      <c r="AE135" s="27">
        <v>2.6</v>
      </c>
      <c r="AF135" s="27" t="s">
        <v>58</v>
      </c>
      <c r="AG135" s="27">
        <v>0</v>
      </c>
      <c r="AH135" s="27" t="s">
        <v>35</v>
      </c>
      <c r="AI135" s="27">
        <v>46</v>
      </c>
      <c r="AJ135" s="27">
        <v>40</v>
      </c>
      <c r="AK135" s="27">
        <v>60</v>
      </c>
      <c r="AL135" s="27">
        <v>62</v>
      </c>
      <c r="AM135" s="27">
        <v>50</v>
      </c>
      <c r="AN135" s="27">
        <v>68</v>
      </c>
      <c r="AO135" s="33">
        <v>21</v>
      </c>
      <c r="AP135" s="27">
        <v>1</v>
      </c>
      <c r="AQ135" s="27">
        <v>1</v>
      </c>
      <c r="AR135" s="27">
        <v>0</v>
      </c>
      <c r="AS135" s="27">
        <v>0</v>
      </c>
      <c r="AT135" s="27">
        <v>1</v>
      </c>
      <c r="AU135" s="27">
        <v>0</v>
      </c>
      <c r="AV135" s="27">
        <v>0</v>
      </c>
      <c r="AW135" s="27">
        <v>1</v>
      </c>
      <c r="AX135" s="27">
        <v>1</v>
      </c>
      <c r="AY135" s="34" t="s">
        <v>516</v>
      </c>
      <c r="AZ135" s="25" t="s">
        <v>503</v>
      </c>
      <c r="BA135" s="17" t="s">
        <v>517</v>
      </c>
      <c r="BB135" s="150" t="s">
        <v>422</v>
      </c>
      <c r="BC135" s="150" t="s">
        <v>504</v>
      </c>
      <c r="BD135" s="17">
        <v>5</v>
      </c>
      <c r="BE135" s="17">
        <v>7</v>
      </c>
      <c r="BF135" s="17">
        <v>1</v>
      </c>
      <c r="BG135" s="17">
        <v>1</v>
      </c>
      <c r="BH135" s="17">
        <v>0</v>
      </c>
      <c r="BI135" s="17">
        <v>0</v>
      </c>
      <c r="BJ135" s="17">
        <v>0.82</v>
      </c>
      <c r="BK135" s="17">
        <v>0.82</v>
      </c>
      <c r="BL135" s="150" t="s">
        <v>41</v>
      </c>
      <c r="BM135" s="17">
        <v>405</v>
      </c>
      <c r="BN135" s="17"/>
      <c r="BO135" s="17"/>
      <c r="BP135" s="17">
        <v>8.0399999999999991</v>
      </c>
      <c r="BQ135" s="17">
        <v>62</v>
      </c>
      <c r="BR135" s="36"/>
      <c r="BS135" s="36"/>
      <c r="BT135" s="17"/>
      <c r="BU135" s="17">
        <v>3.11</v>
      </c>
      <c r="BV135" s="17"/>
      <c r="BW135" s="17"/>
      <c r="BX135" s="17">
        <v>28</v>
      </c>
      <c r="BY135" s="17">
        <v>5.14</v>
      </c>
      <c r="BZ135" s="17">
        <v>0.97</v>
      </c>
      <c r="CA135" s="17"/>
      <c r="CB135" s="17">
        <v>36</v>
      </c>
      <c r="CC135" s="17">
        <v>1</v>
      </c>
      <c r="CD135" s="37">
        <f t="shared" si="25"/>
        <v>2.0258895753294577</v>
      </c>
      <c r="CE135" s="17">
        <v>64</v>
      </c>
      <c r="CF135" s="22">
        <f t="shared" si="20"/>
        <v>2.0258895753294577</v>
      </c>
      <c r="CG135" s="22">
        <f t="shared" si="23"/>
        <v>2.2372207746275481</v>
      </c>
      <c r="CH135" s="150"/>
      <c r="CI135" s="22">
        <f t="shared" si="21"/>
        <v>9.55563492063492E-2</v>
      </c>
      <c r="CJ135" s="37">
        <f t="shared" si="24"/>
        <v>7.6004955478126204E-2</v>
      </c>
    </row>
    <row r="136" spans="1:88" s="35" customFormat="1" x14ac:dyDescent="0.35">
      <c r="A136" s="29" t="s">
        <v>496</v>
      </c>
      <c r="B136" s="183" t="s">
        <v>497</v>
      </c>
      <c r="C136" s="29" t="s">
        <v>498</v>
      </c>
      <c r="D136" s="184" t="s">
        <v>499</v>
      </c>
      <c r="E136" s="184" t="s">
        <v>500</v>
      </c>
      <c r="F136" s="11" t="s">
        <v>1109</v>
      </c>
      <c r="G136" s="27">
        <v>1</v>
      </c>
      <c r="H136" s="27">
        <v>1</v>
      </c>
      <c r="I136" s="27">
        <v>4</v>
      </c>
      <c r="J136" s="11" t="s">
        <v>1106</v>
      </c>
      <c r="K136" s="82">
        <v>1</v>
      </c>
      <c r="L136" s="31" t="s">
        <v>515</v>
      </c>
      <c r="M136" s="31">
        <v>4</v>
      </c>
      <c r="N136" s="31">
        <v>403</v>
      </c>
      <c r="O136" s="27">
        <v>64</v>
      </c>
      <c r="P136" s="27" t="s">
        <v>366</v>
      </c>
      <c r="Q136" s="27">
        <v>2</v>
      </c>
      <c r="R136" s="27">
        <v>2</v>
      </c>
      <c r="S136" s="32">
        <v>0</v>
      </c>
      <c r="T136" s="27">
        <v>0</v>
      </c>
      <c r="U136" s="27">
        <v>0</v>
      </c>
      <c r="V136" s="27">
        <v>0</v>
      </c>
      <c r="W136" s="27">
        <v>1</v>
      </c>
      <c r="X136" s="27">
        <v>0</v>
      </c>
      <c r="Y136" s="27">
        <v>0</v>
      </c>
      <c r="Z136" s="27">
        <v>1</v>
      </c>
      <c r="AA136" s="11">
        <v>1</v>
      </c>
      <c r="AB136" s="27">
        <v>0</v>
      </c>
      <c r="AC136" s="27" t="s">
        <v>505</v>
      </c>
      <c r="AD136" s="11">
        <v>2.5</v>
      </c>
      <c r="AE136" s="27">
        <v>2.7</v>
      </c>
      <c r="AF136" s="27" t="s">
        <v>58</v>
      </c>
      <c r="AG136" s="27">
        <v>0</v>
      </c>
      <c r="AH136" s="27" t="s">
        <v>35</v>
      </c>
      <c r="AI136" s="27">
        <v>46</v>
      </c>
      <c r="AJ136" s="27">
        <v>40</v>
      </c>
      <c r="AK136" s="27">
        <v>60</v>
      </c>
      <c r="AL136" s="27">
        <v>62</v>
      </c>
      <c r="AM136" s="27">
        <v>50</v>
      </c>
      <c r="AN136" s="27">
        <v>68</v>
      </c>
      <c r="AO136" s="33">
        <v>21</v>
      </c>
      <c r="AP136" s="27">
        <v>1</v>
      </c>
      <c r="AQ136" s="27">
        <v>1</v>
      </c>
      <c r="AR136" s="27">
        <v>0</v>
      </c>
      <c r="AS136" s="27">
        <v>0</v>
      </c>
      <c r="AT136" s="27">
        <v>1</v>
      </c>
      <c r="AU136" s="27">
        <v>0</v>
      </c>
      <c r="AV136" s="27">
        <v>0</v>
      </c>
      <c r="AW136" s="27">
        <v>1</v>
      </c>
      <c r="AX136" s="27">
        <v>1</v>
      </c>
      <c r="AY136" s="34" t="s">
        <v>518</v>
      </c>
      <c r="AZ136" s="25" t="s">
        <v>503</v>
      </c>
      <c r="BA136" s="17" t="s">
        <v>517</v>
      </c>
      <c r="BB136" s="150" t="s">
        <v>422</v>
      </c>
      <c r="BC136" s="150" t="s">
        <v>504</v>
      </c>
      <c r="BD136" s="17">
        <v>5</v>
      </c>
      <c r="BE136" s="17">
        <v>7</v>
      </c>
      <c r="BF136" s="17">
        <v>1</v>
      </c>
      <c r="BG136" s="17">
        <v>1</v>
      </c>
      <c r="BH136" s="17">
        <v>0</v>
      </c>
      <c r="BI136" s="17">
        <v>0</v>
      </c>
      <c r="BJ136" s="17">
        <v>0.86</v>
      </c>
      <c r="BK136" s="17">
        <v>0.86</v>
      </c>
      <c r="BL136" s="150" t="s">
        <v>41</v>
      </c>
      <c r="BM136" s="17">
        <v>405</v>
      </c>
      <c r="BN136" s="17"/>
      <c r="BO136" s="17"/>
      <c r="BP136" s="17">
        <v>6.82</v>
      </c>
      <c r="BQ136" s="17">
        <v>62</v>
      </c>
      <c r="BR136" s="36"/>
      <c r="BS136" s="36"/>
      <c r="BT136" s="17"/>
      <c r="BU136" s="17">
        <v>3.01</v>
      </c>
      <c r="BV136" s="17"/>
      <c r="BW136" s="17"/>
      <c r="BX136" s="17">
        <v>28</v>
      </c>
      <c r="BY136" s="17">
        <v>5.18</v>
      </c>
      <c r="BZ136" s="17">
        <v>1.4</v>
      </c>
      <c r="CA136" s="17"/>
      <c r="CB136" s="17">
        <v>36</v>
      </c>
      <c r="CC136" s="17">
        <v>1</v>
      </c>
      <c r="CD136" s="37">
        <f t="shared" si="25"/>
        <v>1.7184784706152867</v>
      </c>
      <c r="CE136" s="17">
        <v>64</v>
      </c>
      <c r="CF136" s="22">
        <f t="shared" si="20"/>
        <v>1.7184784706152867</v>
      </c>
      <c r="CG136" s="22">
        <f t="shared" si="23"/>
        <v>1.8530829917684992</v>
      </c>
      <c r="CH136" s="150"/>
      <c r="CI136" s="22">
        <f t="shared" si="21"/>
        <v>8.6563690476190475E-2</v>
      </c>
      <c r="CJ136" s="37">
        <f t="shared" si="24"/>
        <v>7.2076854928017714E-2</v>
      </c>
    </row>
    <row r="137" spans="1:88" s="35" customFormat="1" x14ac:dyDescent="0.35">
      <c r="A137" s="38" t="s">
        <v>496</v>
      </c>
      <c r="B137" s="185" t="s">
        <v>497</v>
      </c>
      <c r="C137" s="38" t="s">
        <v>498</v>
      </c>
      <c r="D137" s="186" t="s">
        <v>499</v>
      </c>
      <c r="E137" s="186" t="s">
        <v>500</v>
      </c>
      <c r="F137" s="18" t="s">
        <v>1109</v>
      </c>
      <c r="G137" s="28">
        <v>1</v>
      </c>
      <c r="H137" s="28">
        <v>1</v>
      </c>
      <c r="I137" s="28">
        <v>4</v>
      </c>
      <c r="J137" s="18" t="s">
        <v>1106</v>
      </c>
      <c r="K137" s="83">
        <v>1</v>
      </c>
      <c r="L137" s="40" t="s">
        <v>515</v>
      </c>
      <c r="M137" s="40">
        <v>4</v>
      </c>
      <c r="N137" s="40">
        <v>403</v>
      </c>
      <c r="O137" s="28">
        <v>64</v>
      </c>
      <c r="P137" s="28" t="s">
        <v>366</v>
      </c>
      <c r="Q137" s="28">
        <v>2</v>
      </c>
      <c r="R137" s="28">
        <v>3</v>
      </c>
      <c r="S137" s="41">
        <v>0</v>
      </c>
      <c r="T137" s="28">
        <v>0</v>
      </c>
      <c r="U137" s="28">
        <v>0</v>
      </c>
      <c r="V137" s="28">
        <v>0</v>
      </c>
      <c r="W137" s="28">
        <v>1</v>
      </c>
      <c r="X137" s="28">
        <v>0</v>
      </c>
      <c r="Y137" s="28">
        <v>0</v>
      </c>
      <c r="Z137" s="28">
        <v>1</v>
      </c>
      <c r="AA137" s="18">
        <v>1</v>
      </c>
      <c r="AB137" s="28">
        <v>0</v>
      </c>
      <c r="AC137" s="28" t="s">
        <v>197</v>
      </c>
      <c r="AD137" s="18">
        <v>2.2999999999999998</v>
      </c>
      <c r="AE137" s="28">
        <v>2.6</v>
      </c>
      <c r="AF137" s="28" t="s">
        <v>58</v>
      </c>
      <c r="AG137" s="28">
        <v>0</v>
      </c>
      <c r="AH137" s="28" t="s">
        <v>35</v>
      </c>
      <c r="AI137" s="28">
        <v>46</v>
      </c>
      <c r="AJ137" s="28">
        <v>40</v>
      </c>
      <c r="AK137" s="28">
        <v>60</v>
      </c>
      <c r="AL137" s="28">
        <v>62</v>
      </c>
      <c r="AM137" s="28">
        <v>50</v>
      </c>
      <c r="AN137" s="28">
        <v>68</v>
      </c>
      <c r="AO137" s="42">
        <v>21</v>
      </c>
      <c r="AP137" s="28">
        <v>1</v>
      </c>
      <c r="AQ137" s="28">
        <v>1</v>
      </c>
      <c r="AR137" s="28">
        <v>0</v>
      </c>
      <c r="AS137" s="28">
        <v>0</v>
      </c>
      <c r="AT137" s="28">
        <v>1</v>
      </c>
      <c r="AU137" s="28">
        <v>0</v>
      </c>
      <c r="AV137" s="28">
        <v>0</v>
      </c>
      <c r="AW137" s="28">
        <v>1</v>
      </c>
      <c r="AX137" s="28">
        <v>1</v>
      </c>
      <c r="AY137" s="34" t="s">
        <v>519</v>
      </c>
      <c r="AZ137" s="25" t="s">
        <v>503</v>
      </c>
      <c r="BA137" s="17" t="s">
        <v>517</v>
      </c>
      <c r="BB137" s="150" t="s">
        <v>422</v>
      </c>
      <c r="BC137" s="150" t="s">
        <v>504</v>
      </c>
      <c r="BD137" s="17">
        <v>5</v>
      </c>
      <c r="BE137" s="17">
        <v>7</v>
      </c>
      <c r="BF137" s="17">
        <v>1</v>
      </c>
      <c r="BG137" s="17">
        <v>1</v>
      </c>
      <c r="BH137" s="17">
        <v>0</v>
      </c>
      <c r="BI137" s="17">
        <v>0</v>
      </c>
      <c r="BJ137" s="17">
        <v>0.8</v>
      </c>
      <c r="BK137" s="17">
        <v>0.8</v>
      </c>
      <c r="BL137" s="150" t="s">
        <v>41</v>
      </c>
      <c r="BM137" s="17">
        <v>405</v>
      </c>
      <c r="BN137" s="17"/>
      <c r="BO137" s="17"/>
      <c r="BP137" s="17">
        <v>9.82</v>
      </c>
      <c r="BQ137" s="17">
        <v>62</v>
      </c>
      <c r="BR137" s="36"/>
      <c r="BS137" s="36"/>
      <c r="BT137" s="17"/>
      <c r="BU137" s="17">
        <v>2.91</v>
      </c>
      <c r="BV137" s="17"/>
      <c r="BW137" s="17"/>
      <c r="BX137" s="17">
        <v>28</v>
      </c>
      <c r="BY137" s="17">
        <v>5.71</v>
      </c>
      <c r="BZ137" s="17">
        <v>1.04</v>
      </c>
      <c r="CA137" s="17"/>
      <c r="CB137" s="17">
        <v>36</v>
      </c>
      <c r="CC137" s="17">
        <v>1</v>
      </c>
      <c r="CD137" s="37">
        <f t="shared" si="25"/>
        <v>2.4744074166337411</v>
      </c>
      <c r="CE137" s="17">
        <v>64</v>
      </c>
      <c r="CF137" s="22">
        <f t="shared" si="20"/>
        <v>2.4744074166337411</v>
      </c>
      <c r="CG137" s="22">
        <f t="shared" si="23"/>
        <v>2.7664715938113447</v>
      </c>
      <c r="CH137" s="150"/>
      <c r="CI137" s="22">
        <f t="shared" si="21"/>
        <v>0.11132559523809524</v>
      </c>
      <c r="CJ137" s="37">
        <f t="shared" si="24"/>
        <v>8.2625476190476194E-2</v>
      </c>
    </row>
    <row r="138" spans="1:88" s="35" customFormat="1" x14ac:dyDescent="0.35">
      <c r="A138" s="29" t="s">
        <v>520</v>
      </c>
      <c r="B138" s="183" t="s">
        <v>521</v>
      </c>
      <c r="C138" s="29" t="s">
        <v>413</v>
      </c>
      <c r="D138" s="184" t="s">
        <v>522</v>
      </c>
      <c r="E138" s="184" t="s">
        <v>76</v>
      </c>
      <c r="F138" s="11" t="s">
        <v>1109</v>
      </c>
      <c r="G138" s="27">
        <v>0</v>
      </c>
      <c r="H138" s="27">
        <v>1</v>
      </c>
      <c r="I138" s="27">
        <v>1</v>
      </c>
      <c r="J138" s="11" t="s">
        <v>1107</v>
      </c>
      <c r="K138" s="82">
        <v>0</v>
      </c>
      <c r="L138" s="31" t="s">
        <v>523</v>
      </c>
      <c r="M138" s="31">
        <v>1</v>
      </c>
      <c r="N138" s="31">
        <v>452</v>
      </c>
      <c r="O138" s="27">
        <v>210</v>
      </c>
      <c r="P138" s="27" t="s">
        <v>196</v>
      </c>
      <c r="Q138" s="27">
        <v>3</v>
      </c>
      <c r="R138" s="27">
        <v>1</v>
      </c>
      <c r="S138" s="32">
        <v>0</v>
      </c>
      <c r="T138" s="27">
        <v>0</v>
      </c>
      <c r="U138" s="27">
        <v>0</v>
      </c>
      <c r="V138" s="27">
        <v>0</v>
      </c>
      <c r="W138" s="27">
        <v>1</v>
      </c>
      <c r="X138" s="27">
        <v>0</v>
      </c>
      <c r="Y138" s="27">
        <v>0</v>
      </c>
      <c r="Z138" s="27">
        <v>1</v>
      </c>
      <c r="AA138" s="11">
        <v>1</v>
      </c>
      <c r="AB138" s="27">
        <v>0</v>
      </c>
      <c r="AC138" s="27" t="s">
        <v>524</v>
      </c>
      <c r="AD138" s="11">
        <f>(3.2+3.8)/2</f>
        <v>3.5</v>
      </c>
      <c r="AE138" s="27">
        <f>(3.3+2.6)/2</f>
        <v>2.95</v>
      </c>
      <c r="AF138" s="27" t="s">
        <v>525</v>
      </c>
      <c r="AG138" s="27">
        <v>1</v>
      </c>
      <c r="AH138" s="27" t="s">
        <v>526</v>
      </c>
      <c r="AI138" s="27">
        <v>50</v>
      </c>
      <c r="AJ138" s="27">
        <v>50</v>
      </c>
      <c r="AK138" s="27">
        <v>50</v>
      </c>
      <c r="AL138" s="27">
        <v>50</v>
      </c>
      <c r="AM138" s="27">
        <v>50</v>
      </c>
      <c r="AN138" s="27">
        <v>50</v>
      </c>
      <c r="AO138" s="33">
        <v>25</v>
      </c>
      <c r="AP138" s="27">
        <v>1</v>
      </c>
      <c r="AQ138" s="27">
        <v>0</v>
      </c>
      <c r="AR138" s="27">
        <v>0</v>
      </c>
      <c r="AS138" s="27">
        <v>0</v>
      </c>
      <c r="AT138" s="27">
        <v>0</v>
      </c>
      <c r="AU138" s="27">
        <v>1</v>
      </c>
      <c r="AV138" s="27">
        <v>0</v>
      </c>
      <c r="AW138" s="27">
        <v>1</v>
      </c>
      <c r="AX138" s="27">
        <v>1</v>
      </c>
      <c r="AY138" s="34" t="s">
        <v>527</v>
      </c>
      <c r="AZ138" s="25" t="s">
        <v>435</v>
      </c>
      <c r="BA138" s="17" t="s">
        <v>183</v>
      </c>
      <c r="BB138" s="150" t="s">
        <v>46</v>
      </c>
      <c r="BC138" s="150" t="s">
        <v>528</v>
      </c>
      <c r="BD138" s="17">
        <v>3</v>
      </c>
      <c r="BE138" s="17">
        <v>7</v>
      </c>
      <c r="BF138" s="17">
        <v>0</v>
      </c>
      <c r="BG138" s="17">
        <v>0</v>
      </c>
      <c r="BH138" s="17">
        <v>1</v>
      </c>
      <c r="BI138" s="17">
        <v>0</v>
      </c>
      <c r="BJ138" s="17">
        <v>0.87</v>
      </c>
      <c r="BK138" s="17">
        <v>0.87</v>
      </c>
      <c r="BL138" s="150" t="s">
        <v>41</v>
      </c>
      <c r="BM138" s="17">
        <v>456</v>
      </c>
      <c r="BN138" s="17"/>
      <c r="BO138" s="17"/>
      <c r="BP138" s="17"/>
      <c r="BQ138" s="17"/>
      <c r="BR138" s="36"/>
      <c r="BS138" s="36"/>
      <c r="BT138" s="17"/>
      <c r="BU138" s="17">
        <v>4.0599999999999996</v>
      </c>
      <c r="BV138" s="17">
        <v>1.43</v>
      </c>
      <c r="BW138" s="17"/>
      <c r="BX138" s="17">
        <v>70</v>
      </c>
      <c r="BY138" s="17">
        <v>4.6500000000000004</v>
      </c>
      <c r="BZ138" s="17">
        <v>1.4</v>
      </c>
      <c r="CA138" s="17"/>
      <c r="CB138" s="17">
        <v>70</v>
      </c>
      <c r="CC138" s="17">
        <v>1</v>
      </c>
      <c r="CD138" s="37">
        <f t="shared" ref="CD138:CD165" si="26">(BY138-BU138)/SQRT((((CB138-1)*BZ138^2)+((BX138-1)*BV138^2))/((CB138+BX138)-2))</f>
        <v>0.4169377047164517</v>
      </c>
      <c r="CE138" s="17">
        <v>140</v>
      </c>
      <c r="CF138" s="22">
        <f t="shared" si="20"/>
        <v>0.4169377047164517</v>
      </c>
      <c r="CG138" s="22">
        <f t="shared" si="23"/>
        <v>0.44700413947300704</v>
      </c>
      <c r="CH138" s="150"/>
      <c r="CI138" s="22">
        <f t="shared" si="21"/>
        <v>2.9192275177193652E-2</v>
      </c>
      <c r="CJ138" s="37">
        <f t="shared" si="24"/>
        <v>2.899837878661234E-2</v>
      </c>
    </row>
    <row r="139" spans="1:88" s="35" customFormat="1" x14ac:dyDescent="0.35">
      <c r="A139" s="29" t="s">
        <v>520</v>
      </c>
      <c r="B139" s="183" t="s">
        <v>521</v>
      </c>
      <c r="C139" s="29" t="s">
        <v>413</v>
      </c>
      <c r="D139" s="184" t="s">
        <v>522</v>
      </c>
      <c r="E139" s="184" t="s">
        <v>76</v>
      </c>
      <c r="F139" s="11" t="s">
        <v>1109</v>
      </c>
      <c r="G139" s="27">
        <v>0</v>
      </c>
      <c r="H139" s="27">
        <v>1</v>
      </c>
      <c r="I139" s="27">
        <v>1</v>
      </c>
      <c r="J139" s="11" t="s">
        <v>1107</v>
      </c>
      <c r="K139" s="82">
        <v>0</v>
      </c>
      <c r="L139" s="31" t="s">
        <v>523</v>
      </c>
      <c r="M139" s="31">
        <v>1</v>
      </c>
      <c r="N139" s="31">
        <v>452</v>
      </c>
      <c r="O139" s="27">
        <v>210</v>
      </c>
      <c r="P139" s="27" t="s">
        <v>196</v>
      </c>
      <c r="Q139" s="27">
        <v>3</v>
      </c>
      <c r="R139" s="27">
        <v>1</v>
      </c>
      <c r="S139" s="32">
        <v>0</v>
      </c>
      <c r="T139" s="27">
        <v>0</v>
      </c>
      <c r="U139" s="27">
        <v>0</v>
      </c>
      <c r="V139" s="27">
        <v>0</v>
      </c>
      <c r="W139" s="27">
        <v>1</v>
      </c>
      <c r="X139" s="27">
        <v>0</v>
      </c>
      <c r="Y139" s="27">
        <v>0</v>
      </c>
      <c r="Z139" s="27">
        <v>1</v>
      </c>
      <c r="AA139" s="11">
        <v>1</v>
      </c>
      <c r="AB139" s="27">
        <v>0</v>
      </c>
      <c r="AC139" s="27" t="s">
        <v>524</v>
      </c>
      <c r="AD139" s="11">
        <f>(3.2+3.8)/2</f>
        <v>3.5</v>
      </c>
      <c r="AE139" s="27">
        <v>2.95</v>
      </c>
      <c r="AF139" s="27" t="s">
        <v>525</v>
      </c>
      <c r="AG139" s="27">
        <v>1</v>
      </c>
      <c r="AH139" s="27" t="s">
        <v>526</v>
      </c>
      <c r="AI139" s="27">
        <v>50</v>
      </c>
      <c r="AJ139" s="27">
        <v>50</v>
      </c>
      <c r="AK139" s="27">
        <v>50</v>
      </c>
      <c r="AL139" s="27">
        <v>50</v>
      </c>
      <c r="AM139" s="27">
        <v>50</v>
      </c>
      <c r="AN139" s="27">
        <v>50</v>
      </c>
      <c r="AO139" s="33">
        <v>25</v>
      </c>
      <c r="AP139" s="27">
        <v>1</v>
      </c>
      <c r="AQ139" s="27">
        <v>0</v>
      </c>
      <c r="AR139" s="27">
        <v>0</v>
      </c>
      <c r="AS139" s="27">
        <v>0</v>
      </c>
      <c r="AT139" s="27">
        <v>0</v>
      </c>
      <c r="AU139" s="27">
        <v>1</v>
      </c>
      <c r="AV139" s="27">
        <v>0</v>
      </c>
      <c r="AW139" s="27">
        <v>1</v>
      </c>
      <c r="AX139" s="27">
        <v>1</v>
      </c>
      <c r="AY139" s="34" t="s">
        <v>529</v>
      </c>
      <c r="AZ139" s="25" t="s">
        <v>435</v>
      </c>
      <c r="BA139" s="17" t="s">
        <v>183</v>
      </c>
      <c r="BB139" s="150" t="s">
        <v>530</v>
      </c>
      <c r="BC139" s="150" t="s">
        <v>531</v>
      </c>
      <c r="BD139" s="17"/>
      <c r="BE139" s="17"/>
      <c r="BF139" s="17">
        <v>0</v>
      </c>
      <c r="BG139" s="17">
        <v>0</v>
      </c>
      <c r="BH139" s="17">
        <v>1</v>
      </c>
      <c r="BI139" s="17">
        <v>0</v>
      </c>
      <c r="BJ139" s="17"/>
      <c r="BK139" s="17">
        <v>0.8</v>
      </c>
      <c r="BL139" s="150"/>
      <c r="BM139" s="17">
        <v>456</v>
      </c>
      <c r="BN139" s="17"/>
      <c r="BO139" s="17"/>
      <c r="BP139" s="17"/>
      <c r="BQ139" s="17"/>
      <c r="BR139" s="36"/>
      <c r="BS139" s="36"/>
      <c r="BT139" s="17"/>
      <c r="BU139" s="17">
        <v>-0.11</v>
      </c>
      <c r="BV139" s="17">
        <v>0.36</v>
      </c>
      <c r="BW139" s="17"/>
      <c r="BX139" s="17">
        <v>70</v>
      </c>
      <c r="BY139" s="17">
        <v>0.01</v>
      </c>
      <c r="BZ139" s="17">
        <v>0.52</v>
      </c>
      <c r="CA139" s="17"/>
      <c r="CB139" s="17">
        <v>70</v>
      </c>
      <c r="CC139" s="17">
        <v>0</v>
      </c>
      <c r="CD139" s="37">
        <f t="shared" si="26"/>
        <v>0.26832815729997478</v>
      </c>
      <c r="CE139" s="17">
        <v>140</v>
      </c>
      <c r="CF139" s="22">
        <f t="shared" si="20"/>
        <v>0.26832815729997478</v>
      </c>
      <c r="CG139" s="22">
        <f t="shared" si="23"/>
        <v>0.30000000000000004</v>
      </c>
      <c r="CH139" s="150"/>
      <c r="CI139" s="22">
        <f t="shared" si="21"/>
        <v>2.8828571428571429E-2</v>
      </c>
      <c r="CJ139" s="37">
        <f t="shared" si="24"/>
        <v>2.8763736263736264E-2</v>
      </c>
    </row>
    <row r="140" spans="1:88" s="35" customFormat="1" x14ac:dyDescent="0.35">
      <c r="A140" s="29" t="s">
        <v>520</v>
      </c>
      <c r="B140" s="183" t="s">
        <v>521</v>
      </c>
      <c r="C140" s="29" t="s">
        <v>413</v>
      </c>
      <c r="D140" s="184" t="s">
        <v>522</v>
      </c>
      <c r="E140" s="184" t="s">
        <v>76</v>
      </c>
      <c r="F140" s="11" t="s">
        <v>1109</v>
      </c>
      <c r="G140" s="27">
        <v>0</v>
      </c>
      <c r="H140" s="27">
        <v>1</v>
      </c>
      <c r="I140" s="27">
        <v>1</v>
      </c>
      <c r="J140" s="11" t="s">
        <v>1107</v>
      </c>
      <c r="K140" s="82">
        <v>0</v>
      </c>
      <c r="L140" s="31" t="s">
        <v>523</v>
      </c>
      <c r="M140" s="31">
        <v>1</v>
      </c>
      <c r="N140" s="31">
        <v>452</v>
      </c>
      <c r="O140" s="27">
        <v>210</v>
      </c>
      <c r="P140" s="27" t="s">
        <v>196</v>
      </c>
      <c r="Q140" s="27">
        <v>3</v>
      </c>
      <c r="R140" s="27">
        <v>2</v>
      </c>
      <c r="S140" s="32">
        <v>0</v>
      </c>
      <c r="T140" s="27">
        <v>0</v>
      </c>
      <c r="U140" s="27">
        <v>0</v>
      </c>
      <c r="V140" s="27">
        <v>0</v>
      </c>
      <c r="W140" s="27">
        <v>1</v>
      </c>
      <c r="X140" s="27">
        <v>0</v>
      </c>
      <c r="Y140" s="27">
        <v>0</v>
      </c>
      <c r="Z140" s="27">
        <v>1</v>
      </c>
      <c r="AA140" s="11">
        <v>1</v>
      </c>
      <c r="AB140" s="27">
        <v>0</v>
      </c>
      <c r="AC140" s="27" t="s">
        <v>524</v>
      </c>
      <c r="AD140" s="11">
        <f>(3.2+3.8)/2</f>
        <v>3.5</v>
      </c>
      <c r="AE140" s="27">
        <v>2.95</v>
      </c>
      <c r="AF140" s="27" t="s">
        <v>525</v>
      </c>
      <c r="AG140" s="27">
        <v>1</v>
      </c>
      <c r="AH140" s="27" t="s">
        <v>526</v>
      </c>
      <c r="AI140" s="27">
        <v>50</v>
      </c>
      <c r="AJ140" s="27">
        <v>50</v>
      </c>
      <c r="AK140" s="27">
        <v>50</v>
      </c>
      <c r="AL140" s="27">
        <v>50</v>
      </c>
      <c r="AM140" s="27">
        <v>50</v>
      </c>
      <c r="AN140" s="27">
        <v>50</v>
      </c>
      <c r="AO140" s="33">
        <v>25</v>
      </c>
      <c r="AP140" s="27">
        <v>1</v>
      </c>
      <c r="AQ140" s="27">
        <v>1</v>
      </c>
      <c r="AR140" s="27">
        <v>0</v>
      </c>
      <c r="AS140" s="27">
        <v>0</v>
      </c>
      <c r="AT140" s="27">
        <v>1</v>
      </c>
      <c r="AU140" s="27">
        <v>0</v>
      </c>
      <c r="AV140" s="27">
        <v>0</v>
      </c>
      <c r="AW140" s="27">
        <v>1</v>
      </c>
      <c r="AX140" s="27">
        <v>1</v>
      </c>
      <c r="AY140" s="34" t="s">
        <v>532</v>
      </c>
      <c r="AZ140" s="25" t="s">
        <v>435</v>
      </c>
      <c r="BA140" s="17" t="s">
        <v>517</v>
      </c>
      <c r="BB140" s="150" t="s">
        <v>46</v>
      </c>
      <c r="BC140" s="150" t="s">
        <v>528</v>
      </c>
      <c r="BD140" s="17">
        <v>3</v>
      </c>
      <c r="BE140" s="17">
        <v>7</v>
      </c>
      <c r="BF140" s="17">
        <v>0</v>
      </c>
      <c r="BG140" s="17">
        <v>0</v>
      </c>
      <c r="BH140" s="17">
        <v>1</v>
      </c>
      <c r="BI140" s="17">
        <v>0</v>
      </c>
      <c r="BJ140" s="17">
        <v>0.87</v>
      </c>
      <c r="BK140" s="17">
        <v>0.87</v>
      </c>
      <c r="BL140" s="150" t="s">
        <v>41</v>
      </c>
      <c r="BM140" s="17">
        <v>456</v>
      </c>
      <c r="BN140" s="17"/>
      <c r="BO140" s="17"/>
      <c r="BP140" s="17"/>
      <c r="BQ140" s="17"/>
      <c r="BR140" s="36"/>
      <c r="BS140" s="36"/>
      <c r="BT140" s="17"/>
      <c r="BU140" s="17">
        <v>4.25</v>
      </c>
      <c r="BV140" s="17">
        <v>1.2</v>
      </c>
      <c r="BW140" s="17"/>
      <c r="BX140" s="17">
        <v>70</v>
      </c>
      <c r="BY140" s="17">
        <v>4.6500000000000004</v>
      </c>
      <c r="BZ140" s="17">
        <v>0.14000000000000001</v>
      </c>
      <c r="CA140" s="17"/>
      <c r="CB140" s="17">
        <v>70</v>
      </c>
      <c r="CC140" s="17">
        <v>1</v>
      </c>
      <c r="CD140" s="37">
        <f t="shared" si="26"/>
        <v>0.468228734100818</v>
      </c>
      <c r="CE140" s="17">
        <v>140</v>
      </c>
      <c r="CF140" s="22">
        <f t="shared" si="20"/>
        <v>0.468228734100818</v>
      </c>
      <c r="CG140" s="22">
        <f t="shared" si="23"/>
        <v>0.50199389500071989</v>
      </c>
      <c r="CH140" s="150"/>
      <c r="CI140" s="22">
        <f t="shared" si="21"/>
        <v>2.9354421955134481E-2</v>
      </c>
      <c r="CJ140" s="37">
        <f t="shared" si="24"/>
        <v>2.914676617557924E-2</v>
      </c>
    </row>
    <row r="141" spans="1:88" s="35" customFormat="1" x14ac:dyDescent="0.35">
      <c r="A141" s="38" t="s">
        <v>520</v>
      </c>
      <c r="B141" s="185" t="s">
        <v>521</v>
      </c>
      <c r="C141" s="38" t="s">
        <v>413</v>
      </c>
      <c r="D141" s="186" t="s">
        <v>522</v>
      </c>
      <c r="E141" s="186" t="s">
        <v>76</v>
      </c>
      <c r="F141" s="18" t="s">
        <v>1109</v>
      </c>
      <c r="G141" s="28">
        <v>0</v>
      </c>
      <c r="H141" s="28">
        <v>1</v>
      </c>
      <c r="I141" s="28">
        <v>1</v>
      </c>
      <c r="J141" s="18" t="s">
        <v>1107</v>
      </c>
      <c r="K141" s="83">
        <v>0</v>
      </c>
      <c r="L141" s="40" t="s">
        <v>523</v>
      </c>
      <c r="M141" s="40">
        <v>1</v>
      </c>
      <c r="N141" s="40">
        <v>452</v>
      </c>
      <c r="O141" s="28">
        <v>210</v>
      </c>
      <c r="P141" s="28" t="s">
        <v>196</v>
      </c>
      <c r="Q141" s="28">
        <v>3</v>
      </c>
      <c r="R141" s="28">
        <v>2</v>
      </c>
      <c r="S141" s="41">
        <v>0</v>
      </c>
      <c r="T141" s="28">
        <v>0</v>
      </c>
      <c r="U141" s="28">
        <v>0</v>
      </c>
      <c r="V141" s="28">
        <v>0</v>
      </c>
      <c r="W141" s="28">
        <v>1</v>
      </c>
      <c r="X141" s="28">
        <v>0</v>
      </c>
      <c r="Y141" s="28">
        <v>0</v>
      </c>
      <c r="Z141" s="28">
        <v>1</v>
      </c>
      <c r="AA141" s="18">
        <v>1</v>
      </c>
      <c r="AB141" s="28">
        <v>0</v>
      </c>
      <c r="AC141" s="28" t="s">
        <v>524</v>
      </c>
      <c r="AD141" s="18">
        <f>(3.2+3.8)/2</f>
        <v>3.5</v>
      </c>
      <c r="AE141" s="28">
        <v>2.95</v>
      </c>
      <c r="AF141" s="28" t="s">
        <v>533</v>
      </c>
      <c r="AG141" s="28">
        <v>1</v>
      </c>
      <c r="AH141" s="28" t="s">
        <v>526</v>
      </c>
      <c r="AI141" s="28">
        <v>50</v>
      </c>
      <c r="AJ141" s="28">
        <v>50</v>
      </c>
      <c r="AK141" s="28">
        <v>50</v>
      </c>
      <c r="AL141" s="28">
        <v>50</v>
      </c>
      <c r="AM141" s="28">
        <v>50</v>
      </c>
      <c r="AN141" s="28">
        <v>50</v>
      </c>
      <c r="AO141" s="42">
        <v>25</v>
      </c>
      <c r="AP141" s="28">
        <v>1</v>
      </c>
      <c r="AQ141" s="28">
        <v>1</v>
      </c>
      <c r="AR141" s="28">
        <v>0</v>
      </c>
      <c r="AS141" s="28">
        <v>0</v>
      </c>
      <c r="AT141" s="28">
        <v>1</v>
      </c>
      <c r="AU141" s="28">
        <v>0</v>
      </c>
      <c r="AV141" s="28">
        <v>0</v>
      </c>
      <c r="AW141" s="28">
        <v>1</v>
      </c>
      <c r="AX141" s="28">
        <v>1</v>
      </c>
      <c r="AY141" s="34" t="s">
        <v>534</v>
      </c>
      <c r="AZ141" s="25" t="s">
        <v>435</v>
      </c>
      <c r="BA141" s="17" t="s">
        <v>517</v>
      </c>
      <c r="BB141" s="150" t="s">
        <v>530</v>
      </c>
      <c r="BC141" s="150" t="s">
        <v>531</v>
      </c>
      <c r="BD141" s="17"/>
      <c r="BE141" s="17"/>
      <c r="BF141" s="17">
        <v>0</v>
      </c>
      <c r="BG141" s="17">
        <v>0</v>
      </c>
      <c r="BH141" s="17">
        <v>1</v>
      </c>
      <c r="BI141" s="17">
        <v>0</v>
      </c>
      <c r="BJ141" s="17"/>
      <c r="BK141" s="17">
        <v>0.8</v>
      </c>
      <c r="BL141" s="150"/>
      <c r="BM141" s="17">
        <v>456</v>
      </c>
      <c r="BN141" s="17"/>
      <c r="BO141" s="17"/>
      <c r="BP141" s="17"/>
      <c r="BQ141" s="17"/>
      <c r="BR141" s="36"/>
      <c r="BS141" s="36"/>
      <c r="BT141" s="17"/>
      <c r="BU141" s="17">
        <v>-0.09</v>
      </c>
      <c r="BV141" s="17">
        <v>0.41</v>
      </c>
      <c r="BW141" s="17"/>
      <c r="BX141" s="17">
        <v>70</v>
      </c>
      <c r="BY141" s="17">
        <v>0.01</v>
      </c>
      <c r="BZ141" s="17">
        <v>0.52</v>
      </c>
      <c r="CA141" s="17"/>
      <c r="CB141" s="17">
        <v>70</v>
      </c>
      <c r="CC141" s="17">
        <v>0</v>
      </c>
      <c r="CD141" s="37">
        <f t="shared" si="26"/>
        <v>0.21356505848927076</v>
      </c>
      <c r="CE141" s="17">
        <v>140</v>
      </c>
      <c r="CF141" s="22">
        <f t="shared" si="20"/>
        <v>0.21356505848927076</v>
      </c>
      <c r="CG141" s="22">
        <f t="shared" si="23"/>
        <v>0.23877299420036399</v>
      </c>
      <c r="CH141" s="150"/>
      <c r="CI141" s="22">
        <f t="shared" si="21"/>
        <v>2.8734321550741161E-2</v>
      </c>
      <c r="CJ141" s="37">
        <f t="shared" si="24"/>
        <v>2.8701594194166943E-2</v>
      </c>
    </row>
    <row r="142" spans="1:88" s="35" customFormat="1" x14ac:dyDescent="0.35">
      <c r="A142" s="29" t="s">
        <v>535</v>
      </c>
      <c r="B142" s="183" t="s">
        <v>536</v>
      </c>
      <c r="C142" s="29" t="s">
        <v>192</v>
      </c>
      <c r="D142" s="184" t="s">
        <v>537</v>
      </c>
      <c r="E142" s="184" t="s">
        <v>538</v>
      </c>
      <c r="F142" s="11" t="s">
        <v>1109</v>
      </c>
      <c r="G142" s="27">
        <v>0</v>
      </c>
      <c r="H142" s="27">
        <v>1</v>
      </c>
      <c r="I142" s="27">
        <v>1</v>
      </c>
      <c r="J142" s="11" t="s">
        <v>1107</v>
      </c>
      <c r="K142" s="82">
        <v>0</v>
      </c>
      <c r="L142" s="31" t="s">
        <v>539</v>
      </c>
      <c r="M142" s="31">
        <v>1</v>
      </c>
      <c r="N142" s="31">
        <v>550</v>
      </c>
      <c r="O142" s="27">
        <v>203</v>
      </c>
      <c r="P142" s="27" t="s">
        <v>31</v>
      </c>
      <c r="Q142" s="27">
        <v>3</v>
      </c>
      <c r="R142" s="27">
        <v>1</v>
      </c>
      <c r="S142" s="32">
        <v>0</v>
      </c>
      <c r="T142" s="27">
        <v>0</v>
      </c>
      <c r="U142" s="27">
        <v>1</v>
      </c>
      <c r="V142" s="27">
        <v>0</v>
      </c>
      <c r="W142" s="27">
        <v>0</v>
      </c>
      <c r="X142" s="27">
        <v>1</v>
      </c>
      <c r="Y142" s="27">
        <v>0</v>
      </c>
      <c r="Z142" s="27">
        <v>0</v>
      </c>
      <c r="AA142" s="11">
        <v>1</v>
      </c>
      <c r="AB142" s="27">
        <v>1</v>
      </c>
      <c r="AC142" s="27" t="s">
        <v>540</v>
      </c>
      <c r="AD142" s="11">
        <v>4.4000000000000004</v>
      </c>
      <c r="AE142" s="27">
        <v>3.1</v>
      </c>
      <c r="AF142" s="27" t="s">
        <v>541</v>
      </c>
      <c r="AG142" s="27">
        <v>0</v>
      </c>
      <c r="AH142" s="27" t="s">
        <v>465</v>
      </c>
      <c r="AI142" s="27">
        <v>30</v>
      </c>
      <c r="AJ142" s="27">
        <v>80</v>
      </c>
      <c r="AK142" s="27">
        <v>43</v>
      </c>
      <c r="AL142" s="27">
        <v>66</v>
      </c>
      <c r="AM142" s="27">
        <v>77</v>
      </c>
      <c r="AN142" s="27">
        <v>24</v>
      </c>
      <c r="AO142" s="33">
        <v>20.399999999999999</v>
      </c>
      <c r="AP142" s="27">
        <v>1</v>
      </c>
      <c r="AQ142" s="27">
        <v>0</v>
      </c>
      <c r="AR142" s="27">
        <v>0</v>
      </c>
      <c r="AS142" s="27">
        <v>0</v>
      </c>
      <c r="AT142" s="27">
        <v>0</v>
      </c>
      <c r="AU142" s="27">
        <v>1</v>
      </c>
      <c r="AV142" s="27">
        <v>1</v>
      </c>
      <c r="AW142" s="27">
        <v>1</v>
      </c>
      <c r="AX142" s="27">
        <v>1</v>
      </c>
      <c r="AY142" s="34" t="s">
        <v>542</v>
      </c>
      <c r="AZ142" s="25" t="s">
        <v>435</v>
      </c>
      <c r="BA142" s="17" t="s">
        <v>61</v>
      </c>
      <c r="BB142" s="150" t="s">
        <v>543</v>
      </c>
      <c r="BC142" s="150" t="s">
        <v>544</v>
      </c>
      <c r="BD142" s="17">
        <v>3</v>
      </c>
      <c r="BE142" s="17">
        <v>6</v>
      </c>
      <c r="BF142" s="17">
        <v>1</v>
      </c>
      <c r="BG142" s="17">
        <v>1</v>
      </c>
      <c r="BH142" s="17">
        <v>0</v>
      </c>
      <c r="BI142" s="17">
        <v>0</v>
      </c>
      <c r="BJ142" s="17">
        <v>0.91</v>
      </c>
      <c r="BK142" s="17">
        <v>0.91</v>
      </c>
      <c r="BL142" s="150" t="s">
        <v>41</v>
      </c>
      <c r="BM142" s="17">
        <v>556</v>
      </c>
      <c r="BN142" s="17"/>
      <c r="BO142" s="17"/>
      <c r="BP142" s="17"/>
      <c r="BQ142" s="17"/>
      <c r="BR142" s="36"/>
      <c r="BS142" s="36"/>
      <c r="BT142" s="17"/>
      <c r="BU142" s="17">
        <v>3.3</v>
      </c>
      <c r="BV142" s="17">
        <v>1.05</v>
      </c>
      <c r="BW142" s="17"/>
      <c r="BX142" s="17">
        <v>78</v>
      </c>
      <c r="BY142" s="17">
        <v>4.0599999999999996</v>
      </c>
      <c r="BZ142" s="17">
        <v>0.96</v>
      </c>
      <c r="CA142" s="17"/>
      <c r="CB142" s="17">
        <v>63</v>
      </c>
      <c r="CC142" s="17">
        <v>1</v>
      </c>
      <c r="CD142" s="37">
        <f t="shared" si="26"/>
        <v>0.75184505871936669</v>
      </c>
      <c r="CE142" s="17">
        <v>141</v>
      </c>
      <c r="CF142" s="22">
        <f t="shared" si="20"/>
        <v>0.75184505871936669</v>
      </c>
      <c r="CG142" s="22">
        <f t="shared" si="23"/>
        <v>0.78814777461981234</v>
      </c>
      <c r="CH142" s="191"/>
      <c r="CI142" s="37">
        <f t="shared" si="21"/>
        <v>3.0698035758495813E-2</v>
      </c>
      <c r="CJ142" s="37">
        <f t="shared" si="24"/>
        <v>3.0158568586543227E-2</v>
      </c>
    </row>
    <row r="143" spans="1:88" s="35" customFormat="1" x14ac:dyDescent="0.35">
      <c r="A143" s="29" t="s">
        <v>535</v>
      </c>
      <c r="B143" s="183" t="s">
        <v>536</v>
      </c>
      <c r="C143" s="29" t="s">
        <v>192</v>
      </c>
      <c r="D143" s="184" t="s">
        <v>537</v>
      </c>
      <c r="E143" s="184" t="s">
        <v>538</v>
      </c>
      <c r="F143" s="12" t="s">
        <v>1109</v>
      </c>
      <c r="G143" s="27">
        <v>0</v>
      </c>
      <c r="H143" s="27">
        <v>1</v>
      </c>
      <c r="I143" s="27">
        <v>1</v>
      </c>
      <c r="J143" s="11" t="s">
        <v>1107</v>
      </c>
      <c r="K143" s="82">
        <v>0</v>
      </c>
      <c r="L143" s="31" t="s">
        <v>539</v>
      </c>
      <c r="M143" s="31">
        <v>1</v>
      </c>
      <c r="N143" s="31">
        <v>550</v>
      </c>
      <c r="O143" s="27">
        <v>203</v>
      </c>
      <c r="P143" s="27" t="s">
        <v>31</v>
      </c>
      <c r="Q143" s="27">
        <v>3</v>
      </c>
      <c r="R143" s="27">
        <v>1</v>
      </c>
      <c r="S143" s="32">
        <v>0</v>
      </c>
      <c r="T143" s="27">
        <v>0</v>
      </c>
      <c r="U143" s="27">
        <v>1</v>
      </c>
      <c r="V143" s="27">
        <v>0</v>
      </c>
      <c r="W143" s="27">
        <v>0</v>
      </c>
      <c r="X143" s="27">
        <v>1</v>
      </c>
      <c r="Y143" s="27">
        <v>0</v>
      </c>
      <c r="Z143" s="27">
        <v>0</v>
      </c>
      <c r="AA143" s="97">
        <v>1</v>
      </c>
      <c r="AB143" s="27">
        <v>1</v>
      </c>
      <c r="AC143" s="27" t="s">
        <v>540</v>
      </c>
      <c r="AD143" s="11">
        <v>4.4000000000000004</v>
      </c>
      <c r="AE143" s="27">
        <v>3.1</v>
      </c>
      <c r="AF143" s="27" t="s">
        <v>541</v>
      </c>
      <c r="AG143" s="27">
        <v>0</v>
      </c>
      <c r="AH143" s="27" t="s">
        <v>465</v>
      </c>
      <c r="AI143" s="27">
        <v>30</v>
      </c>
      <c r="AJ143" s="27">
        <v>80</v>
      </c>
      <c r="AK143" s="27">
        <v>43</v>
      </c>
      <c r="AL143" s="27">
        <v>66</v>
      </c>
      <c r="AM143" s="27">
        <v>77</v>
      </c>
      <c r="AN143" s="27">
        <v>24</v>
      </c>
      <c r="AO143" s="33">
        <v>20.399999999999999</v>
      </c>
      <c r="AP143" s="27">
        <v>1</v>
      </c>
      <c r="AQ143" s="27">
        <v>0</v>
      </c>
      <c r="AR143" s="27">
        <v>0</v>
      </c>
      <c r="AS143" s="27">
        <v>0</v>
      </c>
      <c r="AT143" s="27">
        <v>0</v>
      </c>
      <c r="AU143" s="27">
        <v>1</v>
      </c>
      <c r="AV143" s="27">
        <v>1</v>
      </c>
      <c r="AW143" s="27">
        <v>1</v>
      </c>
      <c r="AX143" s="27">
        <v>1</v>
      </c>
      <c r="AY143" s="34" t="s">
        <v>545</v>
      </c>
      <c r="AZ143" s="25" t="s">
        <v>435</v>
      </c>
      <c r="BA143" s="17" t="s">
        <v>61</v>
      </c>
      <c r="BB143" s="150" t="s">
        <v>46</v>
      </c>
      <c r="BC143" s="150" t="s">
        <v>546</v>
      </c>
      <c r="BD143" s="17">
        <v>3</v>
      </c>
      <c r="BE143" s="17">
        <v>6</v>
      </c>
      <c r="BF143" s="17">
        <v>0</v>
      </c>
      <c r="BG143" s="17">
        <v>0</v>
      </c>
      <c r="BH143" s="17">
        <v>1</v>
      </c>
      <c r="BI143" s="17">
        <v>0</v>
      </c>
      <c r="BJ143" s="17">
        <v>0.95</v>
      </c>
      <c r="BK143" s="17">
        <v>0.95</v>
      </c>
      <c r="BL143" s="150" t="s">
        <v>41</v>
      </c>
      <c r="BM143" s="17">
        <v>556</v>
      </c>
      <c r="BN143" s="17"/>
      <c r="BO143" s="17"/>
      <c r="BP143" s="17"/>
      <c r="BQ143" s="17"/>
      <c r="BR143" s="36"/>
      <c r="BS143" s="36"/>
      <c r="BT143" s="17"/>
      <c r="BU143" s="17">
        <v>3.02</v>
      </c>
      <c r="BV143" s="17">
        <v>1.21</v>
      </c>
      <c r="BW143" s="17"/>
      <c r="BX143" s="17">
        <v>78</v>
      </c>
      <c r="BY143" s="17">
        <v>3.84</v>
      </c>
      <c r="BZ143" s="17">
        <v>1.19</v>
      </c>
      <c r="CA143" s="17"/>
      <c r="CB143" s="17">
        <v>63</v>
      </c>
      <c r="CC143" s="17">
        <v>1</v>
      </c>
      <c r="CD143" s="37">
        <f t="shared" si="26"/>
        <v>0.68269599086879507</v>
      </c>
      <c r="CE143" s="17">
        <v>141</v>
      </c>
      <c r="CF143" s="22">
        <f t="shared" si="20"/>
        <v>0.68269599086879507</v>
      </c>
      <c r="CG143" s="22">
        <f t="shared" si="23"/>
        <v>0.7004313076867078</v>
      </c>
      <c r="CH143" s="191"/>
      <c r="CI143" s="37">
        <f t="shared" si="21"/>
        <v>3.0346272721714244E-2</v>
      </c>
      <c r="CJ143" s="37">
        <f t="shared" si="24"/>
        <v>2.985061363878273E-2</v>
      </c>
    </row>
    <row r="144" spans="1:88" s="35" customFormat="1" x14ac:dyDescent="0.35">
      <c r="A144" s="29" t="s">
        <v>535</v>
      </c>
      <c r="B144" s="183" t="s">
        <v>536</v>
      </c>
      <c r="C144" s="29" t="s">
        <v>192</v>
      </c>
      <c r="D144" s="184" t="s">
        <v>537</v>
      </c>
      <c r="E144" s="184" t="s">
        <v>538</v>
      </c>
      <c r="F144" s="12" t="s">
        <v>1109</v>
      </c>
      <c r="G144" s="27">
        <v>0</v>
      </c>
      <c r="H144" s="27">
        <v>1</v>
      </c>
      <c r="I144" s="27">
        <v>1</v>
      </c>
      <c r="J144" s="11" t="s">
        <v>1107</v>
      </c>
      <c r="K144" s="82">
        <v>0</v>
      </c>
      <c r="L144" s="31" t="s">
        <v>539</v>
      </c>
      <c r="M144" s="31">
        <v>1</v>
      </c>
      <c r="N144" s="31">
        <v>550</v>
      </c>
      <c r="O144" s="27">
        <v>203</v>
      </c>
      <c r="P144" s="27" t="s">
        <v>31</v>
      </c>
      <c r="Q144" s="27">
        <v>3</v>
      </c>
      <c r="R144" s="27">
        <v>2</v>
      </c>
      <c r="S144" s="32">
        <v>0</v>
      </c>
      <c r="T144" s="27">
        <v>1</v>
      </c>
      <c r="U144" s="27">
        <v>0</v>
      </c>
      <c r="V144" s="27">
        <v>0</v>
      </c>
      <c r="W144" s="27">
        <v>0</v>
      </c>
      <c r="X144" s="27">
        <v>0</v>
      </c>
      <c r="Y144" s="27">
        <v>1</v>
      </c>
      <c r="Z144" s="27">
        <v>0</v>
      </c>
      <c r="AA144" s="12">
        <v>1</v>
      </c>
      <c r="AB144" s="27">
        <v>1</v>
      </c>
      <c r="AC144" s="27" t="s">
        <v>540</v>
      </c>
      <c r="AD144" s="12">
        <v>4.4000000000000004</v>
      </c>
      <c r="AE144" s="27">
        <v>3.1</v>
      </c>
      <c r="AF144" s="27" t="s">
        <v>541</v>
      </c>
      <c r="AG144" s="27">
        <v>0</v>
      </c>
      <c r="AH144" s="27" t="s">
        <v>465</v>
      </c>
      <c r="AI144" s="27">
        <v>30</v>
      </c>
      <c r="AJ144" s="27">
        <v>80</v>
      </c>
      <c r="AK144" s="27">
        <v>43</v>
      </c>
      <c r="AL144" s="27">
        <v>66</v>
      </c>
      <c r="AM144" s="27">
        <v>77</v>
      </c>
      <c r="AN144" s="27">
        <v>24</v>
      </c>
      <c r="AO144" s="33">
        <v>20.399999999999999</v>
      </c>
      <c r="AP144" s="27">
        <v>1</v>
      </c>
      <c r="AQ144" s="27">
        <v>0</v>
      </c>
      <c r="AR144" s="27">
        <v>0</v>
      </c>
      <c r="AS144" s="27">
        <v>0</v>
      </c>
      <c r="AT144" s="27">
        <v>0</v>
      </c>
      <c r="AU144" s="27">
        <v>1</v>
      </c>
      <c r="AV144" s="27">
        <v>1</v>
      </c>
      <c r="AW144" s="27">
        <v>1</v>
      </c>
      <c r="AX144" s="27">
        <v>1</v>
      </c>
      <c r="AY144" s="34" t="s">
        <v>547</v>
      </c>
      <c r="AZ144" s="25" t="s">
        <v>435</v>
      </c>
      <c r="BA144" s="17" t="s">
        <v>61</v>
      </c>
      <c r="BB144" s="150" t="s">
        <v>543</v>
      </c>
      <c r="BC144" s="150" t="s">
        <v>544</v>
      </c>
      <c r="BD144" s="17">
        <v>3</v>
      </c>
      <c r="BE144" s="17">
        <v>6</v>
      </c>
      <c r="BF144" s="17">
        <v>1</v>
      </c>
      <c r="BG144" s="17">
        <v>1</v>
      </c>
      <c r="BH144" s="17">
        <v>0</v>
      </c>
      <c r="BI144" s="17">
        <v>0</v>
      </c>
      <c r="BJ144" s="17">
        <v>0.91</v>
      </c>
      <c r="BK144" s="17">
        <v>0.91</v>
      </c>
      <c r="BL144" s="150" t="s">
        <v>41</v>
      </c>
      <c r="BM144" s="17">
        <v>556</v>
      </c>
      <c r="BN144" s="17"/>
      <c r="BO144" s="17"/>
      <c r="BP144" s="17"/>
      <c r="BQ144" s="17"/>
      <c r="BR144" s="36"/>
      <c r="BS144" s="36"/>
      <c r="BT144" s="17"/>
      <c r="BU144" s="17">
        <v>3.3</v>
      </c>
      <c r="BV144" s="17">
        <v>1.05</v>
      </c>
      <c r="BW144" s="17"/>
      <c r="BX144" s="17">
        <v>78</v>
      </c>
      <c r="BY144" s="17">
        <v>3.9</v>
      </c>
      <c r="BZ144" s="17">
        <v>0.88</v>
      </c>
      <c r="CA144" s="17"/>
      <c r="CB144" s="17">
        <v>62</v>
      </c>
      <c r="CC144" s="17">
        <v>1</v>
      </c>
      <c r="CD144" s="37">
        <f t="shared" si="26"/>
        <v>0.6131808695982659</v>
      </c>
      <c r="CE144" s="17">
        <v>140</v>
      </c>
      <c r="CF144" s="22">
        <f t="shared" si="20"/>
        <v>0.6131808695982659</v>
      </c>
      <c r="CG144" s="22">
        <f t="shared" si="23"/>
        <v>0.64278820776782208</v>
      </c>
      <c r="CH144" s="191"/>
      <c r="CI144" s="37">
        <f t="shared" si="21"/>
        <v>3.0292369288724783E-2</v>
      </c>
      <c r="CJ144" s="37">
        <f t="shared" si="24"/>
        <v>2.9928636737452618E-2</v>
      </c>
    </row>
    <row r="145" spans="1:88" s="35" customFormat="1" x14ac:dyDescent="0.35">
      <c r="A145" s="38" t="s">
        <v>535</v>
      </c>
      <c r="B145" s="185" t="s">
        <v>536</v>
      </c>
      <c r="C145" s="38" t="s">
        <v>192</v>
      </c>
      <c r="D145" s="186" t="s">
        <v>537</v>
      </c>
      <c r="E145" s="186" t="s">
        <v>538</v>
      </c>
      <c r="F145" s="18" t="s">
        <v>1109</v>
      </c>
      <c r="G145" s="28">
        <v>0</v>
      </c>
      <c r="H145" s="28">
        <v>1</v>
      </c>
      <c r="I145" s="28">
        <v>1</v>
      </c>
      <c r="J145" s="18" t="s">
        <v>1107</v>
      </c>
      <c r="K145" s="83">
        <v>0</v>
      </c>
      <c r="L145" s="40" t="s">
        <v>539</v>
      </c>
      <c r="M145" s="40">
        <v>1</v>
      </c>
      <c r="N145" s="40">
        <v>550</v>
      </c>
      <c r="O145" s="28">
        <v>203</v>
      </c>
      <c r="P145" s="28" t="s">
        <v>31</v>
      </c>
      <c r="Q145" s="28">
        <v>3</v>
      </c>
      <c r="R145" s="28">
        <v>2</v>
      </c>
      <c r="S145" s="41">
        <v>0</v>
      </c>
      <c r="T145" s="28">
        <v>1</v>
      </c>
      <c r="U145" s="28">
        <v>0</v>
      </c>
      <c r="V145" s="28">
        <v>0</v>
      </c>
      <c r="W145" s="28">
        <v>0</v>
      </c>
      <c r="X145" s="28">
        <v>0</v>
      </c>
      <c r="Y145" s="28">
        <v>1</v>
      </c>
      <c r="Z145" s="28">
        <v>0</v>
      </c>
      <c r="AA145" s="18">
        <v>1</v>
      </c>
      <c r="AB145" s="28">
        <v>1</v>
      </c>
      <c r="AC145" s="28" t="s">
        <v>540</v>
      </c>
      <c r="AD145" s="18">
        <v>4.4000000000000004</v>
      </c>
      <c r="AE145" s="28">
        <v>3.1</v>
      </c>
      <c r="AF145" s="28" t="s">
        <v>541</v>
      </c>
      <c r="AG145" s="28">
        <v>0</v>
      </c>
      <c r="AH145" s="28" t="s">
        <v>465</v>
      </c>
      <c r="AI145" s="28">
        <v>30</v>
      </c>
      <c r="AJ145" s="28">
        <v>80</v>
      </c>
      <c r="AK145" s="28">
        <v>43</v>
      </c>
      <c r="AL145" s="28">
        <v>66</v>
      </c>
      <c r="AM145" s="28">
        <v>77</v>
      </c>
      <c r="AN145" s="28">
        <v>24</v>
      </c>
      <c r="AO145" s="42">
        <v>20.399999999999999</v>
      </c>
      <c r="AP145" s="28">
        <v>1</v>
      </c>
      <c r="AQ145" s="28">
        <v>0</v>
      </c>
      <c r="AR145" s="28">
        <v>0</v>
      </c>
      <c r="AS145" s="28">
        <v>0</v>
      </c>
      <c r="AT145" s="28">
        <v>0</v>
      </c>
      <c r="AU145" s="28">
        <v>1</v>
      </c>
      <c r="AV145" s="28">
        <v>1</v>
      </c>
      <c r="AW145" s="28">
        <v>1</v>
      </c>
      <c r="AX145" s="28">
        <v>1</v>
      </c>
      <c r="AY145" s="34" t="s">
        <v>548</v>
      </c>
      <c r="AZ145" s="25" t="s">
        <v>435</v>
      </c>
      <c r="BA145" s="17" t="s">
        <v>61</v>
      </c>
      <c r="BB145" s="150" t="s">
        <v>46</v>
      </c>
      <c r="BC145" s="150" t="s">
        <v>546</v>
      </c>
      <c r="BD145" s="17">
        <v>3</v>
      </c>
      <c r="BE145" s="17">
        <v>6</v>
      </c>
      <c r="BF145" s="17">
        <v>0</v>
      </c>
      <c r="BG145" s="17">
        <v>0</v>
      </c>
      <c r="BH145" s="17">
        <v>1</v>
      </c>
      <c r="BI145" s="17">
        <v>0</v>
      </c>
      <c r="BJ145" s="17">
        <v>0.95</v>
      </c>
      <c r="BK145" s="17">
        <v>0.95</v>
      </c>
      <c r="BL145" s="150" t="s">
        <v>41</v>
      </c>
      <c r="BM145" s="17">
        <v>556</v>
      </c>
      <c r="BN145" s="17"/>
      <c r="BO145" s="17"/>
      <c r="BP145" s="17"/>
      <c r="BQ145" s="17"/>
      <c r="BR145" s="36"/>
      <c r="BS145" s="36"/>
      <c r="BT145" s="17"/>
      <c r="BU145" s="17">
        <v>3.02</v>
      </c>
      <c r="BV145" s="17">
        <v>1.21</v>
      </c>
      <c r="BW145" s="17"/>
      <c r="BX145" s="17">
        <v>78</v>
      </c>
      <c r="BY145" s="17">
        <v>3.72</v>
      </c>
      <c r="BZ145" s="17">
        <v>1.07</v>
      </c>
      <c r="CA145" s="17"/>
      <c r="CB145" s="17">
        <v>62</v>
      </c>
      <c r="CC145" s="17">
        <v>1</v>
      </c>
      <c r="CD145" s="37">
        <f t="shared" si="26"/>
        <v>0.60857961945163175</v>
      </c>
      <c r="CE145" s="17">
        <v>140</v>
      </c>
      <c r="CF145" s="22">
        <f t="shared" si="20"/>
        <v>0.60857961945163175</v>
      </c>
      <c r="CG145" s="22">
        <f t="shared" si="23"/>
        <v>0.62438951507759533</v>
      </c>
      <c r="CH145" s="191"/>
      <c r="CI145" s="37">
        <f t="shared" si="21"/>
        <v>3.0272292054334096E-2</v>
      </c>
      <c r="CJ145" s="37">
        <f t="shared" si="24"/>
        <v>2.9873389312081684E-2</v>
      </c>
    </row>
    <row r="146" spans="1:88" s="150" customFormat="1" x14ac:dyDescent="0.35">
      <c r="A146" s="29" t="s">
        <v>549</v>
      </c>
      <c r="B146" s="183" t="s">
        <v>550</v>
      </c>
      <c r="C146" s="29" t="s">
        <v>451</v>
      </c>
      <c r="D146" s="184" t="s">
        <v>551</v>
      </c>
      <c r="E146" s="184" t="s">
        <v>552</v>
      </c>
      <c r="F146" s="11" t="s">
        <v>1109</v>
      </c>
      <c r="G146" s="27">
        <v>0</v>
      </c>
      <c r="H146" s="27">
        <v>1</v>
      </c>
      <c r="I146" s="27">
        <v>1</v>
      </c>
      <c r="J146" s="11" t="s">
        <v>1107</v>
      </c>
      <c r="K146" s="82">
        <v>0</v>
      </c>
      <c r="L146" s="31" t="s">
        <v>553</v>
      </c>
      <c r="M146" s="31">
        <v>1</v>
      </c>
      <c r="N146" s="31">
        <v>49</v>
      </c>
      <c r="O146" s="27">
        <v>152</v>
      </c>
      <c r="P146" s="27" t="s">
        <v>31</v>
      </c>
      <c r="Q146" s="27">
        <v>4</v>
      </c>
      <c r="R146" s="27">
        <v>1</v>
      </c>
      <c r="S146" s="32">
        <v>0</v>
      </c>
      <c r="T146" s="27">
        <v>0</v>
      </c>
      <c r="U146" s="27">
        <v>0</v>
      </c>
      <c r="V146" s="27">
        <v>1</v>
      </c>
      <c r="W146" s="27">
        <v>0</v>
      </c>
      <c r="X146" s="27">
        <v>0</v>
      </c>
      <c r="Y146" s="27">
        <v>0</v>
      </c>
      <c r="Z146" s="27">
        <v>1</v>
      </c>
      <c r="AA146" s="11">
        <v>1</v>
      </c>
      <c r="AB146" s="27">
        <v>0</v>
      </c>
      <c r="AC146" s="27" t="s">
        <v>287</v>
      </c>
      <c r="AD146" s="11">
        <v>3.3</v>
      </c>
      <c r="AE146" s="27">
        <v>2.8</v>
      </c>
      <c r="AF146" s="27" t="s">
        <v>58</v>
      </c>
      <c r="AG146" s="27">
        <v>0</v>
      </c>
      <c r="AH146" s="27" t="s">
        <v>267</v>
      </c>
      <c r="AI146" s="27">
        <v>86</v>
      </c>
      <c r="AJ146" s="27">
        <v>68</v>
      </c>
      <c r="AK146" s="27">
        <v>74</v>
      </c>
      <c r="AL146" s="27">
        <v>43</v>
      </c>
      <c r="AM146" s="27">
        <v>60</v>
      </c>
      <c r="AN146" s="27">
        <v>48</v>
      </c>
      <c r="AO146" s="33">
        <v>21</v>
      </c>
      <c r="AP146" s="27">
        <v>0</v>
      </c>
      <c r="AQ146" s="27">
        <v>0</v>
      </c>
      <c r="AR146" s="27">
        <v>1</v>
      </c>
      <c r="AS146" s="27">
        <v>0</v>
      </c>
      <c r="AT146" s="27">
        <v>0</v>
      </c>
      <c r="AU146" s="27">
        <v>0</v>
      </c>
      <c r="AV146" s="27">
        <v>0</v>
      </c>
      <c r="AW146" s="27">
        <v>1</v>
      </c>
      <c r="AX146" s="27">
        <v>1</v>
      </c>
      <c r="AY146" s="34" t="s">
        <v>555</v>
      </c>
      <c r="AZ146" s="25" t="s">
        <v>556</v>
      </c>
      <c r="BA146" s="17" t="s">
        <v>557</v>
      </c>
      <c r="BB146" s="150" t="s">
        <v>554</v>
      </c>
      <c r="BC146" s="150" t="s">
        <v>558</v>
      </c>
      <c r="BD146" s="17">
        <v>4</v>
      </c>
      <c r="BE146" s="17" t="s">
        <v>559</v>
      </c>
      <c r="BF146" s="17">
        <v>1</v>
      </c>
      <c r="BG146" s="17">
        <v>1</v>
      </c>
      <c r="BH146" s="17">
        <v>0</v>
      </c>
      <c r="BI146" s="17">
        <v>0</v>
      </c>
      <c r="BJ146" s="17">
        <v>0.82</v>
      </c>
      <c r="BK146" s="17">
        <v>0.82</v>
      </c>
      <c r="BL146" s="150" t="s">
        <v>41</v>
      </c>
      <c r="BM146" s="17">
        <v>53</v>
      </c>
      <c r="BN146" s="17"/>
      <c r="BO146" s="17"/>
      <c r="BP146" s="17"/>
      <c r="BQ146" s="17"/>
      <c r="BR146" s="36"/>
      <c r="BS146" s="36"/>
      <c r="BT146" s="17"/>
      <c r="BU146" s="17">
        <v>63.68</v>
      </c>
      <c r="BV146" s="17">
        <v>17.18</v>
      </c>
      <c r="BW146" s="17"/>
      <c r="BX146" s="17">
        <v>36</v>
      </c>
      <c r="BY146" s="17">
        <v>67.599999999999994</v>
      </c>
      <c r="BZ146" s="17">
        <v>17.010000000000002</v>
      </c>
      <c r="CA146" s="17"/>
      <c r="CB146" s="17">
        <v>79</v>
      </c>
      <c r="CC146" s="17">
        <v>1</v>
      </c>
      <c r="CD146" s="37">
        <f t="shared" si="26"/>
        <v>0.22973906661841706</v>
      </c>
      <c r="CE146" s="17">
        <v>115</v>
      </c>
      <c r="CF146" s="22">
        <f t="shared" si="20"/>
        <v>0.22973906661841706</v>
      </c>
      <c r="CG146" s="22">
        <f t="shared" si="23"/>
        <v>0.25370435725682633</v>
      </c>
      <c r="CI146" s="22">
        <f t="shared" si="21"/>
        <v>4.0665484055142968E-2</v>
      </c>
      <c r="CJ146" s="37">
        <f t="shared" si="24"/>
        <v>4.0843384745442968E-2</v>
      </c>
    </row>
    <row r="147" spans="1:88" s="150" customFormat="1" x14ac:dyDescent="0.35">
      <c r="A147" s="29" t="s">
        <v>549</v>
      </c>
      <c r="B147" s="183" t="s">
        <v>550</v>
      </c>
      <c r="C147" s="29" t="s">
        <v>451</v>
      </c>
      <c r="D147" s="184" t="s">
        <v>551</v>
      </c>
      <c r="E147" s="184" t="s">
        <v>552</v>
      </c>
      <c r="F147" s="11" t="s">
        <v>1109</v>
      </c>
      <c r="G147" s="27">
        <v>0</v>
      </c>
      <c r="H147" s="27">
        <v>1</v>
      </c>
      <c r="I147" s="27">
        <v>1</v>
      </c>
      <c r="J147" s="11" t="s">
        <v>1107</v>
      </c>
      <c r="K147" s="82">
        <v>0</v>
      </c>
      <c r="L147" s="31" t="s">
        <v>553</v>
      </c>
      <c r="M147" s="31">
        <v>1</v>
      </c>
      <c r="N147" s="31">
        <v>49</v>
      </c>
      <c r="O147" s="27">
        <v>152</v>
      </c>
      <c r="P147" s="27" t="s">
        <v>31</v>
      </c>
      <c r="Q147" s="27">
        <v>4</v>
      </c>
      <c r="R147" s="27">
        <v>1</v>
      </c>
      <c r="S147" s="32">
        <v>0</v>
      </c>
      <c r="T147" s="27">
        <v>0</v>
      </c>
      <c r="U147" s="27">
        <v>0</v>
      </c>
      <c r="V147" s="27">
        <v>1</v>
      </c>
      <c r="W147" s="27">
        <v>0</v>
      </c>
      <c r="X147" s="27">
        <v>0</v>
      </c>
      <c r="Y147" s="27">
        <v>0</v>
      </c>
      <c r="Z147" s="27">
        <v>1</v>
      </c>
      <c r="AA147" s="11">
        <v>1</v>
      </c>
      <c r="AB147" s="27">
        <v>0</v>
      </c>
      <c r="AC147" s="27" t="s">
        <v>287</v>
      </c>
      <c r="AD147" s="11">
        <v>3.3</v>
      </c>
      <c r="AE147" s="27">
        <v>2.8</v>
      </c>
      <c r="AF147" s="27" t="s">
        <v>58</v>
      </c>
      <c r="AG147" s="27">
        <v>0</v>
      </c>
      <c r="AH147" s="27" t="s">
        <v>267</v>
      </c>
      <c r="AI147" s="27">
        <v>86</v>
      </c>
      <c r="AJ147" s="27">
        <v>68</v>
      </c>
      <c r="AK147" s="27">
        <v>74</v>
      </c>
      <c r="AL147" s="27">
        <v>43</v>
      </c>
      <c r="AM147" s="27">
        <v>60</v>
      </c>
      <c r="AN147" s="27">
        <v>48</v>
      </c>
      <c r="AO147" s="33">
        <v>21</v>
      </c>
      <c r="AP147" s="27">
        <v>0</v>
      </c>
      <c r="AQ147" s="27">
        <v>0</v>
      </c>
      <c r="AR147" s="27">
        <v>1</v>
      </c>
      <c r="AS147" s="27">
        <v>0</v>
      </c>
      <c r="AT147" s="27">
        <v>0</v>
      </c>
      <c r="AU147" s="27">
        <v>0</v>
      </c>
      <c r="AV147" s="27">
        <v>0</v>
      </c>
      <c r="AW147" s="27">
        <v>1</v>
      </c>
      <c r="AX147" s="27">
        <v>1</v>
      </c>
      <c r="AY147" s="34" t="s">
        <v>560</v>
      </c>
      <c r="AZ147" s="25" t="s">
        <v>556</v>
      </c>
      <c r="BA147" s="17" t="s">
        <v>557</v>
      </c>
      <c r="BB147" s="150" t="s">
        <v>46</v>
      </c>
      <c r="BC147" s="150" t="s">
        <v>561</v>
      </c>
      <c r="BD147" s="17">
        <v>3</v>
      </c>
      <c r="BE147" s="17">
        <v>7</v>
      </c>
      <c r="BF147" s="17">
        <v>0</v>
      </c>
      <c r="BG147" s="17">
        <v>0</v>
      </c>
      <c r="BH147" s="17">
        <v>1</v>
      </c>
      <c r="BI147" s="17">
        <v>0</v>
      </c>
      <c r="BJ147" s="17">
        <v>0.89</v>
      </c>
      <c r="BK147" s="17">
        <v>0.89</v>
      </c>
      <c r="BL147" s="150" t="s">
        <v>41</v>
      </c>
      <c r="BM147" s="17">
        <v>53</v>
      </c>
      <c r="BN147" s="17"/>
      <c r="BO147" s="17"/>
      <c r="BP147" s="17"/>
      <c r="BQ147" s="17"/>
      <c r="BR147" s="36"/>
      <c r="BS147" s="36"/>
      <c r="BT147" s="17"/>
      <c r="BU147" s="17">
        <v>3.44</v>
      </c>
      <c r="BV147" s="17">
        <v>1.85</v>
      </c>
      <c r="BW147" s="17"/>
      <c r="BX147" s="17">
        <v>36</v>
      </c>
      <c r="BY147" s="17">
        <v>4.0599999999999996</v>
      </c>
      <c r="BZ147" s="17">
        <v>1.75</v>
      </c>
      <c r="CA147" s="17"/>
      <c r="CB147" s="17">
        <v>79</v>
      </c>
      <c r="CC147" s="17">
        <v>1</v>
      </c>
      <c r="CD147" s="37">
        <f t="shared" si="26"/>
        <v>0.34800695665145803</v>
      </c>
      <c r="CE147" s="17">
        <v>115</v>
      </c>
      <c r="CF147" s="22">
        <f t="shared" si="20"/>
        <v>0.34800695665145803</v>
      </c>
      <c r="CG147" s="22">
        <f t="shared" si="23"/>
        <v>0.36888663627801072</v>
      </c>
      <c r="CI147" s="22">
        <f t="shared" si="21"/>
        <v>4.0962565807956479E-2</v>
      </c>
      <c r="CJ147" s="37">
        <f t="shared" si="24"/>
        <v>4.0797913472752731E-2</v>
      </c>
    </row>
    <row r="148" spans="1:88" s="150" customFormat="1" x14ac:dyDescent="0.35">
      <c r="A148" s="43" t="s">
        <v>549</v>
      </c>
      <c r="B148" s="188" t="s">
        <v>550</v>
      </c>
      <c r="C148" s="43" t="s">
        <v>451</v>
      </c>
      <c r="D148" s="150" t="s">
        <v>551</v>
      </c>
      <c r="E148" s="150" t="s">
        <v>552</v>
      </c>
      <c r="F148" s="12" t="s">
        <v>1109</v>
      </c>
      <c r="G148" s="17">
        <v>0</v>
      </c>
      <c r="H148" s="17">
        <v>1</v>
      </c>
      <c r="I148" s="17">
        <v>1</v>
      </c>
      <c r="J148" s="11" t="s">
        <v>1107</v>
      </c>
      <c r="K148" s="82">
        <v>0</v>
      </c>
      <c r="L148" s="34" t="s">
        <v>553</v>
      </c>
      <c r="M148" s="34">
        <v>1</v>
      </c>
      <c r="N148" s="34">
        <v>49</v>
      </c>
      <c r="O148" s="17">
        <v>152</v>
      </c>
      <c r="P148" s="17" t="s">
        <v>31</v>
      </c>
      <c r="Q148" s="17">
        <v>4</v>
      </c>
      <c r="R148" s="17">
        <v>2</v>
      </c>
      <c r="S148" s="32">
        <v>0</v>
      </c>
      <c r="T148" s="17">
        <v>0</v>
      </c>
      <c r="U148" s="17">
        <v>0</v>
      </c>
      <c r="V148" s="17">
        <v>1</v>
      </c>
      <c r="W148" s="17">
        <v>0</v>
      </c>
      <c r="X148" s="17">
        <v>0</v>
      </c>
      <c r="Y148" s="17">
        <v>0</v>
      </c>
      <c r="Z148" s="17">
        <v>1</v>
      </c>
      <c r="AA148" s="12">
        <v>1</v>
      </c>
      <c r="AB148" s="17">
        <v>0</v>
      </c>
      <c r="AC148" s="17" t="s">
        <v>287</v>
      </c>
      <c r="AD148" s="12">
        <v>3.3</v>
      </c>
      <c r="AE148" s="17">
        <v>2.8</v>
      </c>
      <c r="AF148" s="17" t="s">
        <v>58</v>
      </c>
      <c r="AG148" s="27">
        <v>0</v>
      </c>
      <c r="AH148" s="17" t="s">
        <v>267</v>
      </c>
      <c r="AI148" s="17">
        <v>86</v>
      </c>
      <c r="AJ148" s="27">
        <v>68</v>
      </c>
      <c r="AK148" s="27">
        <v>74</v>
      </c>
      <c r="AL148" s="27">
        <v>43</v>
      </c>
      <c r="AM148" s="27">
        <v>60</v>
      </c>
      <c r="AN148" s="27">
        <v>48</v>
      </c>
      <c r="AO148" s="37">
        <v>21</v>
      </c>
      <c r="AP148" s="17">
        <v>0</v>
      </c>
      <c r="AQ148" s="17">
        <v>0</v>
      </c>
      <c r="AR148" s="17">
        <v>1</v>
      </c>
      <c r="AS148" s="17">
        <v>0</v>
      </c>
      <c r="AT148" s="17">
        <v>0</v>
      </c>
      <c r="AU148" s="17">
        <v>0</v>
      </c>
      <c r="AV148" s="17">
        <v>0</v>
      </c>
      <c r="AW148" s="17">
        <v>1</v>
      </c>
      <c r="AX148" s="17">
        <v>1</v>
      </c>
      <c r="AY148" s="34" t="s">
        <v>562</v>
      </c>
      <c r="AZ148" s="25" t="s">
        <v>556</v>
      </c>
      <c r="BA148" s="17" t="s">
        <v>563</v>
      </c>
      <c r="BB148" s="150" t="s">
        <v>554</v>
      </c>
      <c r="BC148" s="150" t="s">
        <v>558</v>
      </c>
      <c r="BD148" s="17">
        <v>4</v>
      </c>
      <c r="BE148" s="17" t="s">
        <v>559</v>
      </c>
      <c r="BF148" s="17">
        <v>1</v>
      </c>
      <c r="BG148" s="17">
        <v>1</v>
      </c>
      <c r="BH148" s="17">
        <v>0</v>
      </c>
      <c r="BI148" s="17">
        <v>0</v>
      </c>
      <c r="BJ148" s="17">
        <v>0.82</v>
      </c>
      <c r="BK148" s="17">
        <v>0.82</v>
      </c>
      <c r="BL148" s="150" t="s">
        <v>41</v>
      </c>
      <c r="BM148" s="17">
        <v>53</v>
      </c>
      <c r="BN148" s="17"/>
      <c r="BO148" s="17"/>
      <c r="BP148" s="17"/>
      <c r="BQ148" s="17"/>
      <c r="BR148" s="36"/>
      <c r="BS148" s="36"/>
      <c r="BT148" s="17"/>
      <c r="BU148" s="17">
        <v>64.89</v>
      </c>
      <c r="BV148" s="17">
        <v>18.73</v>
      </c>
      <c r="BW148" s="17"/>
      <c r="BX148" s="17">
        <v>37</v>
      </c>
      <c r="BY148" s="17">
        <v>67.599999999999994</v>
      </c>
      <c r="BZ148" s="17">
        <v>17.010000000000002</v>
      </c>
      <c r="CA148" s="17"/>
      <c r="CB148" s="17">
        <v>79</v>
      </c>
      <c r="CC148" s="17">
        <v>1</v>
      </c>
      <c r="CD148" s="37">
        <f t="shared" si="26"/>
        <v>0.15422827638471617</v>
      </c>
      <c r="CE148" s="17">
        <v>116</v>
      </c>
      <c r="CF148" s="22">
        <f t="shared" si="20"/>
        <v>0.15422827638471617</v>
      </c>
      <c r="CG148" s="22">
        <f t="shared" si="23"/>
        <v>0.17031663925057425</v>
      </c>
      <c r="CI148" s="22">
        <f t="shared" si="21"/>
        <v>3.9787782294251568E-2</v>
      </c>
      <c r="CJ148" s="37">
        <f t="shared" si="24"/>
        <v>3.9762403166632578E-2</v>
      </c>
    </row>
    <row r="149" spans="1:88" s="150" customFormat="1" x14ac:dyDescent="0.35">
      <c r="A149" s="38" t="s">
        <v>549</v>
      </c>
      <c r="B149" s="185" t="s">
        <v>550</v>
      </c>
      <c r="C149" s="38" t="s">
        <v>451</v>
      </c>
      <c r="D149" s="186" t="s">
        <v>551</v>
      </c>
      <c r="E149" s="186" t="s">
        <v>552</v>
      </c>
      <c r="F149" s="18" t="s">
        <v>1109</v>
      </c>
      <c r="G149" s="28">
        <v>0</v>
      </c>
      <c r="H149" s="28">
        <v>1</v>
      </c>
      <c r="I149" s="28">
        <v>1</v>
      </c>
      <c r="J149" s="18" t="s">
        <v>1107</v>
      </c>
      <c r="K149" s="83">
        <v>0</v>
      </c>
      <c r="L149" s="40" t="s">
        <v>553</v>
      </c>
      <c r="M149" s="40">
        <v>1</v>
      </c>
      <c r="N149" s="40">
        <v>49</v>
      </c>
      <c r="O149" s="28">
        <v>152</v>
      </c>
      <c r="P149" s="28" t="s">
        <v>31</v>
      </c>
      <c r="Q149" s="28">
        <v>4</v>
      </c>
      <c r="R149" s="28">
        <v>2</v>
      </c>
      <c r="S149" s="41">
        <v>0</v>
      </c>
      <c r="T149" s="28">
        <v>0</v>
      </c>
      <c r="U149" s="28">
        <v>0</v>
      </c>
      <c r="V149" s="28">
        <v>1</v>
      </c>
      <c r="W149" s="28">
        <v>0</v>
      </c>
      <c r="X149" s="28">
        <v>0</v>
      </c>
      <c r="Y149" s="28">
        <v>0</v>
      </c>
      <c r="Z149" s="28">
        <v>1</v>
      </c>
      <c r="AA149" s="18">
        <v>1</v>
      </c>
      <c r="AB149" s="28">
        <v>0</v>
      </c>
      <c r="AC149" s="28" t="s">
        <v>287</v>
      </c>
      <c r="AD149" s="18">
        <v>3.3</v>
      </c>
      <c r="AE149" s="28">
        <v>2.8</v>
      </c>
      <c r="AF149" s="28" t="s">
        <v>58</v>
      </c>
      <c r="AG149" s="28">
        <v>0</v>
      </c>
      <c r="AH149" s="28" t="s">
        <v>267</v>
      </c>
      <c r="AI149" s="28">
        <v>86</v>
      </c>
      <c r="AJ149" s="28">
        <v>68</v>
      </c>
      <c r="AK149" s="28">
        <v>74</v>
      </c>
      <c r="AL149" s="28">
        <v>43</v>
      </c>
      <c r="AM149" s="28">
        <v>60</v>
      </c>
      <c r="AN149" s="28">
        <v>48</v>
      </c>
      <c r="AO149" s="42">
        <v>21</v>
      </c>
      <c r="AP149" s="28">
        <v>0</v>
      </c>
      <c r="AQ149" s="28">
        <v>0</v>
      </c>
      <c r="AR149" s="28">
        <v>1</v>
      </c>
      <c r="AS149" s="28">
        <v>0</v>
      </c>
      <c r="AT149" s="28">
        <v>0</v>
      </c>
      <c r="AU149" s="28">
        <v>0</v>
      </c>
      <c r="AV149" s="28">
        <v>0</v>
      </c>
      <c r="AW149" s="28">
        <v>1</v>
      </c>
      <c r="AX149" s="28">
        <v>1</v>
      </c>
      <c r="AY149" s="34" t="s">
        <v>564</v>
      </c>
      <c r="AZ149" s="25" t="s">
        <v>556</v>
      </c>
      <c r="BA149" s="17" t="s">
        <v>563</v>
      </c>
      <c r="BB149" s="150" t="s">
        <v>46</v>
      </c>
      <c r="BC149" s="150" t="s">
        <v>561</v>
      </c>
      <c r="BD149" s="17">
        <v>3</v>
      </c>
      <c r="BE149" s="17">
        <v>7</v>
      </c>
      <c r="BF149" s="17">
        <v>0</v>
      </c>
      <c r="BG149" s="17">
        <v>0</v>
      </c>
      <c r="BH149" s="17">
        <v>1</v>
      </c>
      <c r="BI149" s="17">
        <v>0</v>
      </c>
      <c r="BJ149" s="17">
        <v>0.89</v>
      </c>
      <c r="BK149" s="17">
        <v>0.89</v>
      </c>
      <c r="BL149" s="150" t="s">
        <v>41</v>
      </c>
      <c r="BM149" s="17">
        <v>53</v>
      </c>
      <c r="BN149" s="17"/>
      <c r="BO149" s="17"/>
      <c r="BP149" s="17"/>
      <c r="BQ149" s="17"/>
      <c r="BR149" s="36"/>
      <c r="BS149" s="36"/>
      <c r="BT149" s="17"/>
      <c r="BU149" s="17">
        <v>3.67</v>
      </c>
      <c r="BV149" s="17">
        <v>1.74</v>
      </c>
      <c r="BW149" s="17"/>
      <c r="BX149" s="17">
        <v>37</v>
      </c>
      <c r="BY149" s="17">
        <v>4.0599999999999996</v>
      </c>
      <c r="BZ149" s="17">
        <v>1.75</v>
      </c>
      <c r="CA149" s="17"/>
      <c r="CB149" s="17">
        <v>79</v>
      </c>
      <c r="CC149" s="17">
        <v>1</v>
      </c>
      <c r="CD149" s="37">
        <f t="shared" si="26"/>
        <v>0.22325922765622205</v>
      </c>
      <c r="CE149" s="17">
        <v>116</v>
      </c>
      <c r="CF149" s="22">
        <f t="shared" si="20"/>
        <v>0.22325922765622205</v>
      </c>
      <c r="CG149" s="22">
        <f t="shared" si="23"/>
        <v>0.23665430800745269</v>
      </c>
      <c r="CI149" s="22">
        <f t="shared" si="21"/>
        <v>3.9900102645531968E-2</v>
      </c>
      <c r="CJ149" s="37">
        <f t="shared" si="24"/>
        <v>3.9834205038688099E-2</v>
      </c>
    </row>
    <row r="150" spans="1:88" s="150" customFormat="1" x14ac:dyDescent="0.35">
      <c r="A150" s="29" t="s">
        <v>565</v>
      </c>
      <c r="B150" s="183" t="s">
        <v>566</v>
      </c>
      <c r="C150" s="29" t="s">
        <v>133</v>
      </c>
      <c r="D150" s="184" t="s">
        <v>567</v>
      </c>
      <c r="E150" s="184" t="s">
        <v>159</v>
      </c>
      <c r="F150" s="11" t="s">
        <v>1109</v>
      </c>
      <c r="G150" s="27">
        <v>0</v>
      </c>
      <c r="H150" s="27">
        <v>1</v>
      </c>
      <c r="I150" s="27">
        <v>3</v>
      </c>
      <c r="J150" s="11" t="s">
        <v>1106</v>
      </c>
      <c r="K150" s="82">
        <v>1</v>
      </c>
      <c r="L150" s="31" t="s">
        <v>568</v>
      </c>
      <c r="M150" s="31">
        <v>3</v>
      </c>
      <c r="N150" s="31">
        <v>391</v>
      </c>
      <c r="O150" s="27">
        <v>138</v>
      </c>
      <c r="P150" s="27" t="s">
        <v>147</v>
      </c>
      <c r="Q150" s="27">
        <v>2</v>
      </c>
      <c r="R150" s="27">
        <v>1</v>
      </c>
      <c r="S150" s="32">
        <v>0</v>
      </c>
      <c r="T150" s="27">
        <v>1</v>
      </c>
      <c r="U150" s="27">
        <v>0</v>
      </c>
      <c r="V150" s="27">
        <v>0</v>
      </c>
      <c r="W150" s="27">
        <v>0</v>
      </c>
      <c r="X150" s="27">
        <v>0</v>
      </c>
      <c r="Y150" s="27">
        <v>1</v>
      </c>
      <c r="Z150" s="27">
        <v>0</v>
      </c>
      <c r="AA150" s="11">
        <v>0</v>
      </c>
      <c r="AB150" s="27">
        <v>0</v>
      </c>
      <c r="AC150" s="27" t="s">
        <v>32</v>
      </c>
      <c r="AD150" s="11">
        <v>2.4</v>
      </c>
      <c r="AE150" s="27">
        <v>3.1</v>
      </c>
      <c r="AF150" s="27" t="s">
        <v>569</v>
      </c>
      <c r="AG150" s="27">
        <v>1</v>
      </c>
      <c r="AH150" s="27" t="s">
        <v>570</v>
      </c>
      <c r="AI150" s="27">
        <v>40</v>
      </c>
      <c r="AJ150" s="27">
        <v>77</v>
      </c>
      <c r="AK150" s="27">
        <v>24</v>
      </c>
      <c r="AL150" s="27">
        <v>56</v>
      </c>
      <c r="AM150" s="27">
        <v>51</v>
      </c>
      <c r="AN150" s="27">
        <v>26</v>
      </c>
      <c r="AO150" s="33">
        <v>22</v>
      </c>
      <c r="AP150" s="27">
        <v>0</v>
      </c>
      <c r="AQ150" s="27">
        <v>1</v>
      </c>
      <c r="AR150" s="27">
        <v>0</v>
      </c>
      <c r="AS150" s="27">
        <v>1</v>
      </c>
      <c r="AT150" s="27">
        <v>0</v>
      </c>
      <c r="AU150" s="27">
        <v>0</v>
      </c>
      <c r="AV150" s="27">
        <v>0</v>
      </c>
      <c r="AW150" s="27">
        <v>1</v>
      </c>
      <c r="AX150" s="27">
        <v>1</v>
      </c>
      <c r="AY150" s="34" t="s">
        <v>571</v>
      </c>
      <c r="AZ150" s="25" t="s">
        <v>572</v>
      </c>
      <c r="BA150" s="17" t="s">
        <v>141</v>
      </c>
      <c r="BB150" s="150" t="s">
        <v>573</v>
      </c>
      <c r="BC150" s="150" t="s">
        <v>574</v>
      </c>
      <c r="BD150" s="17">
        <v>2</v>
      </c>
      <c r="BE150" s="17">
        <v>7</v>
      </c>
      <c r="BF150" s="17">
        <v>1</v>
      </c>
      <c r="BG150" s="17">
        <v>1</v>
      </c>
      <c r="BH150" s="17">
        <v>0</v>
      </c>
      <c r="BI150" s="17">
        <v>0</v>
      </c>
      <c r="BJ150" s="17">
        <v>0.84</v>
      </c>
      <c r="BK150" s="17">
        <v>0.84</v>
      </c>
      <c r="BL150" s="150" t="s">
        <v>41</v>
      </c>
      <c r="BM150" s="17" t="s">
        <v>575</v>
      </c>
      <c r="BN150" s="17"/>
      <c r="BO150" s="17"/>
      <c r="BP150" s="17"/>
      <c r="BQ150" s="17"/>
      <c r="BR150" s="36" t="s">
        <v>576</v>
      </c>
      <c r="BS150" s="36"/>
      <c r="BT150" s="17"/>
      <c r="BU150" s="17">
        <v>3.68</v>
      </c>
      <c r="BV150" s="17">
        <v>0.98</v>
      </c>
      <c r="BW150" s="17"/>
      <c r="BX150" s="17">
        <v>35</v>
      </c>
      <c r="BY150" s="17">
        <v>3.71</v>
      </c>
      <c r="BZ150" s="17">
        <v>1.07</v>
      </c>
      <c r="CA150" s="17"/>
      <c r="CB150" s="17">
        <v>34</v>
      </c>
      <c r="CC150" s="17">
        <v>0</v>
      </c>
      <c r="CD150" s="37">
        <f t="shared" si="26"/>
        <v>2.9259269000435972E-2</v>
      </c>
      <c r="CE150" s="17">
        <v>69</v>
      </c>
      <c r="CF150" s="22">
        <f t="shared" si="20"/>
        <v>2.9259269000435972E-2</v>
      </c>
      <c r="CG150" s="22">
        <f t="shared" si="23"/>
        <v>3.1924479755612557E-2</v>
      </c>
      <c r="CI150" s="33">
        <f t="shared" si="21"/>
        <v>5.7989396935444547E-2</v>
      </c>
      <c r="CJ150" s="37">
        <f t="shared" si="24"/>
        <v>5.7984608794543799E-2</v>
      </c>
    </row>
    <row r="151" spans="1:88" s="150" customFormat="1" x14ac:dyDescent="0.35">
      <c r="A151" s="29" t="s">
        <v>565</v>
      </c>
      <c r="B151" s="183" t="s">
        <v>566</v>
      </c>
      <c r="C151" s="29" t="s">
        <v>133</v>
      </c>
      <c r="D151" s="184" t="s">
        <v>567</v>
      </c>
      <c r="E151" s="184" t="s">
        <v>159</v>
      </c>
      <c r="F151" s="11" t="s">
        <v>1109</v>
      </c>
      <c r="G151" s="27">
        <v>0</v>
      </c>
      <c r="H151" s="27">
        <v>1</v>
      </c>
      <c r="I151" s="27">
        <v>3</v>
      </c>
      <c r="J151" s="11" t="s">
        <v>1106</v>
      </c>
      <c r="K151" s="82">
        <v>1</v>
      </c>
      <c r="L151" s="31" t="s">
        <v>568</v>
      </c>
      <c r="M151" s="31">
        <v>3</v>
      </c>
      <c r="N151" s="31">
        <v>391</v>
      </c>
      <c r="O151" s="27">
        <v>138</v>
      </c>
      <c r="P151" s="27" t="s">
        <v>147</v>
      </c>
      <c r="Q151" s="27">
        <v>2</v>
      </c>
      <c r="R151" s="27">
        <v>1</v>
      </c>
      <c r="S151" s="32">
        <v>0</v>
      </c>
      <c r="T151" s="27">
        <v>1</v>
      </c>
      <c r="U151" s="27">
        <v>0</v>
      </c>
      <c r="V151" s="27">
        <v>0</v>
      </c>
      <c r="W151" s="27">
        <v>0</v>
      </c>
      <c r="X151" s="27">
        <v>0</v>
      </c>
      <c r="Y151" s="27">
        <v>1</v>
      </c>
      <c r="Z151" s="27">
        <v>0</v>
      </c>
      <c r="AA151" s="97">
        <v>0</v>
      </c>
      <c r="AB151" s="27">
        <v>0</v>
      </c>
      <c r="AC151" s="27" t="s">
        <v>32</v>
      </c>
      <c r="AD151" s="11">
        <v>2.4</v>
      </c>
      <c r="AE151" s="27">
        <v>3.1</v>
      </c>
      <c r="AF151" s="27" t="s">
        <v>569</v>
      </c>
      <c r="AG151" s="27">
        <v>1</v>
      </c>
      <c r="AH151" s="27" t="s">
        <v>570</v>
      </c>
      <c r="AI151" s="27">
        <v>40</v>
      </c>
      <c r="AJ151" s="27">
        <v>77</v>
      </c>
      <c r="AK151" s="27">
        <v>24</v>
      </c>
      <c r="AL151" s="27">
        <v>56</v>
      </c>
      <c r="AM151" s="27">
        <v>51</v>
      </c>
      <c r="AN151" s="27">
        <v>26</v>
      </c>
      <c r="AO151" s="33">
        <v>22</v>
      </c>
      <c r="AP151" s="27">
        <v>0</v>
      </c>
      <c r="AQ151" s="27">
        <v>1</v>
      </c>
      <c r="AR151" s="27">
        <v>0</v>
      </c>
      <c r="AS151" s="27">
        <v>1</v>
      </c>
      <c r="AT151" s="27">
        <v>0</v>
      </c>
      <c r="AU151" s="27">
        <v>0</v>
      </c>
      <c r="AV151" s="27">
        <v>0</v>
      </c>
      <c r="AW151" s="27">
        <v>1</v>
      </c>
      <c r="AX151" s="27">
        <v>1</v>
      </c>
      <c r="AY151" s="34" t="s">
        <v>577</v>
      </c>
      <c r="AZ151" s="25" t="s">
        <v>572</v>
      </c>
      <c r="BA151" s="17" t="s">
        <v>141</v>
      </c>
      <c r="BB151" s="150" t="s">
        <v>46</v>
      </c>
      <c r="BC151" s="150" t="s">
        <v>578</v>
      </c>
      <c r="BD151" s="17">
        <v>2</v>
      </c>
      <c r="BE151" s="17">
        <v>7</v>
      </c>
      <c r="BF151" s="17">
        <v>0</v>
      </c>
      <c r="BG151" s="17">
        <v>0</v>
      </c>
      <c r="BH151" s="17">
        <v>1</v>
      </c>
      <c r="BI151" s="17">
        <v>0</v>
      </c>
      <c r="BJ151" s="17">
        <v>0.91</v>
      </c>
      <c r="BK151" s="17">
        <v>0.91</v>
      </c>
      <c r="BL151" s="150" t="s">
        <v>41</v>
      </c>
      <c r="BM151" s="17" t="s">
        <v>575</v>
      </c>
      <c r="BN151" s="17"/>
      <c r="BO151" s="17"/>
      <c r="BP151" s="17"/>
      <c r="BQ151" s="17"/>
      <c r="BR151" s="36">
        <v>5.86</v>
      </c>
      <c r="BS151" s="36">
        <v>1.1339999999999999</v>
      </c>
      <c r="BT151" s="17"/>
      <c r="BU151" s="17">
        <v>2.96</v>
      </c>
      <c r="BV151" s="17">
        <v>0.86</v>
      </c>
      <c r="BW151" s="17"/>
      <c r="BX151" s="17">
        <v>35</v>
      </c>
      <c r="BY151" s="17">
        <v>3.55</v>
      </c>
      <c r="BZ151" s="17">
        <v>0.72</v>
      </c>
      <c r="CA151" s="17"/>
      <c r="CB151" s="17">
        <v>34</v>
      </c>
      <c r="CC151" s="17">
        <v>1</v>
      </c>
      <c r="CD151" s="37">
        <f t="shared" si="26"/>
        <v>0.74294652319230359</v>
      </c>
      <c r="CE151" s="17">
        <v>69</v>
      </c>
      <c r="CF151" s="22">
        <f t="shared" si="20"/>
        <v>0.74294652319230359</v>
      </c>
      <c r="CG151" s="22">
        <f t="shared" si="23"/>
        <v>0.77881957475776087</v>
      </c>
      <c r="CI151" s="56">
        <f t="shared" si="21"/>
        <v>6.1982972526032173E-2</v>
      </c>
      <c r="CJ151" s="37">
        <f t="shared" si="24"/>
        <v>6.2509759919294958E-2</v>
      </c>
    </row>
    <row r="152" spans="1:88" s="150" customFormat="1" x14ac:dyDescent="0.35">
      <c r="A152" s="29" t="s">
        <v>565</v>
      </c>
      <c r="B152" s="183" t="s">
        <v>566</v>
      </c>
      <c r="C152" s="29" t="s">
        <v>133</v>
      </c>
      <c r="D152" s="184" t="s">
        <v>567</v>
      </c>
      <c r="E152" s="184" t="s">
        <v>159</v>
      </c>
      <c r="F152" s="11" t="s">
        <v>1109</v>
      </c>
      <c r="G152" s="27">
        <v>0</v>
      </c>
      <c r="H152" s="27">
        <v>1</v>
      </c>
      <c r="I152" s="27">
        <v>3</v>
      </c>
      <c r="J152" s="11" t="s">
        <v>1106</v>
      </c>
      <c r="K152" s="82">
        <v>1</v>
      </c>
      <c r="L152" s="31" t="s">
        <v>568</v>
      </c>
      <c r="M152" s="31">
        <v>3</v>
      </c>
      <c r="N152" s="31">
        <v>391</v>
      </c>
      <c r="O152" s="27">
        <v>138</v>
      </c>
      <c r="P152" s="27" t="s">
        <v>147</v>
      </c>
      <c r="Q152" s="27">
        <v>2</v>
      </c>
      <c r="R152" s="27">
        <v>2</v>
      </c>
      <c r="S152" s="32">
        <v>0</v>
      </c>
      <c r="T152" s="27">
        <v>1</v>
      </c>
      <c r="U152" s="27">
        <v>0</v>
      </c>
      <c r="V152" s="27">
        <v>0</v>
      </c>
      <c r="W152" s="27">
        <v>0</v>
      </c>
      <c r="X152" s="27">
        <v>0</v>
      </c>
      <c r="Y152" s="27">
        <v>1</v>
      </c>
      <c r="Z152" s="27">
        <v>0</v>
      </c>
      <c r="AA152" s="97">
        <v>0</v>
      </c>
      <c r="AB152" s="27">
        <v>0</v>
      </c>
      <c r="AC152" s="27" t="s">
        <v>579</v>
      </c>
      <c r="AD152" s="11">
        <v>4.3</v>
      </c>
      <c r="AE152" s="27">
        <v>2.9</v>
      </c>
      <c r="AF152" s="27" t="s">
        <v>569</v>
      </c>
      <c r="AG152" s="27">
        <v>1</v>
      </c>
      <c r="AH152" s="27" t="s">
        <v>570</v>
      </c>
      <c r="AI152" s="27">
        <v>40</v>
      </c>
      <c r="AJ152" s="27">
        <v>77</v>
      </c>
      <c r="AK152" s="27">
        <v>24</v>
      </c>
      <c r="AL152" s="27">
        <v>56</v>
      </c>
      <c r="AM152" s="27">
        <v>51</v>
      </c>
      <c r="AN152" s="27">
        <v>26</v>
      </c>
      <c r="AO152" s="33">
        <v>22</v>
      </c>
      <c r="AP152" s="27">
        <v>0</v>
      </c>
      <c r="AQ152" s="27">
        <v>1</v>
      </c>
      <c r="AR152" s="27">
        <v>0</v>
      </c>
      <c r="AS152" s="27">
        <v>1</v>
      </c>
      <c r="AT152" s="27">
        <v>0</v>
      </c>
      <c r="AU152" s="27">
        <v>0</v>
      </c>
      <c r="AV152" s="27">
        <v>0</v>
      </c>
      <c r="AW152" s="27">
        <v>1</v>
      </c>
      <c r="AX152" s="27">
        <v>1</v>
      </c>
      <c r="AY152" s="34" t="s">
        <v>580</v>
      </c>
      <c r="AZ152" s="25" t="s">
        <v>572</v>
      </c>
      <c r="BA152" s="17" t="s">
        <v>141</v>
      </c>
      <c r="BB152" s="150" t="s">
        <v>573</v>
      </c>
      <c r="BC152" s="150" t="s">
        <v>574</v>
      </c>
      <c r="BD152" s="17">
        <v>2</v>
      </c>
      <c r="BE152" s="17">
        <v>7</v>
      </c>
      <c r="BF152" s="17">
        <v>1</v>
      </c>
      <c r="BG152" s="17">
        <v>1</v>
      </c>
      <c r="BH152" s="17">
        <v>0</v>
      </c>
      <c r="BI152" s="17">
        <v>0</v>
      </c>
      <c r="BJ152" s="17">
        <v>0.84</v>
      </c>
      <c r="BK152" s="17">
        <v>0.84</v>
      </c>
      <c r="BL152" s="150" t="s">
        <v>41</v>
      </c>
      <c r="BM152" s="17" t="s">
        <v>575</v>
      </c>
      <c r="BN152" s="17"/>
      <c r="BO152" s="17"/>
      <c r="BP152" s="17"/>
      <c r="BQ152" s="17"/>
      <c r="BR152" s="36">
        <v>3.33</v>
      </c>
      <c r="BS152" s="36">
        <v>1.1339999999999999</v>
      </c>
      <c r="BT152" s="17"/>
      <c r="BU152" s="17">
        <v>3.41</v>
      </c>
      <c r="BV152" s="17">
        <v>0.72</v>
      </c>
      <c r="BW152" s="17"/>
      <c r="BX152" s="17">
        <v>35</v>
      </c>
      <c r="BY152" s="17">
        <v>4.0199999999999996</v>
      </c>
      <c r="BZ152" s="17">
        <v>1.1299999999999999</v>
      </c>
      <c r="CA152" s="17"/>
      <c r="CB152" s="17">
        <v>34</v>
      </c>
      <c r="CC152" s="17">
        <v>1</v>
      </c>
      <c r="CD152" s="37">
        <f t="shared" si="26"/>
        <v>0.64587719608449612</v>
      </c>
      <c r="CE152" s="17">
        <v>69</v>
      </c>
      <c r="CF152" s="22">
        <f t="shared" si="20"/>
        <v>0.64587719608449612</v>
      </c>
      <c r="CG152" s="22">
        <f t="shared" si="23"/>
        <v>0.70470979540548551</v>
      </c>
      <c r="CI152" s="56">
        <f t="shared" si="21"/>
        <v>6.1006072642687523E-2</v>
      </c>
      <c r="CJ152" s="37">
        <f t="shared" si="24"/>
        <v>6.1689282051493322E-2</v>
      </c>
    </row>
    <row r="153" spans="1:88" s="150" customFormat="1" x14ac:dyDescent="0.35">
      <c r="A153" s="38" t="s">
        <v>565</v>
      </c>
      <c r="B153" s="185" t="s">
        <v>566</v>
      </c>
      <c r="C153" s="38" t="s">
        <v>133</v>
      </c>
      <c r="D153" s="186" t="s">
        <v>567</v>
      </c>
      <c r="E153" s="186" t="s">
        <v>159</v>
      </c>
      <c r="F153" s="18" t="s">
        <v>1109</v>
      </c>
      <c r="G153" s="28">
        <v>0</v>
      </c>
      <c r="H153" s="28">
        <v>1</v>
      </c>
      <c r="I153" s="28">
        <v>3</v>
      </c>
      <c r="J153" s="18" t="s">
        <v>1106</v>
      </c>
      <c r="K153" s="83">
        <v>1</v>
      </c>
      <c r="L153" s="40" t="s">
        <v>568</v>
      </c>
      <c r="M153" s="40">
        <v>3</v>
      </c>
      <c r="N153" s="40">
        <v>391</v>
      </c>
      <c r="O153" s="28">
        <v>138</v>
      </c>
      <c r="P153" s="28" t="s">
        <v>147</v>
      </c>
      <c r="Q153" s="28">
        <v>2</v>
      </c>
      <c r="R153" s="28">
        <v>2</v>
      </c>
      <c r="S153" s="41">
        <v>0</v>
      </c>
      <c r="T153" s="28">
        <v>1</v>
      </c>
      <c r="U153" s="28">
        <v>0</v>
      </c>
      <c r="V153" s="28">
        <v>0</v>
      </c>
      <c r="W153" s="28">
        <v>0</v>
      </c>
      <c r="X153" s="28">
        <v>0</v>
      </c>
      <c r="Y153" s="28">
        <v>1</v>
      </c>
      <c r="Z153" s="28">
        <v>0</v>
      </c>
      <c r="AA153" s="18">
        <v>0</v>
      </c>
      <c r="AB153" s="28">
        <v>0</v>
      </c>
      <c r="AC153" s="28" t="s">
        <v>579</v>
      </c>
      <c r="AD153" s="18">
        <v>4.3</v>
      </c>
      <c r="AE153" s="28">
        <v>2.9</v>
      </c>
      <c r="AF153" s="28" t="s">
        <v>569</v>
      </c>
      <c r="AG153" s="28">
        <v>1</v>
      </c>
      <c r="AH153" s="28" t="s">
        <v>570</v>
      </c>
      <c r="AI153" s="28">
        <v>40</v>
      </c>
      <c r="AJ153" s="28">
        <v>77</v>
      </c>
      <c r="AK153" s="28">
        <v>24</v>
      </c>
      <c r="AL153" s="28">
        <v>56</v>
      </c>
      <c r="AM153" s="28">
        <v>51</v>
      </c>
      <c r="AN153" s="28">
        <v>26</v>
      </c>
      <c r="AO153" s="42">
        <v>22</v>
      </c>
      <c r="AP153" s="28">
        <v>0</v>
      </c>
      <c r="AQ153" s="28">
        <v>1</v>
      </c>
      <c r="AR153" s="28">
        <v>0</v>
      </c>
      <c r="AS153" s="28">
        <v>1</v>
      </c>
      <c r="AT153" s="28">
        <v>0</v>
      </c>
      <c r="AU153" s="28">
        <v>0</v>
      </c>
      <c r="AV153" s="28">
        <v>0</v>
      </c>
      <c r="AW153" s="28">
        <v>1</v>
      </c>
      <c r="AX153" s="28">
        <v>1</v>
      </c>
      <c r="AY153" s="34" t="s">
        <v>581</v>
      </c>
      <c r="AZ153" s="25" t="s">
        <v>572</v>
      </c>
      <c r="BA153" s="17" t="s">
        <v>141</v>
      </c>
      <c r="BB153" s="150" t="s">
        <v>46</v>
      </c>
      <c r="BC153" s="150" t="s">
        <v>578</v>
      </c>
      <c r="BD153" s="17">
        <v>2</v>
      </c>
      <c r="BE153" s="17">
        <v>7</v>
      </c>
      <c r="BF153" s="17">
        <v>0</v>
      </c>
      <c r="BG153" s="17">
        <v>0</v>
      </c>
      <c r="BH153" s="17">
        <v>1</v>
      </c>
      <c r="BI153" s="17">
        <v>0</v>
      </c>
      <c r="BJ153" s="17">
        <v>0.91</v>
      </c>
      <c r="BK153" s="17">
        <v>0.91</v>
      </c>
      <c r="BL153" s="150" t="s">
        <v>41</v>
      </c>
      <c r="BM153" s="17" t="s">
        <v>575</v>
      </c>
      <c r="BN153" s="17"/>
      <c r="BO153" s="17"/>
      <c r="BP153" s="17"/>
      <c r="BQ153" s="17"/>
      <c r="BR153" s="36"/>
      <c r="BS153" s="36"/>
      <c r="BT153" s="17"/>
      <c r="BU153" s="17">
        <v>3.18</v>
      </c>
      <c r="BV153" s="17">
        <v>1.1399999999999999</v>
      </c>
      <c r="BW153" s="17"/>
      <c r="BX153" s="17">
        <v>35</v>
      </c>
      <c r="BY153" s="17">
        <v>3.11</v>
      </c>
      <c r="BZ153" s="17">
        <v>1.03</v>
      </c>
      <c r="CA153" s="17"/>
      <c r="CB153" s="17">
        <v>34</v>
      </c>
      <c r="CC153" s="17">
        <v>0</v>
      </c>
      <c r="CD153" s="37">
        <f t="shared" si="26"/>
        <v>-6.4384828570481986E-2</v>
      </c>
      <c r="CE153" s="17">
        <v>69</v>
      </c>
      <c r="CF153" s="22">
        <f t="shared" si="20"/>
        <v>-6.4384828570481986E-2</v>
      </c>
      <c r="CG153" s="22">
        <f t="shared" si="23"/>
        <v>-6.7493639505376402E-2</v>
      </c>
      <c r="CI153" s="33">
        <f t="shared" si="21"/>
        <v>5.801323245231129E-2</v>
      </c>
      <c r="CJ153" s="37">
        <f t="shared" si="24"/>
        <v>5.8001862914088313E-2</v>
      </c>
    </row>
    <row r="154" spans="1:88" s="150" customFormat="1" ht="15.65" customHeight="1" x14ac:dyDescent="0.35">
      <c r="A154" s="29" t="s">
        <v>582</v>
      </c>
      <c r="B154" s="183" t="s">
        <v>583</v>
      </c>
      <c r="C154" s="29" t="s">
        <v>283</v>
      </c>
      <c r="D154" s="184" t="s">
        <v>584</v>
      </c>
      <c r="E154" s="184" t="s">
        <v>585</v>
      </c>
      <c r="F154" s="11" t="s">
        <v>1108</v>
      </c>
      <c r="G154" s="27">
        <v>0</v>
      </c>
      <c r="H154" s="27">
        <v>0</v>
      </c>
      <c r="I154" s="27">
        <v>1</v>
      </c>
      <c r="J154" s="11" t="s">
        <v>1106</v>
      </c>
      <c r="K154" s="82">
        <v>0</v>
      </c>
      <c r="L154" s="31" t="s">
        <v>586</v>
      </c>
      <c r="M154" s="31">
        <v>1</v>
      </c>
      <c r="N154" s="31">
        <v>108</v>
      </c>
      <c r="O154" s="27">
        <v>482</v>
      </c>
      <c r="P154" s="27" t="s">
        <v>196</v>
      </c>
      <c r="Q154" s="27">
        <v>3</v>
      </c>
      <c r="R154" s="27">
        <v>1</v>
      </c>
      <c r="S154" s="32">
        <v>0</v>
      </c>
      <c r="T154" s="27">
        <v>0</v>
      </c>
      <c r="U154" s="27">
        <v>0</v>
      </c>
      <c r="V154" s="27">
        <v>0</v>
      </c>
      <c r="W154" s="27">
        <v>1</v>
      </c>
      <c r="X154" s="27">
        <v>0</v>
      </c>
      <c r="Y154" s="27">
        <v>0</v>
      </c>
      <c r="Z154" s="27">
        <v>1</v>
      </c>
      <c r="AA154" s="97">
        <v>1</v>
      </c>
      <c r="AB154" s="27">
        <v>1</v>
      </c>
      <c r="AC154" s="27" t="s">
        <v>382</v>
      </c>
      <c r="AD154" s="11">
        <v>3.2</v>
      </c>
      <c r="AE154" s="27">
        <v>2.6</v>
      </c>
      <c r="AF154" s="27" t="s">
        <v>455</v>
      </c>
      <c r="AG154" s="27">
        <v>1</v>
      </c>
      <c r="AH154" s="27" t="s">
        <v>35</v>
      </c>
      <c r="AI154" s="27">
        <v>46</v>
      </c>
      <c r="AJ154" s="27">
        <v>40</v>
      </c>
      <c r="AK154" s="27">
        <v>60</v>
      </c>
      <c r="AL154" s="27">
        <v>62</v>
      </c>
      <c r="AM154" s="27">
        <v>50</v>
      </c>
      <c r="AN154" s="27">
        <v>68</v>
      </c>
      <c r="AO154" s="33">
        <v>20.3</v>
      </c>
      <c r="AP154" s="27">
        <v>1</v>
      </c>
      <c r="AQ154" s="27">
        <v>0</v>
      </c>
      <c r="AR154" s="27">
        <v>0</v>
      </c>
      <c r="AS154" s="27">
        <v>0</v>
      </c>
      <c r="AT154" s="27">
        <v>0</v>
      </c>
      <c r="AU154" s="27">
        <v>1</v>
      </c>
      <c r="AV154" s="27">
        <v>1</v>
      </c>
      <c r="AW154" s="27">
        <v>1</v>
      </c>
      <c r="AX154" s="27">
        <v>1</v>
      </c>
      <c r="AY154" s="34" t="s">
        <v>588</v>
      </c>
      <c r="AZ154" s="25" t="s">
        <v>91</v>
      </c>
      <c r="BA154" s="17" t="s">
        <v>183</v>
      </c>
      <c r="BB154" s="150" t="s">
        <v>589</v>
      </c>
      <c r="BC154" s="150" t="s">
        <v>590</v>
      </c>
      <c r="BD154" s="17">
        <v>3</v>
      </c>
      <c r="BE154" s="17">
        <v>7</v>
      </c>
      <c r="BF154" s="17">
        <v>1</v>
      </c>
      <c r="BG154" s="17">
        <v>1</v>
      </c>
      <c r="BH154" s="17">
        <v>0</v>
      </c>
      <c r="BI154" s="17">
        <v>0</v>
      </c>
      <c r="BJ154" s="17">
        <v>0.95</v>
      </c>
      <c r="BK154" s="17">
        <v>0.95</v>
      </c>
      <c r="BL154" s="150" t="s">
        <v>591</v>
      </c>
      <c r="BM154" s="17">
        <v>161</v>
      </c>
      <c r="BN154" s="17"/>
      <c r="BO154" s="17"/>
      <c r="BP154" s="17"/>
      <c r="BQ154" s="17"/>
      <c r="BR154" s="36"/>
      <c r="BS154" s="36"/>
      <c r="BT154" s="17"/>
      <c r="BU154" s="17">
        <v>4.9000000000000004</v>
      </c>
      <c r="BV154" s="17">
        <v>1.1200000000000001</v>
      </c>
      <c r="BW154" s="17"/>
      <c r="BX154" s="17">
        <v>164</v>
      </c>
      <c r="BY154" s="17">
        <v>5.31</v>
      </c>
      <c r="BZ154" s="17">
        <v>1.05</v>
      </c>
      <c r="CA154" s="17"/>
      <c r="CB154" s="17">
        <v>169</v>
      </c>
      <c r="CC154" s="17">
        <v>1</v>
      </c>
      <c r="CD154" s="37">
        <f t="shared" si="26"/>
        <v>0.37786771134297575</v>
      </c>
      <c r="CE154" s="17">
        <v>333</v>
      </c>
      <c r="CF154" s="22">
        <f t="shared" si="20"/>
        <v>0.37786771134297575</v>
      </c>
      <c r="CG154" s="22">
        <f t="shared" si="23"/>
        <v>0.38768409178985497</v>
      </c>
      <c r="CI154" s="22">
        <f t="shared" ref="CI154:CI165" si="27">((BX154+CB154)/(BX154*CB154))+((CF154^2)/(2*(BX154+CB154)))</f>
        <v>1.2229111140238048E-2</v>
      </c>
      <c r="CJ154" s="37">
        <f t="shared" si="24"/>
        <v>1.2392356304317648E-2</v>
      </c>
    </row>
    <row r="155" spans="1:88" s="150" customFormat="1" x14ac:dyDescent="0.35">
      <c r="A155" s="29" t="s">
        <v>582</v>
      </c>
      <c r="B155" s="183" t="s">
        <v>583</v>
      </c>
      <c r="C155" s="29" t="s">
        <v>283</v>
      </c>
      <c r="D155" s="184" t="s">
        <v>584</v>
      </c>
      <c r="E155" s="184" t="s">
        <v>585</v>
      </c>
      <c r="F155" s="11" t="s">
        <v>1108</v>
      </c>
      <c r="G155" s="27">
        <v>0</v>
      </c>
      <c r="H155" s="27">
        <v>0</v>
      </c>
      <c r="I155" s="27">
        <v>1</v>
      </c>
      <c r="J155" s="11" t="s">
        <v>1106</v>
      </c>
      <c r="K155" s="82">
        <v>0</v>
      </c>
      <c r="L155" s="31" t="s">
        <v>586</v>
      </c>
      <c r="M155" s="31">
        <v>1</v>
      </c>
      <c r="N155" s="31">
        <v>108</v>
      </c>
      <c r="O155" s="27">
        <v>482</v>
      </c>
      <c r="P155" s="27" t="s">
        <v>196</v>
      </c>
      <c r="Q155" s="27">
        <v>3</v>
      </c>
      <c r="R155" s="27">
        <v>1</v>
      </c>
      <c r="S155" s="32">
        <v>0</v>
      </c>
      <c r="T155" s="27">
        <v>0</v>
      </c>
      <c r="U155" s="27">
        <v>0</v>
      </c>
      <c r="V155" s="27">
        <v>0</v>
      </c>
      <c r="W155" s="27">
        <v>1</v>
      </c>
      <c r="X155" s="27">
        <v>0</v>
      </c>
      <c r="Y155" s="27">
        <v>0</v>
      </c>
      <c r="Z155" s="27">
        <v>1</v>
      </c>
      <c r="AA155" s="97">
        <v>1</v>
      </c>
      <c r="AB155" s="27">
        <v>1</v>
      </c>
      <c r="AC155" s="27" t="s">
        <v>382</v>
      </c>
      <c r="AD155" s="11">
        <v>3.2</v>
      </c>
      <c r="AE155" s="27">
        <v>2.6</v>
      </c>
      <c r="AF155" s="27" t="s">
        <v>455</v>
      </c>
      <c r="AG155" s="27">
        <v>1</v>
      </c>
      <c r="AH155" s="27" t="s">
        <v>35</v>
      </c>
      <c r="AI155" s="27">
        <v>46</v>
      </c>
      <c r="AJ155" s="27">
        <v>40</v>
      </c>
      <c r="AK155" s="27">
        <v>60</v>
      </c>
      <c r="AL155" s="27">
        <v>62</v>
      </c>
      <c r="AM155" s="27">
        <v>50</v>
      </c>
      <c r="AN155" s="27">
        <v>68</v>
      </c>
      <c r="AO155" s="33">
        <v>20.3</v>
      </c>
      <c r="AP155" s="27">
        <v>1</v>
      </c>
      <c r="AQ155" s="27">
        <v>0</v>
      </c>
      <c r="AR155" s="27">
        <v>0</v>
      </c>
      <c r="AS155" s="27">
        <v>0</v>
      </c>
      <c r="AT155" s="27">
        <v>0</v>
      </c>
      <c r="AU155" s="27">
        <v>1</v>
      </c>
      <c r="AV155" s="27">
        <v>1</v>
      </c>
      <c r="AW155" s="27">
        <v>1</v>
      </c>
      <c r="AX155" s="27">
        <v>1</v>
      </c>
      <c r="AY155" s="34" t="s">
        <v>592</v>
      </c>
      <c r="AZ155" s="25" t="s">
        <v>91</v>
      </c>
      <c r="BA155" s="17" t="s">
        <v>183</v>
      </c>
      <c r="BB155" s="150" t="s">
        <v>593</v>
      </c>
      <c r="BC155" s="150" t="s">
        <v>594</v>
      </c>
      <c r="BD155" s="17">
        <v>3</v>
      </c>
      <c r="BE155" s="17">
        <v>7</v>
      </c>
      <c r="BF155" s="17">
        <v>1</v>
      </c>
      <c r="BG155" s="17">
        <v>1</v>
      </c>
      <c r="BH155" s="17">
        <v>0</v>
      </c>
      <c r="BI155" s="17">
        <v>0</v>
      </c>
      <c r="BJ155" s="17">
        <v>0.96</v>
      </c>
      <c r="BK155" s="17">
        <v>0.96</v>
      </c>
      <c r="BL155" s="150" t="s">
        <v>591</v>
      </c>
      <c r="BM155" s="17">
        <v>161</v>
      </c>
      <c r="BN155" s="17"/>
      <c r="BO155" s="17"/>
      <c r="BP155" s="17"/>
      <c r="BQ155" s="17"/>
      <c r="BR155" s="36"/>
      <c r="BS155" s="36"/>
      <c r="BT155" s="17"/>
      <c r="BU155" s="17">
        <v>5.36</v>
      </c>
      <c r="BV155" s="17">
        <v>0.92</v>
      </c>
      <c r="BW155" s="17"/>
      <c r="BX155" s="17">
        <v>164</v>
      </c>
      <c r="BY155" s="17">
        <v>5.49</v>
      </c>
      <c r="BZ155" s="17">
        <v>0.94</v>
      </c>
      <c r="CA155" s="17"/>
      <c r="CB155" s="17">
        <v>169</v>
      </c>
      <c r="CC155" s="17">
        <v>0</v>
      </c>
      <c r="CD155" s="37">
        <f t="shared" si="26"/>
        <v>0.1397541705208965</v>
      </c>
      <c r="CE155" s="17">
        <v>333</v>
      </c>
      <c r="CF155" s="22">
        <f t="shared" si="20"/>
        <v>0.1397541705208965</v>
      </c>
      <c r="CG155" s="22">
        <f t="shared" si="23"/>
        <v>0.142636003000878</v>
      </c>
      <c r="CI155" s="22">
        <f t="shared" si="27"/>
        <v>1.2044046907358776E-2</v>
      </c>
      <c r="CJ155" s="37">
        <f t="shared" si="24"/>
        <v>1.206715638158333E-2</v>
      </c>
    </row>
    <row r="156" spans="1:88" s="150" customFormat="1" x14ac:dyDescent="0.35">
      <c r="A156" s="29" t="s">
        <v>582</v>
      </c>
      <c r="B156" s="183" t="s">
        <v>583</v>
      </c>
      <c r="C156" s="29" t="s">
        <v>283</v>
      </c>
      <c r="D156" s="184" t="s">
        <v>584</v>
      </c>
      <c r="E156" s="184" t="s">
        <v>585</v>
      </c>
      <c r="F156" s="12" t="s">
        <v>1108</v>
      </c>
      <c r="G156" s="27">
        <v>0</v>
      </c>
      <c r="H156" s="27">
        <v>0</v>
      </c>
      <c r="I156" s="27">
        <v>1</v>
      </c>
      <c r="J156" s="11" t="s">
        <v>1106</v>
      </c>
      <c r="K156" s="82">
        <v>0</v>
      </c>
      <c r="L156" s="31" t="s">
        <v>586</v>
      </c>
      <c r="M156" s="31">
        <v>1</v>
      </c>
      <c r="N156" s="31">
        <v>108</v>
      </c>
      <c r="O156" s="27">
        <v>482</v>
      </c>
      <c r="P156" s="27" t="s">
        <v>196</v>
      </c>
      <c r="Q156" s="27">
        <v>3</v>
      </c>
      <c r="R156" s="27">
        <v>1</v>
      </c>
      <c r="S156" s="32">
        <v>0</v>
      </c>
      <c r="T156" s="27">
        <v>0</v>
      </c>
      <c r="U156" s="27">
        <v>0</v>
      </c>
      <c r="V156" s="27">
        <v>0</v>
      </c>
      <c r="W156" s="27">
        <v>1</v>
      </c>
      <c r="X156" s="27">
        <v>0</v>
      </c>
      <c r="Y156" s="27">
        <v>0</v>
      </c>
      <c r="Z156" s="27">
        <v>1</v>
      </c>
      <c r="AA156" s="2">
        <v>1</v>
      </c>
      <c r="AB156" s="17">
        <v>1</v>
      </c>
      <c r="AC156" s="27" t="s">
        <v>382</v>
      </c>
      <c r="AD156" s="12">
        <v>3.2</v>
      </c>
      <c r="AE156" s="27">
        <v>2.6</v>
      </c>
      <c r="AF156" s="27" t="s">
        <v>455</v>
      </c>
      <c r="AG156" s="27">
        <v>1</v>
      </c>
      <c r="AH156" s="27" t="s">
        <v>35</v>
      </c>
      <c r="AI156" s="27">
        <v>46</v>
      </c>
      <c r="AJ156" s="27">
        <v>40</v>
      </c>
      <c r="AK156" s="27">
        <v>60</v>
      </c>
      <c r="AL156" s="27">
        <v>62</v>
      </c>
      <c r="AM156" s="27">
        <v>50</v>
      </c>
      <c r="AN156" s="27">
        <v>68</v>
      </c>
      <c r="AO156" s="33">
        <v>20.3</v>
      </c>
      <c r="AP156" s="27">
        <v>1</v>
      </c>
      <c r="AQ156" s="27">
        <v>0</v>
      </c>
      <c r="AR156" s="27">
        <v>0</v>
      </c>
      <c r="AS156" s="27">
        <v>0</v>
      </c>
      <c r="AT156" s="27">
        <v>0</v>
      </c>
      <c r="AU156" s="27">
        <v>1</v>
      </c>
      <c r="AV156" s="27">
        <v>1</v>
      </c>
      <c r="AW156" s="27">
        <v>1</v>
      </c>
      <c r="AX156" s="27">
        <v>1</v>
      </c>
      <c r="AY156" s="34" t="s">
        <v>595</v>
      </c>
      <c r="AZ156" s="25" t="s">
        <v>91</v>
      </c>
      <c r="BA156" s="17" t="s">
        <v>183</v>
      </c>
      <c r="BB156" s="150" t="s">
        <v>201</v>
      </c>
      <c r="BC156" s="150" t="s">
        <v>596</v>
      </c>
      <c r="BD156" s="17">
        <v>3</v>
      </c>
      <c r="BE156" s="17">
        <v>7</v>
      </c>
      <c r="BF156" s="17">
        <v>1</v>
      </c>
      <c r="BG156" s="17">
        <v>1</v>
      </c>
      <c r="BH156" s="17">
        <v>0</v>
      </c>
      <c r="BI156" s="17">
        <v>0</v>
      </c>
      <c r="BJ156" s="17">
        <v>0.97</v>
      </c>
      <c r="BK156" s="17">
        <v>0.97</v>
      </c>
      <c r="BL156" s="150" t="s">
        <v>591</v>
      </c>
      <c r="BM156" s="17">
        <v>161</v>
      </c>
      <c r="BN156" s="17"/>
      <c r="BO156" s="17"/>
      <c r="BP156" s="17"/>
      <c r="BQ156" s="17"/>
      <c r="BR156" s="36"/>
      <c r="BS156" s="36"/>
      <c r="BT156" s="17"/>
      <c r="BU156" s="17">
        <v>5.33</v>
      </c>
      <c r="BV156" s="17">
        <v>1.1499999999999999</v>
      </c>
      <c r="BW156" s="17"/>
      <c r="BX156" s="17">
        <v>164</v>
      </c>
      <c r="BY156" s="17">
        <v>5.82</v>
      </c>
      <c r="BZ156" s="17">
        <v>0.98</v>
      </c>
      <c r="CA156" s="17"/>
      <c r="CB156" s="17">
        <v>169</v>
      </c>
      <c r="CC156" s="17">
        <v>1</v>
      </c>
      <c r="CD156" s="37">
        <f t="shared" si="26"/>
        <v>0.45918589489567929</v>
      </c>
      <c r="CE156" s="17">
        <v>333</v>
      </c>
      <c r="CF156" s="22">
        <f t="shared" si="20"/>
        <v>0.45918589489567929</v>
      </c>
      <c r="CG156" s="22">
        <f t="shared" si="23"/>
        <v>0.46623263746577703</v>
      </c>
      <c r="CI156" s="22">
        <f t="shared" si="27"/>
        <v>1.2331314862153313E-2</v>
      </c>
      <c r="CJ156" s="37">
        <f t="shared" si="24"/>
        <v>1.2608635690394115E-2</v>
      </c>
    </row>
    <row r="157" spans="1:88" s="150" customFormat="1" x14ac:dyDescent="0.35">
      <c r="A157" s="29" t="s">
        <v>582</v>
      </c>
      <c r="B157" s="183" t="s">
        <v>583</v>
      </c>
      <c r="C157" s="29" t="s">
        <v>283</v>
      </c>
      <c r="D157" s="184" t="s">
        <v>584</v>
      </c>
      <c r="E157" s="184" t="s">
        <v>585</v>
      </c>
      <c r="F157" s="11" t="s">
        <v>1108</v>
      </c>
      <c r="G157" s="27">
        <v>0</v>
      </c>
      <c r="H157" s="27">
        <v>0</v>
      </c>
      <c r="I157" s="27">
        <v>1</v>
      </c>
      <c r="J157" s="11" t="s">
        <v>1106</v>
      </c>
      <c r="K157" s="82">
        <v>0</v>
      </c>
      <c r="L157" s="31" t="s">
        <v>586</v>
      </c>
      <c r="M157" s="31">
        <v>1</v>
      </c>
      <c r="N157" s="31">
        <v>108</v>
      </c>
      <c r="O157" s="27">
        <v>482</v>
      </c>
      <c r="P157" s="27" t="s">
        <v>196</v>
      </c>
      <c r="Q157" s="27">
        <v>3</v>
      </c>
      <c r="R157" s="27">
        <v>1</v>
      </c>
      <c r="S157" s="32">
        <v>0</v>
      </c>
      <c r="T157" s="27">
        <v>0</v>
      </c>
      <c r="U157" s="27">
        <v>0</v>
      </c>
      <c r="V157" s="27">
        <v>0</v>
      </c>
      <c r="W157" s="27">
        <v>1</v>
      </c>
      <c r="X157" s="27">
        <v>0</v>
      </c>
      <c r="Y157" s="27">
        <v>0</v>
      </c>
      <c r="Z157" s="27">
        <v>1</v>
      </c>
      <c r="AA157" s="97">
        <v>1</v>
      </c>
      <c r="AB157" s="27">
        <v>1</v>
      </c>
      <c r="AC157" s="27" t="s">
        <v>382</v>
      </c>
      <c r="AD157" s="11">
        <v>3.2</v>
      </c>
      <c r="AE157" s="27">
        <v>2.6</v>
      </c>
      <c r="AF157" s="27" t="s">
        <v>455</v>
      </c>
      <c r="AG157" s="27">
        <v>1</v>
      </c>
      <c r="AH157" s="27" t="s">
        <v>35</v>
      </c>
      <c r="AI157" s="27">
        <v>46</v>
      </c>
      <c r="AJ157" s="27">
        <v>40</v>
      </c>
      <c r="AK157" s="27">
        <v>60</v>
      </c>
      <c r="AL157" s="27">
        <v>62</v>
      </c>
      <c r="AM157" s="27">
        <v>50</v>
      </c>
      <c r="AN157" s="27">
        <v>68</v>
      </c>
      <c r="AO157" s="33">
        <v>20.3</v>
      </c>
      <c r="AP157" s="27">
        <v>1</v>
      </c>
      <c r="AQ157" s="27">
        <v>0</v>
      </c>
      <c r="AR157" s="27">
        <v>0</v>
      </c>
      <c r="AS157" s="27">
        <v>0</v>
      </c>
      <c r="AT157" s="27">
        <v>0</v>
      </c>
      <c r="AU157" s="27">
        <v>1</v>
      </c>
      <c r="AV157" s="27">
        <v>1</v>
      </c>
      <c r="AW157" s="27">
        <v>1</v>
      </c>
      <c r="AX157" s="27">
        <v>1</v>
      </c>
      <c r="AY157" s="34" t="s">
        <v>597</v>
      </c>
      <c r="AZ157" s="25" t="s">
        <v>91</v>
      </c>
      <c r="BA157" s="17" t="s">
        <v>183</v>
      </c>
      <c r="BB157" s="150" t="s">
        <v>587</v>
      </c>
      <c r="BC157" s="150" t="s">
        <v>598</v>
      </c>
      <c r="BD157" s="17">
        <v>3</v>
      </c>
      <c r="BE157" s="17">
        <v>7</v>
      </c>
      <c r="BF157" s="17">
        <v>1</v>
      </c>
      <c r="BG157" s="17">
        <v>1</v>
      </c>
      <c r="BH157" s="17">
        <v>0</v>
      </c>
      <c r="BI157" s="17">
        <v>0</v>
      </c>
      <c r="BJ157" s="17">
        <v>0.98</v>
      </c>
      <c r="BK157" s="17">
        <v>0.98</v>
      </c>
      <c r="BL157" s="150" t="s">
        <v>591</v>
      </c>
      <c r="BM157" s="17">
        <v>161</v>
      </c>
      <c r="BN157" s="17"/>
      <c r="BO157" s="17"/>
      <c r="BP157" s="17"/>
      <c r="BQ157" s="17"/>
      <c r="BR157" s="36"/>
      <c r="BS157" s="36"/>
      <c r="BT157" s="17"/>
      <c r="BU157" s="17">
        <v>3.4</v>
      </c>
      <c r="BV157" s="17">
        <v>1.49</v>
      </c>
      <c r="BW157" s="17"/>
      <c r="BX157" s="17">
        <v>164</v>
      </c>
      <c r="BY157" s="17">
        <v>3.84</v>
      </c>
      <c r="BZ157" s="17">
        <v>1.36</v>
      </c>
      <c r="CA157" s="17"/>
      <c r="CB157" s="17">
        <v>169</v>
      </c>
      <c r="CC157" s="17">
        <v>1</v>
      </c>
      <c r="CD157" s="37">
        <f t="shared" si="26"/>
        <v>0.30866351958593369</v>
      </c>
      <c r="CE157" s="17">
        <v>333</v>
      </c>
      <c r="CF157" s="22">
        <f t="shared" si="20"/>
        <v>0.30866351958593369</v>
      </c>
      <c r="CG157" s="22">
        <f t="shared" si="23"/>
        <v>0.31179723972017204</v>
      </c>
      <c r="CI157" s="22">
        <f t="shared" si="27"/>
        <v>1.2157773544213419E-2</v>
      </c>
      <c r="CJ157" s="37">
        <f t="shared" si="24"/>
        <v>1.2280342374707841E-2</v>
      </c>
    </row>
    <row r="158" spans="1:88" s="150" customFormat="1" x14ac:dyDescent="0.35">
      <c r="A158" s="29" t="s">
        <v>582</v>
      </c>
      <c r="B158" s="183" t="s">
        <v>583</v>
      </c>
      <c r="C158" s="29" t="s">
        <v>283</v>
      </c>
      <c r="D158" s="184" t="s">
        <v>584</v>
      </c>
      <c r="E158" s="184" t="s">
        <v>585</v>
      </c>
      <c r="F158" s="11" t="s">
        <v>1108</v>
      </c>
      <c r="G158" s="27">
        <v>0</v>
      </c>
      <c r="H158" s="27">
        <v>0</v>
      </c>
      <c r="I158" s="27">
        <v>1</v>
      </c>
      <c r="J158" s="11" t="s">
        <v>1106</v>
      </c>
      <c r="K158" s="82">
        <v>0</v>
      </c>
      <c r="L158" s="31" t="s">
        <v>586</v>
      </c>
      <c r="M158" s="31">
        <v>1</v>
      </c>
      <c r="N158" s="31">
        <v>108</v>
      </c>
      <c r="O158" s="27">
        <v>482</v>
      </c>
      <c r="P158" s="27" t="s">
        <v>196</v>
      </c>
      <c r="Q158" s="27">
        <v>3</v>
      </c>
      <c r="R158" s="27">
        <v>1</v>
      </c>
      <c r="S158" s="32">
        <v>0</v>
      </c>
      <c r="T158" s="27">
        <v>0</v>
      </c>
      <c r="U158" s="27">
        <v>0</v>
      </c>
      <c r="V158" s="27">
        <v>0</v>
      </c>
      <c r="W158" s="27">
        <v>1</v>
      </c>
      <c r="X158" s="27">
        <v>0</v>
      </c>
      <c r="Y158" s="27">
        <v>0</v>
      </c>
      <c r="Z158" s="27">
        <v>1</v>
      </c>
      <c r="AA158" s="97">
        <v>1</v>
      </c>
      <c r="AB158" s="27">
        <v>1</v>
      </c>
      <c r="AC158" s="27" t="s">
        <v>382</v>
      </c>
      <c r="AD158" s="11">
        <v>3.2</v>
      </c>
      <c r="AE158" s="27">
        <v>2.6</v>
      </c>
      <c r="AF158" s="27" t="s">
        <v>455</v>
      </c>
      <c r="AG158" s="27">
        <v>1</v>
      </c>
      <c r="AH158" s="27" t="s">
        <v>35</v>
      </c>
      <c r="AI158" s="27">
        <v>46</v>
      </c>
      <c r="AJ158" s="27">
        <v>40</v>
      </c>
      <c r="AK158" s="27">
        <v>60</v>
      </c>
      <c r="AL158" s="27">
        <v>62</v>
      </c>
      <c r="AM158" s="27">
        <v>50</v>
      </c>
      <c r="AN158" s="27">
        <v>68</v>
      </c>
      <c r="AO158" s="33">
        <v>20.3</v>
      </c>
      <c r="AP158" s="27">
        <v>1</v>
      </c>
      <c r="AQ158" s="27">
        <v>0</v>
      </c>
      <c r="AR158" s="27">
        <v>0</v>
      </c>
      <c r="AS158" s="27">
        <v>0</v>
      </c>
      <c r="AT158" s="27">
        <v>0</v>
      </c>
      <c r="AU158" s="27">
        <v>1</v>
      </c>
      <c r="AV158" s="27">
        <v>1</v>
      </c>
      <c r="AW158" s="27">
        <v>1</v>
      </c>
      <c r="AX158" s="27">
        <v>1</v>
      </c>
      <c r="AY158" s="34" t="s">
        <v>599</v>
      </c>
      <c r="AZ158" s="25" t="s">
        <v>91</v>
      </c>
      <c r="BA158" s="17" t="s">
        <v>183</v>
      </c>
      <c r="BB158" s="150" t="s">
        <v>600</v>
      </c>
      <c r="BC158" s="150" t="s">
        <v>601</v>
      </c>
      <c r="BD158" s="17">
        <v>2</v>
      </c>
      <c r="BE158" s="17">
        <v>7</v>
      </c>
      <c r="BF158" s="17">
        <v>0</v>
      </c>
      <c r="BG158" s="17">
        <v>0</v>
      </c>
      <c r="BH158" s="17">
        <v>1</v>
      </c>
      <c r="BI158" s="17">
        <v>0</v>
      </c>
      <c r="BJ158" s="17">
        <v>0.87</v>
      </c>
      <c r="BK158" s="17">
        <v>0.87</v>
      </c>
      <c r="BL158" s="150" t="s">
        <v>591</v>
      </c>
      <c r="BM158" s="17">
        <v>161</v>
      </c>
      <c r="BN158" s="17"/>
      <c r="BO158" s="17"/>
      <c r="BP158" s="17"/>
      <c r="BQ158" s="17"/>
      <c r="BR158" s="36"/>
      <c r="BS158" s="36"/>
      <c r="BT158" s="17"/>
      <c r="BU158" s="17">
        <v>3.14</v>
      </c>
      <c r="BV158" s="17">
        <v>1.55</v>
      </c>
      <c r="BW158" s="17"/>
      <c r="BX158" s="17">
        <v>164</v>
      </c>
      <c r="BY158" s="17">
        <v>3.68</v>
      </c>
      <c r="BZ158" s="17">
        <v>1.35</v>
      </c>
      <c r="CA158" s="17"/>
      <c r="CB158" s="17">
        <v>169</v>
      </c>
      <c r="CC158" s="17">
        <v>1</v>
      </c>
      <c r="CD158" s="37">
        <f t="shared" si="26"/>
        <v>0.37191711476351441</v>
      </c>
      <c r="CE158" s="17">
        <v>333</v>
      </c>
      <c r="CF158" s="22">
        <f t="shared" si="20"/>
        <v>0.37191711476351441</v>
      </c>
      <c r="CG158" s="22">
        <f t="shared" si="23"/>
        <v>0.39873700065867052</v>
      </c>
      <c r="CI158" s="22">
        <f t="shared" si="27"/>
        <v>1.2222411940505972E-2</v>
      </c>
      <c r="CJ158" s="37">
        <f t="shared" si="24"/>
        <v>1.2449122912951431E-2</v>
      </c>
    </row>
    <row r="159" spans="1:88" s="150" customFormat="1" x14ac:dyDescent="0.35">
      <c r="A159" s="29" t="s">
        <v>582</v>
      </c>
      <c r="B159" s="183" t="s">
        <v>583</v>
      </c>
      <c r="C159" s="29" t="s">
        <v>283</v>
      </c>
      <c r="D159" s="184" t="s">
        <v>584</v>
      </c>
      <c r="E159" s="184" t="s">
        <v>585</v>
      </c>
      <c r="F159" s="11" t="s">
        <v>1108</v>
      </c>
      <c r="G159" s="27">
        <v>0</v>
      </c>
      <c r="H159" s="27">
        <v>0</v>
      </c>
      <c r="I159" s="27">
        <v>1</v>
      </c>
      <c r="J159" s="11" t="s">
        <v>1106</v>
      </c>
      <c r="K159" s="82">
        <v>0</v>
      </c>
      <c r="L159" s="31" t="s">
        <v>586</v>
      </c>
      <c r="M159" s="31">
        <v>1</v>
      </c>
      <c r="N159" s="31">
        <v>108</v>
      </c>
      <c r="O159" s="27">
        <v>482</v>
      </c>
      <c r="P159" s="27" t="s">
        <v>196</v>
      </c>
      <c r="Q159" s="27">
        <v>3</v>
      </c>
      <c r="R159" s="27">
        <v>1</v>
      </c>
      <c r="S159" s="32">
        <v>0</v>
      </c>
      <c r="T159" s="27">
        <v>0</v>
      </c>
      <c r="U159" s="27">
        <v>0</v>
      </c>
      <c r="V159" s="27">
        <v>0</v>
      </c>
      <c r="W159" s="27">
        <v>1</v>
      </c>
      <c r="X159" s="27">
        <v>0</v>
      </c>
      <c r="Y159" s="27">
        <v>0</v>
      </c>
      <c r="Z159" s="27">
        <v>1</v>
      </c>
      <c r="AA159" s="97">
        <v>1</v>
      </c>
      <c r="AB159" s="27">
        <v>1</v>
      </c>
      <c r="AC159" s="27" t="s">
        <v>382</v>
      </c>
      <c r="AD159" s="11">
        <v>3.2</v>
      </c>
      <c r="AE159" s="27">
        <v>2.6</v>
      </c>
      <c r="AF159" s="27" t="s">
        <v>455</v>
      </c>
      <c r="AG159" s="27">
        <v>1</v>
      </c>
      <c r="AH159" s="27" t="s">
        <v>35</v>
      </c>
      <c r="AI159" s="27">
        <v>46</v>
      </c>
      <c r="AJ159" s="27">
        <v>40</v>
      </c>
      <c r="AK159" s="27">
        <v>60</v>
      </c>
      <c r="AL159" s="27">
        <v>62</v>
      </c>
      <c r="AM159" s="27">
        <v>50</v>
      </c>
      <c r="AN159" s="27">
        <v>68</v>
      </c>
      <c r="AO159" s="33">
        <v>20.3</v>
      </c>
      <c r="AP159" s="27">
        <v>1</v>
      </c>
      <c r="AQ159" s="27">
        <v>0</v>
      </c>
      <c r="AR159" s="27">
        <v>0</v>
      </c>
      <c r="AS159" s="27">
        <v>0</v>
      </c>
      <c r="AT159" s="27">
        <v>0</v>
      </c>
      <c r="AU159" s="27">
        <v>1</v>
      </c>
      <c r="AV159" s="27">
        <v>1</v>
      </c>
      <c r="AW159" s="27">
        <v>1</v>
      </c>
      <c r="AX159" s="27">
        <v>1</v>
      </c>
      <c r="AY159" s="34" t="s">
        <v>602</v>
      </c>
      <c r="AZ159" s="25" t="s">
        <v>91</v>
      </c>
      <c r="BA159" s="17" t="s">
        <v>183</v>
      </c>
      <c r="BB159" s="150" t="s">
        <v>603</v>
      </c>
      <c r="BC159" s="150" t="s">
        <v>604</v>
      </c>
      <c r="BD159" s="17">
        <v>3</v>
      </c>
      <c r="BE159" s="17">
        <v>7</v>
      </c>
      <c r="BF159" s="17">
        <v>0</v>
      </c>
      <c r="BG159" s="17">
        <v>0</v>
      </c>
      <c r="BH159" s="17">
        <v>1</v>
      </c>
      <c r="BI159" s="17">
        <v>0</v>
      </c>
      <c r="BJ159" s="17">
        <v>0.95</v>
      </c>
      <c r="BK159" s="17">
        <v>0.95</v>
      </c>
      <c r="BL159" s="150" t="s">
        <v>591</v>
      </c>
      <c r="BM159" s="17">
        <v>161</v>
      </c>
      <c r="BN159" s="17"/>
      <c r="BO159" s="17"/>
      <c r="BP159" s="17"/>
      <c r="BQ159" s="17"/>
      <c r="BR159" s="36"/>
      <c r="BS159" s="36"/>
      <c r="BT159" s="17"/>
      <c r="BU159" s="17">
        <v>4.71</v>
      </c>
      <c r="BV159" s="17">
        <v>1.59</v>
      </c>
      <c r="BW159" s="17"/>
      <c r="BX159" s="17">
        <v>164</v>
      </c>
      <c r="BY159" s="17">
        <v>5.91</v>
      </c>
      <c r="BZ159" s="17">
        <v>0.88</v>
      </c>
      <c r="CA159" s="17"/>
      <c r="CB159" s="17">
        <v>169</v>
      </c>
      <c r="CC159" s="17">
        <v>1</v>
      </c>
      <c r="CD159" s="37">
        <f t="shared" si="26"/>
        <v>0.93761316486865187</v>
      </c>
      <c r="CE159" s="17">
        <v>333</v>
      </c>
      <c r="CF159" s="22">
        <f t="shared" si="20"/>
        <v>0.93761316486865187</v>
      </c>
      <c r="CG159" s="22">
        <f t="shared" si="23"/>
        <v>0.96197080978528537</v>
      </c>
      <c r="CI159" s="22">
        <f t="shared" si="27"/>
        <v>1.333471840699395E-2</v>
      </c>
      <c r="CJ159" s="37">
        <f t="shared" si="24"/>
        <v>1.4543102812363141E-2</v>
      </c>
    </row>
    <row r="160" spans="1:88" s="150" customFormat="1" ht="18.649999999999999" customHeight="1" x14ac:dyDescent="0.35">
      <c r="A160" s="29" t="s">
        <v>582</v>
      </c>
      <c r="B160" s="183" t="s">
        <v>583</v>
      </c>
      <c r="C160" s="29" t="s">
        <v>283</v>
      </c>
      <c r="D160" s="184" t="s">
        <v>584</v>
      </c>
      <c r="E160" s="184" t="s">
        <v>585</v>
      </c>
      <c r="F160" s="12" t="s">
        <v>1108</v>
      </c>
      <c r="G160" s="27">
        <v>0</v>
      </c>
      <c r="H160" s="27">
        <v>0</v>
      </c>
      <c r="I160" s="27">
        <v>1</v>
      </c>
      <c r="J160" s="11" t="s">
        <v>1106</v>
      </c>
      <c r="K160" s="82">
        <v>0</v>
      </c>
      <c r="L160" s="31" t="s">
        <v>586</v>
      </c>
      <c r="M160" s="31">
        <v>1</v>
      </c>
      <c r="N160" s="31">
        <v>108</v>
      </c>
      <c r="O160" s="27">
        <v>482</v>
      </c>
      <c r="P160" s="27" t="s">
        <v>196</v>
      </c>
      <c r="Q160" s="27">
        <v>3</v>
      </c>
      <c r="R160" s="27">
        <v>2</v>
      </c>
      <c r="S160" s="32">
        <v>0</v>
      </c>
      <c r="T160" s="27">
        <v>0</v>
      </c>
      <c r="U160" s="27">
        <v>0</v>
      </c>
      <c r="V160" s="27">
        <v>0</v>
      </c>
      <c r="W160" s="27">
        <v>1</v>
      </c>
      <c r="X160" s="27">
        <v>0</v>
      </c>
      <c r="Y160" s="27">
        <v>0</v>
      </c>
      <c r="Z160" s="27">
        <v>1</v>
      </c>
      <c r="AA160" s="2">
        <v>1</v>
      </c>
      <c r="AB160" s="27">
        <v>1</v>
      </c>
      <c r="AC160" s="27" t="s">
        <v>382</v>
      </c>
      <c r="AD160" s="12">
        <v>3.2</v>
      </c>
      <c r="AE160" s="27">
        <v>2.6</v>
      </c>
      <c r="AF160" s="27" t="s">
        <v>455</v>
      </c>
      <c r="AG160" s="27">
        <v>1</v>
      </c>
      <c r="AH160" s="27" t="s">
        <v>35</v>
      </c>
      <c r="AI160" s="27">
        <v>46</v>
      </c>
      <c r="AJ160" s="27">
        <v>40</v>
      </c>
      <c r="AK160" s="27">
        <v>60</v>
      </c>
      <c r="AL160" s="27">
        <v>62</v>
      </c>
      <c r="AM160" s="27">
        <v>50</v>
      </c>
      <c r="AN160" s="27">
        <v>68</v>
      </c>
      <c r="AO160" s="33">
        <v>20.3</v>
      </c>
      <c r="AP160" s="27">
        <v>1</v>
      </c>
      <c r="AQ160" s="27">
        <v>1</v>
      </c>
      <c r="AR160" s="27">
        <v>0</v>
      </c>
      <c r="AS160" s="27">
        <v>0</v>
      </c>
      <c r="AT160" s="27">
        <v>1</v>
      </c>
      <c r="AU160" s="27">
        <v>0</v>
      </c>
      <c r="AV160" s="27">
        <v>1</v>
      </c>
      <c r="AW160" s="27">
        <v>1</v>
      </c>
      <c r="AX160" s="27">
        <v>1</v>
      </c>
      <c r="AY160" s="34" t="s">
        <v>605</v>
      </c>
      <c r="AZ160" s="25" t="s">
        <v>91</v>
      </c>
      <c r="BA160" s="17" t="s">
        <v>517</v>
      </c>
      <c r="BB160" s="150" t="s">
        <v>589</v>
      </c>
      <c r="BC160" s="150" t="s">
        <v>590</v>
      </c>
      <c r="BD160" s="17">
        <v>3</v>
      </c>
      <c r="BE160" s="17">
        <v>7</v>
      </c>
      <c r="BF160" s="17">
        <v>1</v>
      </c>
      <c r="BG160" s="17">
        <v>1</v>
      </c>
      <c r="BH160" s="17">
        <v>0</v>
      </c>
      <c r="BI160" s="17">
        <v>0</v>
      </c>
      <c r="BJ160" s="17">
        <v>0.95</v>
      </c>
      <c r="BK160" s="17">
        <v>0.95</v>
      </c>
      <c r="BL160" s="150" t="s">
        <v>591</v>
      </c>
      <c r="BM160" s="17">
        <v>161</v>
      </c>
      <c r="BN160" s="17"/>
      <c r="BO160" s="17"/>
      <c r="BP160" s="17"/>
      <c r="BQ160" s="17"/>
      <c r="BR160" s="36"/>
      <c r="BS160" s="36"/>
      <c r="BT160" s="17"/>
      <c r="BU160" s="17">
        <v>4.82</v>
      </c>
      <c r="BV160" s="17">
        <v>1.19</v>
      </c>
      <c r="BW160" s="17"/>
      <c r="BX160" s="17">
        <v>149</v>
      </c>
      <c r="BY160" s="17">
        <v>5.31</v>
      </c>
      <c r="BZ160" s="17">
        <v>1.05</v>
      </c>
      <c r="CA160" s="17"/>
      <c r="CB160" s="17">
        <v>169</v>
      </c>
      <c r="CC160" s="17">
        <v>1</v>
      </c>
      <c r="CD160" s="37">
        <f t="shared" si="26"/>
        <v>0.43837876546953675</v>
      </c>
      <c r="CE160" s="17">
        <v>318</v>
      </c>
      <c r="CF160" s="22">
        <f t="shared" si="20"/>
        <v>0.43837876546953675</v>
      </c>
      <c r="CG160" s="22">
        <f t="shared" si="23"/>
        <v>0.44976712338555958</v>
      </c>
      <c r="CI160" s="22">
        <f t="shared" si="27"/>
        <v>1.2930732590127322E-2</v>
      </c>
      <c r="CJ160" s="37">
        <f t="shared" si="24"/>
        <v>1.310793045141596E-2</v>
      </c>
    </row>
    <row r="161" spans="1:88" s="150" customFormat="1" x14ac:dyDescent="0.35">
      <c r="A161" s="43" t="s">
        <v>582</v>
      </c>
      <c r="B161" s="188" t="s">
        <v>583</v>
      </c>
      <c r="C161" s="43" t="s">
        <v>283</v>
      </c>
      <c r="D161" s="150" t="s">
        <v>584</v>
      </c>
      <c r="E161" s="150" t="s">
        <v>585</v>
      </c>
      <c r="F161" s="12" t="s">
        <v>1108</v>
      </c>
      <c r="G161" s="17">
        <v>0</v>
      </c>
      <c r="H161" s="17">
        <v>0</v>
      </c>
      <c r="I161" s="17">
        <v>1</v>
      </c>
      <c r="J161" s="11" t="s">
        <v>1106</v>
      </c>
      <c r="K161" s="82">
        <v>0</v>
      </c>
      <c r="L161" s="34" t="s">
        <v>586</v>
      </c>
      <c r="M161" s="34">
        <v>1</v>
      </c>
      <c r="N161" s="34">
        <v>108</v>
      </c>
      <c r="O161" s="17">
        <v>482</v>
      </c>
      <c r="P161" s="17" t="s">
        <v>196</v>
      </c>
      <c r="Q161" s="17">
        <v>3</v>
      </c>
      <c r="R161" s="17">
        <v>2</v>
      </c>
      <c r="S161" s="32">
        <v>0</v>
      </c>
      <c r="T161" s="17">
        <v>0</v>
      </c>
      <c r="U161" s="17">
        <v>0</v>
      </c>
      <c r="V161" s="17">
        <v>0</v>
      </c>
      <c r="W161" s="17">
        <v>1</v>
      </c>
      <c r="X161" s="17">
        <v>0</v>
      </c>
      <c r="Y161" s="17">
        <v>0</v>
      </c>
      <c r="Z161" s="17">
        <v>1</v>
      </c>
      <c r="AA161" s="2">
        <v>1</v>
      </c>
      <c r="AB161" s="17">
        <v>1</v>
      </c>
      <c r="AC161" s="17" t="s">
        <v>382</v>
      </c>
      <c r="AD161" s="12">
        <v>3.2</v>
      </c>
      <c r="AE161" s="17">
        <v>2.6</v>
      </c>
      <c r="AF161" s="17" t="s">
        <v>455</v>
      </c>
      <c r="AG161" s="17">
        <v>1</v>
      </c>
      <c r="AH161" s="17" t="s">
        <v>35</v>
      </c>
      <c r="AI161" s="17">
        <v>46</v>
      </c>
      <c r="AJ161" s="27">
        <v>40</v>
      </c>
      <c r="AK161" s="27">
        <v>60</v>
      </c>
      <c r="AL161" s="27">
        <v>62</v>
      </c>
      <c r="AM161" s="27">
        <v>50</v>
      </c>
      <c r="AN161" s="27">
        <v>68</v>
      </c>
      <c r="AO161" s="37">
        <v>20.3</v>
      </c>
      <c r="AP161" s="17">
        <v>1</v>
      </c>
      <c r="AQ161" s="17">
        <v>1</v>
      </c>
      <c r="AR161" s="17">
        <v>0</v>
      </c>
      <c r="AS161" s="17">
        <v>0</v>
      </c>
      <c r="AT161" s="17">
        <v>1</v>
      </c>
      <c r="AU161" s="17">
        <v>0</v>
      </c>
      <c r="AV161" s="17">
        <v>1</v>
      </c>
      <c r="AW161" s="17">
        <v>1</v>
      </c>
      <c r="AX161" s="17">
        <v>1</v>
      </c>
      <c r="AY161" s="34" t="s">
        <v>606</v>
      </c>
      <c r="AZ161" s="25" t="s">
        <v>91</v>
      </c>
      <c r="BA161" s="17" t="s">
        <v>517</v>
      </c>
      <c r="BB161" s="150" t="s">
        <v>593</v>
      </c>
      <c r="BC161" s="150" t="s">
        <v>594</v>
      </c>
      <c r="BD161" s="17">
        <v>3</v>
      </c>
      <c r="BE161" s="17">
        <v>7</v>
      </c>
      <c r="BF161" s="17">
        <v>1</v>
      </c>
      <c r="BG161" s="17">
        <v>1</v>
      </c>
      <c r="BH161" s="17">
        <v>0</v>
      </c>
      <c r="BI161" s="17">
        <v>0</v>
      </c>
      <c r="BJ161" s="17">
        <v>0.96</v>
      </c>
      <c r="BK161" s="17">
        <v>0.96</v>
      </c>
      <c r="BL161" s="150" t="s">
        <v>591</v>
      </c>
      <c r="BM161" s="17">
        <v>161</v>
      </c>
      <c r="BN161" s="17"/>
      <c r="BO161" s="17"/>
      <c r="BP161" s="17"/>
      <c r="BQ161" s="17"/>
      <c r="BR161" s="36"/>
      <c r="BS161" s="36"/>
      <c r="BT161" s="17"/>
      <c r="BU161" s="17">
        <v>5.3</v>
      </c>
      <c r="BV161" s="17">
        <v>1.03</v>
      </c>
      <c r="BW161" s="17"/>
      <c r="BX161" s="17">
        <v>149</v>
      </c>
      <c r="BY161" s="17">
        <v>5.49</v>
      </c>
      <c r="BZ161" s="17">
        <v>0.94</v>
      </c>
      <c r="CA161" s="17"/>
      <c r="CB161" s="17">
        <v>169</v>
      </c>
      <c r="CC161" s="17">
        <v>0</v>
      </c>
      <c r="CD161" s="37">
        <f t="shared" si="26"/>
        <v>0.19325083999716447</v>
      </c>
      <c r="CE161" s="17">
        <v>318</v>
      </c>
      <c r="CF161" s="22">
        <f t="shared" si="20"/>
        <v>0.19325083999716447</v>
      </c>
      <c r="CG161" s="22">
        <f t="shared" si="23"/>
        <v>0.1972358126488698</v>
      </c>
      <c r="CI161" s="22">
        <f t="shared" si="27"/>
        <v>1.2687289107650929E-2</v>
      </c>
      <c r="CJ161" s="37">
        <f t="shared" si="24"/>
        <v>1.2720753912346621E-2</v>
      </c>
    </row>
    <row r="162" spans="1:88" s="150" customFormat="1" x14ac:dyDescent="0.35">
      <c r="A162" s="29" t="s">
        <v>582</v>
      </c>
      <c r="B162" s="183" t="s">
        <v>583</v>
      </c>
      <c r="C162" s="29" t="s">
        <v>283</v>
      </c>
      <c r="D162" s="184" t="s">
        <v>584</v>
      </c>
      <c r="E162" s="184" t="s">
        <v>585</v>
      </c>
      <c r="F162" s="12" t="s">
        <v>1108</v>
      </c>
      <c r="G162" s="27">
        <v>0</v>
      </c>
      <c r="H162" s="27">
        <v>0</v>
      </c>
      <c r="I162" s="27">
        <v>1</v>
      </c>
      <c r="J162" s="11" t="s">
        <v>1106</v>
      </c>
      <c r="K162" s="82">
        <v>0</v>
      </c>
      <c r="L162" s="31" t="s">
        <v>586</v>
      </c>
      <c r="M162" s="31">
        <v>1</v>
      </c>
      <c r="N162" s="31">
        <v>108</v>
      </c>
      <c r="O162" s="27">
        <v>482</v>
      </c>
      <c r="P162" s="27" t="s">
        <v>196</v>
      </c>
      <c r="Q162" s="27">
        <v>3</v>
      </c>
      <c r="R162" s="27">
        <v>2</v>
      </c>
      <c r="S162" s="32">
        <v>0</v>
      </c>
      <c r="T162" s="27">
        <v>0</v>
      </c>
      <c r="U162" s="27">
        <v>0</v>
      </c>
      <c r="V162" s="27">
        <v>0</v>
      </c>
      <c r="W162" s="27">
        <v>1</v>
      </c>
      <c r="X162" s="27">
        <v>0</v>
      </c>
      <c r="Y162" s="27">
        <v>0</v>
      </c>
      <c r="Z162" s="27">
        <v>1</v>
      </c>
      <c r="AA162" s="2">
        <v>1</v>
      </c>
      <c r="AB162" s="27">
        <v>1</v>
      </c>
      <c r="AC162" s="27" t="s">
        <v>382</v>
      </c>
      <c r="AD162" s="12">
        <v>3.2</v>
      </c>
      <c r="AE162" s="27">
        <v>2.6</v>
      </c>
      <c r="AF162" s="27" t="s">
        <v>455</v>
      </c>
      <c r="AG162" s="27">
        <v>1</v>
      </c>
      <c r="AH162" s="27" t="s">
        <v>35</v>
      </c>
      <c r="AI162" s="27">
        <v>46</v>
      </c>
      <c r="AJ162" s="27">
        <v>40</v>
      </c>
      <c r="AK162" s="27">
        <v>60</v>
      </c>
      <c r="AL162" s="27">
        <v>62</v>
      </c>
      <c r="AM162" s="27">
        <v>50</v>
      </c>
      <c r="AN162" s="27">
        <v>68</v>
      </c>
      <c r="AO162" s="33">
        <v>20.3</v>
      </c>
      <c r="AP162" s="27">
        <v>1</v>
      </c>
      <c r="AQ162" s="27">
        <v>1</v>
      </c>
      <c r="AR162" s="27">
        <v>0</v>
      </c>
      <c r="AS162" s="27">
        <v>0</v>
      </c>
      <c r="AT162" s="27">
        <v>1</v>
      </c>
      <c r="AU162" s="27">
        <v>0</v>
      </c>
      <c r="AV162" s="27">
        <v>1</v>
      </c>
      <c r="AW162" s="27">
        <v>1</v>
      </c>
      <c r="AX162" s="27">
        <v>1</v>
      </c>
      <c r="AY162" s="34" t="s">
        <v>607</v>
      </c>
      <c r="AZ162" s="25" t="s">
        <v>91</v>
      </c>
      <c r="BA162" s="17" t="s">
        <v>517</v>
      </c>
      <c r="BB162" s="150" t="s">
        <v>201</v>
      </c>
      <c r="BC162" s="150" t="s">
        <v>596</v>
      </c>
      <c r="BD162" s="17">
        <v>3</v>
      </c>
      <c r="BE162" s="17">
        <v>7</v>
      </c>
      <c r="BF162" s="17">
        <v>1</v>
      </c>
      <c r="BG162" s="17">
        <v>1</v>
      </c>
      <c r="BH162" s="17">
        <v>0</v>
      </c>
      <c r="BI162" s="17">
        <v>0</v>
      </c>
      <c r="BJ162" s="17">
        <v>0.97</v>
      </c>
      <c r="BK162" s="17">
        <v>0.97</v>
      </c>
      <c r="BL162" s="150" t="s">
        <v>591</v>
      </c>
      <c r="BM162" s="17">
        <v>161</v>
      </c>
      <c r="BN162" s="17"/>
      <c r="BO162" s="17"/>
      <c r="BP162" s="17"/>
      <c r="BQ162" s="17"/>
      <c r="BR162" s="36"/>
      <c r="BS162" s="36"/>
      <c r="BT162" s="17"/>
      <c r="BU162" s="17">
        <v>5.49</v>
      </c>
      <c r="BV162" s="17">
        <v>1</v>
      </c>
      <c r="BW162" s="17"/>
      <c r="BX162" s="17">
        <v>149</v>
      </c>
      <c r="BY162" s="17">
        <v>5.82</v>
      </c>
      <c r="BZ162" s="17">
        <v>0.98</v>
      </c>
      <c r="CA162" s="17"/>
      <c r="CB162" s="17">
        <v>169</v>
      </c>
      <c r="CC162" s="17">
        <v>1</v>
      </c>
      <c r="CD162" s="37">
        <f t="shared" si="26"/>
        <v>0.33352960295669865</v>
      </c>
      <c r="CE162" s="17">
        <v>318</v>
      </c>
      <c r="CF162" s="22">
        <f t="shared" si="20"/>
        <v>0.33352960295669865</v>
      </c>
      <c r="CG162" s="22">
        <f t="shared" si="23"/>
        <v>0.33864800332062256</v>
      </c>
      <c r="CI162" s="22">
        <f t="shared" si="27"/>
        <v>1.2803477958105085E-2</v>
      </c>
      <c r="CJ162" s="37">
        <f t="shared" si="24"/>
        <v>1.2900328567232366E-2</v>
      </c>
    </row>
    <row r="163" spans="1:88" s="150" customFormat="1" x14ac:dyDescent="0.35">
      <c r="A163" s="29" t="s">
        <v>582</v>
      </c>
      <c r="B163" s="183" t="s">
        <v>583</v>
      </c>
      <c r="C163" s="29" t="s">
        <v>283</v>
      </c>
      <c r="D163" s="184" t="s">
        <v>584</v>
      </c>
      <c r="E163" s="184" t="s">
        <v>585</v>
      </c>
      <c r="F163" s="11" t="s">
        <v>1108</v>
      </c>
      <c r="G163" s="27">
        <v>0</v>
      </c>
      <c r="H163" s="27">
        <v>0</v>
      </c>
      <c r="I163" s="27">
        <v>1</v>
      </c>
      <c r="J163" s="11" t="s">
        <v>1106</v>
      </c>
      <c r="K163" s="82">
        <v>0</v>
      </c>
      <c r="L163" s="34" t="s">
        <v>586</v>
      </c>
      <c r="M163" s="31">
        <v>1</v>
      </c>
      <c r="N163" s="31">
        <v>108</v>
      </c>
      <c r="O163" s="27">
        <v>482</v>
      </c>
      <c r="P163" s="27" t="s">
        <v>196</v>
      </c>
      <c r="Q163" s="27">
        <v>3</v>
      </c>
      <c r="R163" s="27">
        <v>2</v>
      </c>
      <c r="S163" s="32">
        <v>0</v>
      </c>
      <c r="T163" s="27">
        <v>0</v>
      </c>
      <c r="U163" s="27">
        <v>0</v>
      </c>
      <c r="V163" s="27">
        <v>0</v>
      </c>
      <c r="W163" s="27">
        <v>1</v>
      </c>
      <c r="X163" s="27">
        <v>0</v>
      </c>
      <c r="Y163" s="27">
        <v>0</v>
      </c>
      <c r="Z163" s="27">
        <v>1</v>
      </c>
      <c r="AA163" s="97">
        <v>1</v>
      </c>
      <c r="AB163" s="27">
        <v>1</v>
      </c>
      <c r="AC163" s="27" t="s">
        <v>382</v>
      </c>
      <c r="AD163" s="11">
        <v>3.2</v>
      </c>
      <c r="AE163" s="27">
        <v>2.6</v>
      </c>
      <c r="AF163" s="27" t="s">
        <v>455</v>
      </c>
      <c r="AG163" s="27">
        <v>1</v>
      </c>
      <c r="AH163" s="27" t="s">
        <v>35</v>
      </c>
      <c r="AI163" s="27">
        <v>46</v>
      </c>
      <c r="AJ163" s="27">
        <v>40</v>
      </c>
      <c r="AK163" s="27">
        <v>60</v>
      </c>
      <c r="AL163" s="27">
        <v>62</v>
      </c>
      <c r="AM163" s="27">
        <v>50</v>
      </c>
      <c r="AN163" s="27">
        <v>68</v>
      </c>
      <c r="AO163" s="33">
        <v>20.3</v>
      </c>
      <c r="AP163" s="27">
        <v>1</v>
      </c>
      <c r="AQ163" s="27">
        <v>1</v>
      </c>
      <c r="AR163" s="27">
        <v>0</v>
      </c>
      <c r="AS163" s="27">
        <v>0</v>
      </c>
      <c r="AT163" s="27">
        <v>1</v>
      </c>
      <c r="AU163" s="27">
        <v>0</v>
      </c>
      <c r="AV163" s="27">
        <v>1</v>
      </c>
      <c r="AW163" s="27">
        <v>1</v>
      </c>
      <c r="AX163" s="27">
        <v>1</v>
      </c>
      <c r="AY163" s="34" t="s">
        <v>608</v>
      </c>
      <c r="AZ163" s="25" t="s">
        <v>91</v>
      </c>
      <c r="BA163" s="17" t="s">
        <v>517</v>
      </c>
      <c r="BB163" s="150" t="s">
        <v>587</v>
      </c>
      <c r="BC163" s="150" t="s">
        <v>598</v>
      </c>
      <c r="BD163" s="17">
        <v>3</v>
      </c>
      <c r="BE163" s="17">
        <v>7</v>
      </c>
      <c r="BF163" s="17">
        <v>1</v>
      </c>
      <c r="BG163" s="17">
        <v>1</v>
      </c>
      <c r="BH163" s="17">
        <v>0</v>
      </c>
      <c r="BI163" s="17">
        <v>0</v>
      </c>
      <c r="BJ163" s="17">
        <v>0.98</v>
      </c>
      <c r="BK163" s="17">
        <v>0.98</v>
      </c>
      <c r="BL163" s="150" t="s">
        <v>591</v>
      </c>
      <c r="BM163" s="17">
        <v>161</v>
      </c>
      <c r="BN163" s="17"/>
      <c r="BO163" s="17"/>
      <c r="BP163" s="17"/>
      <c r="BQ163" s="17"/>
      <c r="BR163" s="36"/>
      <c r="BS163" s="36"/>
      <c r="BT163" s="17"/>
      <c r="BU163" s="17">
        <v>5.41</v>
      </c>
      <c r="BV163" s="17">
        <v>1.21</v>
      </c>
      <c r="BW163" s="17"/>
      <c r="BX163" s="17">
        <v>149</v>
      </c>
      <c r="BY163" s="17">
        <v>5.91</v>
      </c>
      <c r="BZ163" s="17">
        <v>0.88</v>
      </c>
      <c r="CA163" s="17"/>
      <c r="CB163" s="17">
        <v>169</v>
      </c>
      <c r="CC163" s="17">
        <v>1</v>
      </c>
      <c r="CD163" s="37">
        <f t="shared" si="26"/>
        <v>0.47729047495421556</v>
      </c>
      <c r="CE163" s="17">
        <v>318</v>
      </c>
      <c r="CF163" s="22">
        <f t="shared" si="20"/>
        <v>0.47729047495421556</v>
      </c>
      <c r="CG163" s="22">
        <f t="shared" si="23"/>
        <v>0.48213618776553402</v>
      </c>
      <c r="CI163" s="22">
        <f t="shared" si="27"/>
        <v>1.298675500438428E-2</v>
      </c>
      <c r="CJ163" s="37">
        <f t="shared" si="24"/>
        <v>1.3179411110834352E-2</v>
      </c>
    </row>
    <row r="164" spans="1:88" s="150" customFormat="1" x14ac:dyDescent="0.35">
      <c r="A164" s="29" t="s">
        <v>582</v>
      </c>
      <c r="B164" s="183" t="s">
        <v>583</v>
      </c>
      <c r="C164" s="29" t="s">
        <v>283</v>
      </c>
      <c r="D164" s="184" t="s">
        <v>584</v>
      </c>
      <c r="E164" s="184" t="s">
        <v>585</v>
      </c>
      <c r="F164" s="12" t="s">
        <v>1108</v>
      </c>
      <c r="G164" s="27">
        <v>0</v>
      </c>
      <c r="H164" s="27">
        <v>0</v>
      </c>
      <c r="I164" s="27">
        <v>1</v>
      </c>
      <c r="J164" s="11" t="s">
        <v>1106</v>
      </c>
      <c r="K164" s="82">
        <v>0</v>
      </c>
      <c r="L164" s="31" t="s">
        <v>586</v>
      </c>
      <c r="M164" s="31">
        <v>1</v>
      </c>
      <c r="N164" s="31">
        <v>108</v>
      </c>
      <c r="O164" s="27">
        <v>482</v>
      </c>
      <c r="P164" s="27" t="s">
        <v>196</v>
      </c>
      <c r="Q164" s="27">
        <v>3</v>
      </c>
      <c r="R164" s="27">
        <v>2</v>
      </c>
      <c r="S164" s="32">
        <v>0</v>
      </c>
      <c r="T164" s="27">
        <v>0</v>
      </c>
      <c r="U164" s="27">
        <v>0</v>
      </c>
      <c r="V164" s="27">
        <v>0</v>
      </c>
      <c r="W164" s="27">
        <v>1</v>
      </c>
      <c r="X164" s="27">
        <v>0</v>
      </c>
      <c r="Y164" s="27">
        <v>0</v>
      </c>
      <c r="Z164" s="27">
        <v>1</v>
      </c>
      <c r="AA164" s="97">
        <v>1</v>
      </c>
      <c r="AB164" s="27">
        <v>1</v>
      </c>
      <c r="AC164" s="27" t="s">
        <v>382</v>
      </c>
      <c r="AD164" s="11">
        <v>3.2</v>
      </c>
      <c r="AE164" s="27">
        <v>2.6</v>
      </c>
      <c r="AF164" s="27" t="s">
        <v>455</v>
      </c>
      <c r="AG164" s="27">
        <v>1</v>
      </c>
      <c r="AH164" s="27" t="s">
        <v>35</v>
      </c>
      <c r="AI164" s="27">
        <v>46</v>
      </c>
      <c r="AJ164" s="27">
        <v>40</v>
      </c>
      <c r="AK164" s="27">
        <v>60</v>
      </c>
      <c r="AL164" s="27">
        <v>62</v>
      </c>
      <c r="AM164" s="27">
        <v>50</v>
      </c>
      <c r="AN164" s="27">
        <v>68</v>
      </c>
      <c r="AO164" s="33">
        <v>20.3</v>
      </c>
      <c r="AP164" s="27">
        <v>1</v>
      </c>
      <c r="AQ164" s="27">
        <v>1</v>
      </c>
      <c r="AR164" s="27">
        <v>0</v>
      </c>
      <c r="AS164" s="27">
        <v>0</v>
      </c>
      <c r="AT164" s="27">
        <v>1</v>
      </c>
      <c r="AU164" s="27">
        <v>0</v>
      </c>
      <c r="AV164" s="27">
        <v>1</v>
      </c>
      <c r="AW164" s="27">
        <v>1</v>
      </c>
      <c r="AX164" s="27">
        <v>1</v>
      </c>
      <c r="AY164" s="34" t="s">
        <v>609</v>
      </c>
      <c r="AZ164" s="25" t="s">
        <v>91</v>
      </c>
      <c r="BA164" s="17" t="s">
        <v>517</v>
      </c>
      <c r="BB164" s="150" t="s">
        <v>610</v>
      </c>
      <c r="BC164" s="150" t="s">
        <v>601</v>
      </c>
      <c r="BD164" s="17">
        <v>2</v>
      </c>
      <c r="BE164" s="17">
        <v>7</v>
      </c>
      <c r="BF164" s="17">
        <v>0</v>
      </c>
      <c r="BG164" s="17">
        <v>0</v>
      </c>
      <c r="BH164" s="17">
        <v>1</v>
      </c>
      <c r="BI164" s="17">
        <v>0</v>
      </c>
      <c r="BJ164" s="17">
        <v>0.87</v>
      </c>
      <c r="BK164" s="17">
        <v>0.87</v>
      </c>
      <c r="BL164" s="150" t="s">
        <v>591</v>
      </c>
      <c r="BM164" s="17">
        <v>161</v>
      </c>
      <c r="BN164" s="17"/>
      <c r="BO164" s="17"/>
      <c r="BP164" s="17"/>
      <c r="BQ164" s="17"/>
      <c r="BR164" s="36"/>
      <c r="BS164" s="36"/>
      <c r="BT164" s="17"/>
      <c r="BU164" s="17">
        <v>3.33</v>
      </c>
      <c r="BV164" s="17">
        <v>1.45</v>
      </c>
      <c r="BW164" s="17"/>
      <c r="BX164" s="17">
        <v>149</v>
      </c>
      <c r="BY164" s="17">
        <v>3.68</v>
      </c>
      <c r="BZ164" s="17">
        <v>1.35</v>
      </c>
      <c r="CA164" s="17"/>
      <c r="CB164" s="17">
        <v>169</v>
      </c>
      <c r="CC164" s="17">
        <v>0</v>
      </c>
      <c r="CD164" s="37">
        <f t="shared" si="26"/>
        <v>0.25040665072336293</v>
      </c>
      <c r="CE164" s="17">
        <v>318</v>
      </c>
      <c r="CF164" s="22">
        <f t="shared" si="20"/>
        <v>0.25040665072336293</v>
      </c>
      <c r="CG164" s="22">
        <f t="shared" si="23"/>
        <v>0.26846410904726697</v>
      </c>
      <c r="CI164" s="22">
        <f t="shared" si="27"/>
        <v>1.2727159553510808E-2</v>
      </c>
      <c r="CJ164" s="37">
        <f t="shared" si="24"/>
        <v>1.28143242568294E-2</v>
      </c>
    </row>
    <row r="165" spans="1:88" s="150" customFormat="1" x14ac:dyDescent="0.35">
      <c r="A165" s="38" t="s">
        <v>582</v>
      </c>
      <c r="B165" s="185" t="s">
        <v>583</v>
      </c>
      <c r="C165" s="38" t="s">
        <v>283</v>
      </c>
      <c r="D165" s="186" t="s">
        <v>584</v>
      </c>
      <c r="E165" s="186" t="s">
        <v>585</v>
      </c>
      <c r="F165" s="18" t="s">
        <v>1108</v>
      </c>
      <c r="G165" s="28">
        <v>0</v>
      </c>
      <c r="H165" s="28">
        <v>0</v>
      </c>
      <c r="I165" s="28">
        <v>1</v>
      </c>
      <c r="J165" s="18" t="s">
        <v>1106</v>
      </c>
      <c r="K165" s="83">
        <v>0</v>
      </c>
      <c r="L165" s="40" t="s">
        <v>586</v>
      </c>
      <c r="M165" s="40">
        <v>1</v>
      </c>
      <c r="N165" s="40">
        <v>108</v>
      </c>
      <c r="O165" s="28">
        <v>482</v>
      </c>
      <c r="P165" s="28" t="s">
        <v>196</v>
      </c>
      <c r="Q165" s="28">
        <v>3</v>
      </c>
      <c r="R165" s="28">
        <v>2</v>
      </c>
      <c r="S165" s="41">
        <v>0</v>
      </c>
      <c r="T165" s="28">
        <v>0</v>
      </c>
      <c r="U165" s="28">
        <v>0</v>
      </c>
      <c r="V165" s="28">
        <v>0</v>
      </c>
      <c r="W165" s="28">
        <v>1</v>
      </c>
      <c r="X165" s="28">
        <v>0</v>
      </c>
      <c r="Y165" s="28">
        <v>0</v>
      </c>
      <c r="Z165" s="28">
        <v>1</v>
      </c>
      <c r="AA165" s="92">
        <v>1</v>
      </c>
      <c r="AB165" s="28">
        <v>1</v>
      </c>
      <c r="AC165" s="28" t="s">
        <v>382</v>
      </c>
      <c r="AD165" s="18">
        <v>3.2</v>
      </c>
      <c r="AE165" s="28">
        <v>2.6</v>
      </c>
      <c r="AF165" s="28" t="s">
        <v>455</v>
      </c>
      <c r="AG165" s="28">
        <v>1</v>
      </c>
      <c r="AH165" s="28" t="s">
        <v>35</v>
      </c>
      <c r="AI165" s="28">
        <v>46</v>
      </c>
      <c r="AJ165" s="28">
        <v>40</v>
      </c>
      <c r="AK165" s="28">
        <v>60</v>
      </c>
      <c r="AL165" s="28">
        <v>62</v>
      </c>
      <c r="AM165" s="28">
        <v>50</v>
      </c>
      <c r="AN165" s="28">
        <v>68</v>
      </c>
      <c r="AO165" s="42">
        <v>20.3</v>
      </c>
      <c r="AP165" s="28">
        <v>1</v>
      </c>
      <c r="AQ165" s="28">
        <v>1</v>
      </c>
      <c r="AR165" s="28">
        <v>0</v>
      </c>
      <c r="AS165" s="28">
        <v>0</v>
      </c>
      <c r="AT165" s="28">
        <v>1</v>
      </c>
      <c r="AU165" s="28">
        <v>0</v>
      </c>
      <c r="AV165" s="28">
        <v>1</v>
      </c>
      <c r="AW165" s="28">
        <v>1</v>
      </c>
      <c r="AX165" s="28">
        <v>1</v>
      </c>
      <c r="AY165" s="34" t="s">
        <v>611</v>
      </c>
      <c r="AZ165" s="25" t="s">
        <v>91</v>
      </c>
      <c r="BA165" s="17" t="s">
        <v>517</v>
      </c>
      <c r="BB165" s="150" t="s">
        <v>46</v>
      </c>
      <c r="BC165" s="150" t="s">
        <v>604</v>
      </c>
      <c r="BD165" s="17">
        <v>3</v>
      </c>
      <c r="BE165" s="17">
        <v>7</v>
      </c>
      <c r="BF165" s="17">
        <v>0</v>
      </c>
      <c r="BG165" s="17">
        <v>0</v>
      </c>
      <c r="BH165" s="17">
        <v>1</v>
      </c>
      <c r="BI165" s="17">
        <v>0</v>
      </c>
      <c r="BJ165" s="17">
        <v>0.95</v>
      </c>
      <c r="BK165" s="17">
        <v>0.95</v>
      </c>
      <c r="BL165" s="150" t="s">
        <v>591</v>
      </c>
      <c r="BM165" s="17">
        <v>161</v>
      </c>
      <c r="BN165" s="17"/>
      <c r="BO165" s="17"/>
      <c r="BP165" s="17"/>
      <c r="BQ165" s="17"/>
      <c r="BR165" s="36"/>
      <c r="BS165" s="36"/>
      <c r="BT165" s="17"/>
      <c r="BU165" s="17">
        <v>3.66</v>
      </c>
      <c r="BV165" s="17">
        <v>1.45</v>
      </c>
      <c r="BW165" s="17"/>
      <c r="BX165" s="17">
        <v>149</v>
      </c>
      <c r="BY165" s="17">
        <v>3.84</v>
      </c>
      <c r="BZ165" s="17">
        <v>1.36</v>
      </c>
      <c r="CA165" s="17"/>
      <c r="CB165" s="17">
        <v>169</v>
      </c>
      <c r="CC165" s="17">
        <v>0</v>
      </c>
      <c r="CD165" s="37">
        <f t="shared" si="26"/>
        <v>0.12830831165181297</v>
      </c>
      <c r="CE165" s="17">
        <v>318</v>
      </c>
      <c r="CF165" s="22">
        <f t="shared" si="20"/>
        <v>0.12830831165181297</v>
      </c>
      <c r="CG165" s="22">
        <f t="shared" si="23"/>
        <v>0.13164155014735546</v>
      </c>
      <c r="CI165" s="22">
        <f t="shared" si="27"/>
        <v>1.2654454415322831E-2</v>
      </c>
      <c r="CJ165" s="37">
        <f t="shared" si="24"/>
        <v>1.2673232813217687E-2</v>
      </c>
    </row>
    <row r="166" spans="1:88" s="150" customFormat="1" x14ac:dyDescent="0.35">
      <c r="A166" s="38" t="s">
        <v>612</v>
      </c>
      <c r="B166" s="185" t="s">
        <v>613</v>
      </c>
      <c r="C166" s="38" t="s">
        <v>174</v>
      </c>
      <c r="D166" s="186" t="s">
        <v>614</v>
      </c>
      <c r="E166" s="186" t="s">
        <v>615</v>
      </c>
      <c r="F166" s="18" t="s">
        <v>1109</v>
      </c>
      <c r="G166" s="28">
        <v>0</v>
      </c>
      <c r="H166" s="28">
        <v>1</v>
      </c>
      <c r="I166" s="28">
        <v>1</v>
      </c>
      <c r="J166" s="20" t="s">
        <v>1106</v>
      </c>
      <c r="K166" s="83">
        <v>1</v>
      </c>
      <c r="L166" s="40" t="s">
        <v>616</v>
      </c>
      <c r="M166" s="40">
        <v>1</v>
      </c>
      <c r="N166" s="40">
        <v>78</v>
      </c>
      <c r="O166" s="28">
        <v>244</v>
      </c>
      <c r="P166" s="28" t="s">
        <v>31</v>
      </c>
      <c r="Q166" s="28">
        <v>2</v>
      </c>
      <c r="R166" s="28">
        <v>1</v>
      </c>
      <c r="S166" s="46">
        <v>0</v>
      </c>
      <c r="T166" s="28">
        <v>0</v>
      </c>
      <c r="U166" s="28">
        <v>0</v>
      </c>
      <c r="V166" s="28">
        <v>0</v>
      </c>
      <c r="W166" s="28">
        <v>1</v>
      </c>
      <c r="X166" s="28">
        <v>0</v>
      </c>
      <c r="Y166" s="28">
        <v>0</v>
      </c>
      <c r="Z166" s="28">
        <v>1</v>
      </c>
      <c r="AA166" s="18">
        <v>1</v>
      </c>
      <c r="AB166" s="28">
        <v>0</v>
      </c>
      <c r="AC166" s="28" t="s">
        <v>617</v>
      </c>
      <c r="AD166" s="18">
        <v>2.4</v>
      </c>
      <c r="AE166" s="28">
        <v>2.8</v>
      </c>
      <c r="AF166" s="28" t="s">
        <v>58</v>
      </c>
      <c r="AG166" s="28">
        <v>0</v>
      </c>
      <c r="AH166" s="28" t="s">
        <v>35</v>
      </c>
      <c r="AI166" s="28">
        <v>46</v>
      </c>
      <c r="AJ166" s="26">
        <v>40</v>
      </c>
      <c r="AK166" s="26">
        <v>60</v>
      </c>
      <c r="AL166" s="26">
        <v>62</v>
      </c>
      <c r="AM166" s="26">
        <v>50</v>
      </c>
      <c r="AN166" s="26">
        <v>68</v>
      </c>
      <c r="AO166" s="42">
        <v>22</v>
      </c>
      <c r="AP166" s="28">
        <v>1</v>
      </c>
      <c r="AQ166" s="28">
        <v>0</v>
      </c>
      <c r="AR166" s="28">
        <v>0</v>
      </c>
      <c r="AS166" s="28">
        <v>0</v>
      </c>
      <c r="AT166" s="28">
        <v>0</v>
      </c>
      <c r="AU166" s="28">
        <v>1</v>
      </c>
      <c r="AV166" s="28">
        <v>0</v>
      </c>
      <c r="AW166" s="28">
        <v>1</v>
      </c>
      <c r="AX166" s="28">
        <v>1</v>
      </c>
      <c r="AY166" s="34" t="s">
        <v>618</v>
      </c>
      <c r="AZ166" s="25" t="s">
        <v>619</v>
      </c>
      <c r="BA166" s="17" t="s">
        <v>183</v>
      </c>
      <c r="BB166" s="150" t="s">
        <v>620</v>
      </c>
      <c r="BD166" s="17">
        <v>1</v>
      </c>
      <c r="BE166" s="17">
        <v>5</v>
      </c>
      <c r="BF166" s="17">
        <v>0</v>
      </c>
      <c r="BG166" s="17">
        <v>0</v>
      </c>
      <c r="BH166" s="17">
        <v>1</v>
      </c>
      <c r="BI166" s="17">
        <v>0</v>
      </c>
      <c r="BJ166" s="17"/>
      <c r="BK166" s="17">
        <v>0.8</v>
      </c>
      <c r="BM166" s="17">
        <v>82</v>
      </c>
      <c r="BN166" s="17">
        <v>0.15</v>
      </c>
      <c r="BO166" s="17" t="s">
        <v>294</v>
      </c>
      <c r="BP166" s="17"/>
      <c r="BQ166" s="17"/>
      <c r="BR166" s="36"/>
      <c r="BS166" s="36"/>
      <c r="BT166" s="17"/>
      <c r="BU166" s="17"/>
      <c r="BV166" s="17"/>
      <c r="BW166" s="17"/>
      <c r="BX166" s="17"/>
      <c r="BY166" s="17"/>
      <c r="BZ166" s="17"/>
      <c r="CA166" s="17"/>
      <c r="CB166" s="17"/>
      <c r="CC166" s="17">
        <v>0</v>
      </c>
      <c r="CD166" s="22">
        <f>( 2*BN166)/(SQRT(1-(BN166^2)))</f>
        <v>0.30343304245450414</v>
      </c>
      <c r="CE166" s="17">
        <v>244</v>
      </c>
      <c r="CF166" s="22">
        <f t="shared" si="20"/>
        <v>0.30343304245450414</v>
      </c>
      <c r="CG166" s="22">
        <f t="shared" si="23"/>
        <v>0.33924845477392546</v>
      </c>
      <c r="CH166" s="187">
        <f>((1-BN166)^2)/(O166-1)</f>
        <v>2.973251028806584E-3</v>
      </c>
      <c r="CI166" s="37">
        <f>(4*CH166)/((1-(BN166^2))^3)</f>
        <v>1.2733308785901487E-2</v>
      </c>
      <c r="CJ166" s="37">
        <f>(4*CH166)/((1-(BN166^2))^3)</f>
        <v>1.2733308785901487E-2</v>
      </c>
    </row>
    <row r="167" spans="1:88" s="150" customFormat="1" ht="14.15" customHeight="1" x14ac:dyDescent="0.35">
      <c r="A167" s="29" t="s">
        <v>621</v>
      </c>
      <c r="B167" s="183" t="s">
        <v>622</v>
      </c>
      <c r="C167" s="29" t="s">
        <v>192</v>
      </c>
      <c r="D167" s="184" t="s">
        <v>623</v>
      </c>
      <c r="E167" s="184" t="s">
        <v>54</v>
      </c>
      <c r="F167" s="11" t="s">
        <v>1109</v>
      </c>
      <c r="G167" s="27">
        <v>0</v>
      </c>
      <c r="H167" s="27">
        <v>1</v>
      </c>
      <c r="I167" s="27">
        <v>1</v>
      </c>
      <c r="J167" s="11" t="s">
        <v>1106</v>
      </c>
      <c r="K167" s="82">
        <v>1</v>
      </c>
      <c r="L167" s="31" t="s">
        <v>624</v>
      </c>
      <c r="M167" s="31">
        <v>1</v>
      </c>
      <c r="N167" s="31">
        <v>3</v>
      </c>
      <c r="O167" s="27">
        <v>232</v>
      </c>
      <c r="P167" s="27" t="s">
        <v>147</v>
      </c>
      <c r="Q167" s="27">
        <v>2</v>
      </c>
      <c r="R167" s="27">
        <v>1</v>
      </c>
      <c r="S167" s="32">
        <v>0</v>
      </c>
      <c r="T167" s="27">
        <v>0</v>
      </c>
      <c r="U167" s="27">
        <v>1</v>
      </c>
      <c r="V167" s="27">
        <v>0</v>
      </c>
      <c r="W167" s="27">
        <v>0</v>
      </c>
      <c r="X167" s="27">
        <v>0</v>
      </c>
      <c r="Y167" s="27">
        <v>0</v>
      </c>
      <c r="Z167" s="27">
        <v>1</v>
      </c>
      <c r="AA167" s="11">
        <v>1</v>
      </c>
      <c r="AB167" s="27">
        <v>1</v>
      </c>
      <c r="AC167" s="27" t="s">
        <v>56</v>
      </c>
      <c r="AD167" s="11">
        <v>1.9</v>
      </c>
      <c r="AE167" s="27">
        <v>3.1</v>
      </c>
      <c r="AF167" s="27" t="s">
        <v>220</v>
      </c>
      <c r="AG167" s="27">
        <v>0</v>
      </c>
      <c r="AH167" s="27" t="s">
        <v>239</v>
      </c>
      <c r="AI167" s="27">
        <v>94</v>
      </c>
      <c r="AJ167" s="27">
        <v>65</v>
      </c>
      <c r="AK167" s="27">
        <v>81</v>
      </c>
      <c r="AL167" s="27">
        <v>54</v>
      </c>
      <c r="AM167" s="27">
        <v>61</v>
      </c>
      <c r="AN167" s="27">
        <v>57</v>
      </c>
      <c r="AO167" s="33">
        <v>39</v>
      </c>
      <c r="AP167" s="27">
        <v>1</v>
      </c>
      <c r="AQ167" s="27">
        <v>0</v>
      </c>
      <c r="AR167" s="27">
        <v>1</v>
      </c>
      <c r="AS167" s="27">
        <v>0</v>
      </c>
      <c r="AT167" s="27">
        <v>0</v>
      </c>
      <c r="AU167" s="27">
        <v>0</v>
      </c>
      <c r="AV167" s="27">
        <v>1</v>
      </c>
      <c r="AW167" s="27">
        <v>1</v>
      </c>
      <c r="AX167" s="27">
        <v>1</v>
      </c>
      <c r="AY167" s="34" t="s">
        <v>625</v>
      </c>
      <c r="AZ167" s="25" t="s">
        <v>241</v>
      </c>
      <c r="BA167" s="17" t="s">
        <v>61</v>
      </c>
      <c r="BB167" s="150" t="s">
        <v>626</v>
      </c>
      <c r="BC167" s="150" t="s">
        <v>627</v>
      </c>
      <c r="BD167" s="17">
        <v>3</v>
      </c>
      <c r="BE167" s="17">
        <v>5</v>
      </c>
      <c r="BF167" s="17">
        <v>1</v>
      </c>
      <c r="BG167" s="17">
        <v>1</v>
      </c>
      <c r="BH167" s="17">
        <v>0</v>
      </c>
      <c r="BI167" s="17">
        <v>0</v>
      </c>
      <c r="BJ167" s="17">
        <v>0.8</v>
      </c>
      <c r="BK167" s="17">
        <v>0.8</v>
      </c>
      <c r="BL167" s="150" t="s">
        <v>41</v>
      </c>
      <c r="BM167" s="17">
        <v>5</v>
      </c>
      <c r="BN167" s="17"/>
      <c r="BO167" s="17"/>
      <c r="BP167" s="17"/>
      <c r="BQ167" s="17"/>
      <c r="BR167" s="36" t="s">
        <v>628</v>
      </c>
      <c r="BS167" s="36"/>
      <c r="BT167" s="17"/>
      <c r="BU167" s="17">
        <f>(3.32+3.12)/2</f>
        <v>3.2199999999999998</v>
      </c>
      <c r="BV167" s="17">
        <f>(0.857+0.863)/2</f>
        <v>0.86</v>
      </c>
      <c r="BW167" s="17"/>
      <c r="BX167" s="17">
        <v>109</v>
      </c>
      <c r="BY167" s="17">
        <f>(3.49+3.29)/2</f>
        <v>3.39</v>
      </c>
      <c r="BZ167" s="37">
        <f>(0.78+0.797)/2</f>
        <v>0.78849999999999998</v>
      </c>
      <c r="CA167" s="17"/>
      <c r="CB167" s="17">
        <v>123</v>
      </c>
      <c r="CC167" s="17">
        <v>1</v>
      </c>
      <c r="CD167" s="37">
        <f>(BY167-BU167)/SQRT((((CB167-1)*BZ167^2)+((BX167-1)*BV167^2))/((CB167+BX167)-2))</f>
        <v>0.20659951555285169</v>
      </c>
      <c r="CE167" s="17">
        <v>232</v>
      </c>
      <c r="CF167" s="22">
        <f t="shared" si="20"/>
        <v>0.20659951555285169</v>
      </c>
      <c r="CG167" s="22">
        <f t="shared" si="23"/>
        <v>0.23098528044735073</v>
      </c>
      <c r="CI167" s="22">
        <f>((BX167+CB167)/(BX167*CB167))+((CF167^2)/(2*(BX167+CB167)))</f>
        <v>1.7396383227044964E-2</v>
      </c>
      <c r="CJ167" s="37">
        <f t="shared" si="24"/>
        <v>1.7484643902362231E-2</v>
      </c>
    </row>
    <row r="168" spans="1:88" s="150" customFormat="1" x14ac:dyDescent="0.35">
      <c r="A168" s="29" t="s">
        <v>621</v>
      </c>
      <c r="B168" s="183" t="s">
        <v>622</v>
      </c>
      <c r="C168" s="29" t="s">
        <v>192</v>
      </c>
      <c r="D168" s="184" t="s">
        <v>623</v>
      </c>
      <c r="E168" s="184" t="s">
        <v>54</v>
      </c>
      <c r="F168" s="11" t="s">
        <v>1109</v>
      </c>
      <c r="G168" s="27">
        <v>0</v>
      </c>
      <c r="H168" s="27">
        <v>1</v>
      </c>
      <c r="I168" s="27">
        <v>1</v>
      </c>
      <c r="J168" s="11" t="s">
        <v>1106</v>
      </c>
      <c r="K168" s="82">
        <v>1</v>
      </c>
      <c r="L168" s="31" t="s">
        <v>624</v>
      </c>
      <c r="M168" s="31">
        <v>1</v>
      </c>
      <c r="N168" s="31">
        <v>3</v>
      </c>
      <c r="O168" s="27">
        <v>232</v>
      </c>
      <c r="P168" s="27" t="s">
        <v>147</v>
      </c>
      <c r="Q168" s="27">
        <v>2</v>
      </c>
      <c r="R168" s="27">
        <v>1</v>
      </c>
      <c r="S168" s="32">
        <v>0</v>
      </c>
      <c r="T168" s="27">
        <v>0</v>
      </c>
      <c r="U168" s="27">
        <v>1</v>
      </c>
      <c r="V168" s="27">
        <v>0</v>
      </c>
      <c r="W168" s="27">
        <v>0</v>
      </c>
      <c r="X168" s="27">
        <v>0</v>
      </c>
      <c r="Y168" s="27">
        <v>0</v>
      </c>
      <c r="Z168" s="27">
        <v>1</v>
      </c>
      <c r="AA168" s="11">
        <v>1</v>
      </c>
      <c r="AB168" s="27">
        <v>1</v>
      </c>
      <c r="AC168" s="27" t="s">
        <v>56</v>
      </c>
      <c r="AD168" s="11">
        <v>1.9</v>
      </c>
      <c r="AE168" s="27">
        <v>3.1</v>
      </c>
      <c r="AF168" s="27" t="s">
        <v>220</v>
      </c>
      <c r="AG168" s="27">
        <v>0</v>
      </c>
      <c r="AH168" s="27" t="s">
        <v>239</v>
      </c>
      <c r="AI168" s="27">
        <v>94</v>
      </c>
      <c r="AJ168" s="27">
        <v>65</v>
      </c>
      <c r="AK168" s="27">
        <v>81</v>
      </c>
      <c r="AL168" s="27">
        <v>54</v>
      </c>
      <c r="AM168" s="27">
        <v>61</v>
      </c>
      <c r="AN168" s="27">
        <v>57</v>
      </c>
      <c r="AO168" s="33">
        <v>39</v>
      </c>
      <c r="AP168" s="27">
        <v>1</v>
      </c>
      <c r="AQ168" s="27">
        <v>0</v>
      </c>
      <c r="AR168" s="27">
        <v>1</v>
      </c>
      <c r="AS168" s="27">
        <v>0</v>
      </c>
      <c r="AT168" s="27">
        <v>0</v>
      </c>
      <c r="AU168" s="27">
        <v>0</v>
      </c>
      <c r="AV168" s="27">
        <v>1</v>
      </c>
      <c r="AW168" s="27">
        <v>1</v>
      </c>
      <c r="AX168" s="27">
        <v>1</v>
      </c>
      <c r="AY168" s="34" t="s">
        <v>629</v>
      </c>
      <c r="AZ168" s="25" t="s">
        <v>241</v>
      </c>
      <c r="BA168" s="17" t="s">
        <v>61</v>
      </c>
      <c r="BB168" s="150" t="s">
        <v>630</v>
      </c>
      <c r="BC168" s="150" t="s">
        <v>631</v>
      </c>
      <c r="BD168" s="17">
        <v>4</v>
      </c>
      <c r="BE168" s="17">
        <v>5</v>
      </c>
      <c r="BF168" s="17">
        <v>1</v>
      </c>
      <c r="BG168" s="17">
        <v>1</v>
      </c>
      <c r="BH168" s="17">
        <v>0</v>
      </c>
      <c r="BI168" s="17">
        <v>0</v>
      </c>
      <c r="BJ168" s="17">
        <v>0.8</v>
      </c>
      <c r="BK168" s="17">
        <v>0.8</v>
      </c>
      <c r="BL168" s="150" t="s">
        <v>41</v>
      </c>
      <c r="BM168" s="17">
        <v>5</v>
      </c>
      <c r="BN168" s="17"/>
      <c r="BO168" s="17"/>
      <c r="BP168" s="17"/>
      <c r="BQ168" s="17"/>
      <c r="BR168" s="36" t="s">
        <v>632</v>
      </c>
      <c r="BS168" s="36"/>
      <c r="BT168" s="17"/>
      <c r="BU168" s="17">
        <v>3.33</v>
      </c>
      <c r="BV168" s="17">
        <v>0.59</v>
      </c>
      <c r="BW168" s="17"/>
      <c r="BX168" s="17">
        <v>109</v>
      </c>
      <c r="BY168" s="17">
        <v>3.81</v>
      </c>
      <c r="BZ168" s="17">
        <v>0.61</v>
      </c>
      <c r="CA168" s="17"/>
      <c r="CB168" s="17">
        <v>123</v>
      </c>
      <c r="CC168" s="17">
        <v>1</v>
      </c>
      <c r="CD168" s="37">
        <f>(BY168-BU168)/SQRT((((CB168-1)*BZ168^2)+((BX168-1)*BV168^2))/((CB168+BX168)-2))</f>
        <v>0.79907888797056503</v>
      </c>
      <c r="CE168" s="17">
        <v>232</v>
      </c>
      <c r="CF168" s="22">
        <f t="shared" si="20"/>
        <v>0.79907888797056503</v>
      </c>
      <c r="CG168" s="22">
        <f t="shared" si="23"/>
        <v>0.89339735644356122</v>
      </c>
      <c r="CI168" s="22">
        <f>((BX168+CB168)/(BX168*CB168))+((CF168^2)/(2*(BX168+CB168)))</f>
        <v>1.8680529152419106E-2</v>
      </c>
      <c r="CJ168" s="37">
        <f t="shared" si="24"/>
        <v>1.9964922682419659E-2</v>
      </c>
    </row>
    <row r="169" spans="1:88" s="150" customFormat="1" x14ac:dyDescent="0.35">
      <c r="A169" s="38" t="s">
        <v>621</v>
      </c>
      <c r="B169" s="185" t="s">
        <v>622</v>
      </c>
      <c r="C169" s="38" t="s">
        <v>192</v>
      </c>
      <c r="D169" s="186" t="s">
        <v>623</v>
      </c>
      <c r="E169" s="186" t="s">
        <v>54</v>
      </c>
      <c r="F169" s="18" t="s">
        <v>1109</v>
      </c>
      <c r="G169" s="28">
        <v>0</v>
      </c>
      <c r="H169" s="28">
        <v>1</v>
      </c>
      <c r="I169" s="28">
        <v>1</v>
      </c>
      <c r="J169" s="18" t="s">
        <v>1106</v>
      </c>
      <c r="K169" s="83">
        <v>1</v>
      </c>
      <c r="L169" s="40" t="s">
        <v>624</v>
      </c>
      <c r="M169" s="40">
        <v>1</v>
      </c>
      <c r="N169" s="40">
        <v>3</v>
      </c>
      <c r="O169" s="28">
        <v>232</v>
      </c>
      <c r="P169" s="28" t="s">
        <v>147</v>
      </c>
      <c r="Q169" s="28">
        <v>2</v>
      </c>
      <c r="R169" s="28">
        <v>1</v>
      </c>
      <c r="S169" s="41">
        <v>0</v>
      </c>
      <c r="T169" s="28">
        <v>0</v>
      </c>
      <c r="U169" s="28">
        <v>1</v>
      </c>
      <c r="V169" s="28">
        <v>0</v>
      </c>
      <c r="W169" s="28">
        <v>0</v>
      </c>
      <c r="X169" s="28">
        <v>0</v>
      </c>
      <c r="Y169" s="28">
        <v>0</v>
      </c>
      <c r="Z169" s="28">
        <v>1</v>
      </c>
      <c r="AA169" s="18">
        <v>1</v>
      </c>
      <c r="AB169" s="28">
        <v>1</v>
      </c>
      <c r="AC169" s="28" t="s">
        <v>56</v>
      </c>
      <c r="AD169" s="18">
        <v>1.9</v>
      </c>
      <c r="AE169" s="28">
        <v>3.1</v>
      </c>
      <c r="AF169" s="28" t="s">
        <v>220</v>
      </c>
      <c r="AG169" s="28">
        <v>0</v>
      </c>
      <c r="AH169" s="28" t="s">
        <v>239</v>
      </c>
      <c r="AI169" s="28">
        <v>94</v>
      </c>
      <c r="AJ169" s="27">
        <v>65</v>
      </c>
      <c r="AK169" s="27">
        <v>81</v>
      </c>
      <c r="AL169" s="27">
        <v>54</v>
      </c>
      <c r="AM169" s="27">
        <v>61</v>
      </c>
      <c r="AN169" s="27">
        <v>57</v>
      </c>
      <c r="AO169" s="42">
        <v>39</v>
      </c>
      <c r="AP169" s="28">
        <v>1</v>
      </c>
      <c r="AQ169" s="28">
        <v>0</v>
      </c>
      <c r="AR169" s="28">
        <v>1</v>
      </c>
      <c r="AS169" s="28">
        <v>0</v>
      </c>
      <c r="AT169" s="28">
        <v>0</v>
      </c>
      <c r="AU169" s="28">
        <v>0</v>
      </c>
      <c r="AV169" s="28">
        <v>1</v>
      </c>
      <c r="AW169" s="28">
        <v>1</v>
      </c>
      <c r="AX169" s="28">
        <v>1</v>
      </c>
      <c r="AY169" s="34" t="s">
        <v>633</v>
      </c>
      <c r="AZ169" s="25" t="s">
        <v>241</v>
      </c>
      <c r="BA169" s="17" t="s">
        <v>61</v>
      </c>
      <c r="BB169" s="150" t="s">
        <v>634</v>
      </c>
      <c r="BC169" s="150" t="s">
        <v>635</v>
      </c>
      <c r="BD169" s="17">
        <v>1</v>
      </c>
      <c r="BE169" s="17">
        <v>5</v>
      </c>
      <c r="BF169" s="17">
        <v>0</v>
      </c>
      <c r="BG169" s="17">
        <v>0</v>
      </c>
      <c r="BH169" s="17">
        <v>1</v>
      </c>
      <c r="BI169" s="17">
        <v>0</v>
      </c>
      <c r="BJ169" s="17"/>
      <c r="BK169" s="17">
        <v>0.8</v>
      </c>
      <c r="BM169" s="17">
        <v>5</v>
      </c>
      <c r="BN169" s="17"/>
      <c r="BO169" s="17"/>
      <c r="BP169" s="17"/>
      <c r="BQ169" s="17"/>
      <c r="BR169" s="36" t="s">
        <v>636</v>
      </c>
      <c r="BS169" s="36"/>
      <c r="BT169" s="17"/>
      <c r="BU169" s="17">
        <f>(3.23+2.16)/2</f>
        <v>2.6950000000000003</v>
      </c>
      <c r="BV169" s="37">
        <f>(1.11+1.1)/2</f>
        <v>1.105</v>
      </c>
      <c r="BW169" s="17"/>
      <c r="BX169" s="17">
        <v>109</v>
      </c>
      <c r="BY169" s="17">
        <f>(3.49+3.29)/2</f>
        <v>3.39</v>
      </c>
      <c r="BZ169" s="37">
        <f>(1.07+1.1)/2</f>
        <v>1.085</v>
      </c>
      <c r="CA169" s="17"/>
      <c r="CB169" s="17">
        <v>123</v>
      </c>
      <c r="CC169" s="17">
        <v>1</v>
      </c>
      <c r="CD169" s="37">
        <f>(BY169-BU169)/SQRT((((CB169-1)*BZ169^2)+((BX169-1)*BV169^2))/((CB169+BX169)-2))</f>
        <v>0.63502980370312856</v>
      </c>
      <c r="CE169" s="17">
        <v>232</v>
      </c>
      <c r="CF169" s="22">
        <f t="shared" si="20"/>
        <v>0.63502980370312856</v>
      </c>
      <c r="CG169" s="22">
        <f t="shared" si="23"/>
        <v>0.70998490440927153</v>
      </c>
      <c r="CI169" s="22">
        <f>((BX169+CB169)/(BX169*CB169))+((CF169^2)/(2*(BX169+CB169)))</f>
        <v>1.8173494200675482E-2</v>
      </c>
      <c r="CJ169" s="37">
        <f t="shared" si="24"/>
        <v>1.8984655109048655E-2</v>
      </c>
    </row>
    <row r="170" spans="1:88" s="150" customFormat="1" x14ac:dyDescent="0.35">
      <c r="A170" s="38" t="s">
        <v>637</v>
      </c>
      <c r="B170" s="185" t="s">
        <v>638</v>
      </c>
      <c r="C170" s="38" t="s">
        <v>102</v>
      </c>
      <c r="D170" s="186" t="s">
        <v>639</v>
      </c>
      <c r="E170" s="186" t="s">
        <v>54</v>
      </c>
      <c r="F170" s="18" t="s">
        <v>1109</v>
      </c>
      <c r="G170" s="28">
        <v>0</v>
      </c>
      <c r="H170" s="28">
        <v>1</v>
      </c>
      <c r="I170" s="28">
        <v>2</v>
      </c>
      <c r="J170" s="20" t="s">
        <v>1106</v>
      </c>
      <c r="K170" s="83">
        <v>1</v>
      </c>
      <c r="L170" s="40" t="s">
        <v>640</v>
      </c>
      <c r="M170" s="40">
        <v>1</v>
      </c>
      <c r="N170" s="40">
        <v>366</v>
      </c>
      <c r="O170" s="28">
        <v>415</v>
      </c>
      <c r="P170" s="28" t="s">
        <v>641</v>
      </c>
      <c r="Q170" s="28">
        <v>2</v>
      </c>
      <c r="R170" s="28">
        <v>1</v>
      </c>
      <c r="S170" s="46">
        <v>0</v>
      </c>
      <c r="T170" s="28">
        <v>0</v>
      </c>
      <c r="U170" s="28">
        <v>0</v>
      </c>
      <c r="V170" s="28">
        <v>1</v>
      </c>
      <c r="W170" s="28">
        <v>0</v>
      </c>
      <c r="X170" s="28">
        <v>1</v>
      </c>
      <c r="Y170" s="28">
        <v>0</v>
      </c>
      <c r="Z170" s="28">
        <v>0</v>
      </c>
      <c r="AA170" s="18">
        <v>1</v>
      </c>
      <c r="AB170" s="28">
        <v>0</v>
      </c>
      <c r="AC170" s="28" t="s">
        <v>287</v>
      </c>
      <c r="AD170" s="18">
        <v>3.3</v>
      </c>
      <c r="AE170" s="28">
        <v>2.8</v>
      </c>
      <c r="AF170" s="28" t="s">
        <v>220</v>
      </c>
      <c r="AG170" s="28">
        <v>0</v>
      </c>
      <c r="AH170" s="28" t="s">
        <v>35</v>
      </c>
      <c r="AI170" s="28">
        <v>46</v>
      </c>
      <c r="AJ170" s="26">
        <v>40</v>
      </c>
      <c r="AK170" s="26">
        <v>60</v>
      </c>
      <c r="AL170" s="26">
        <v>62</v>
      </c>
      <c r="AM170" s="26">
        <v>50</v>
      </c>
      <c r="AN170" s="26">
        <v>68</v>
      </c>
      <c r="AO170" s="42">
        <v>30.5</v>
      </c>
      <c r="AP170" s="28">
        <v>0</v>
      </c>
      <c r="AQ170" s="28">
        <v>0</v>
      </c>
      <c r="AR170" s="28">
        <v>0</v>
      </c>
      <c r="AS170" s="28">
        <v>0</v>
      </c>
      <c r="AT170" s="28">
        <v>0</v>
      </c>
      <c r="AU170" s="28">
        <v>1</v>
      </c>
      <c r="AV170" s="28">
        <v>0</v>
      </c>
      <c r="AW170" s="28">
        <v>1</v>
      </c>
      <c r="AX170" s="28">
        <v>1</v>
      </c>
      <c r="AY170" s="34" t="s">
        <v>642</v>
      </c>
      <c r="AZ170" s="25" t="s">
        <v>503</v>
      </c>
      <c r="BA170" s="17" t="s">
        <v>83</v>
      </c>
      <c r="BB170" s="150" t="s">
        <v>620</v>
      </c>
      <c r="BC170" s="150" t="s">
        <v>643</v>
      </c>
      <c r="BD170" s="17">
        <v>3</v>
      </c>
      <c r="BE170" s="17">
        <v>7</v>
      </c>
      <c r="BF170" s="17">
        <v>0</v>
      </c>
      <c r="BG170" s="17">
        <v>0</v>
      </c>
      <c r="BH170" s="17">
        <v>1</v>
      </c>
      <c r="BI170" s="17">
        <v>0</v>
      </c>
      <c r="BJ170" s="17">
        <v>0.95</v>
      </c>
      <c r="BK170" s="17">
        <v>0.95</v>
      </c>
      <c r="BL170" s="150" t="s">
        <v>41</v>
      </c>
      <c r="BM170" s="17">
        <v>368</v>
      </c>
      <c r="BN170" s="17"/>
      <c r="BO170" s="17"/>
      <c r="BP170" s="17"/>
      <c r="BQ170" s="17"/>
      <c r="BR170" s="36"/>
      <c r="BS170" s="36"/>
      <c r="BT170" s="17"/>
      <c r="BU170" s="37">
        <f>(5.42+5.28+4.9+4.65)/4</f>
        <v>5.0625</v>
      </c>
      <c r="BV170" s="37">
        <f>(1.11+1.15+1.86+1.91)/4</f>
        <v>1.5075000000000001</v>
      </c>
      <c r="BW170" s="17"/>
      <c r="BX170" s="17">
        <v>326</v>
      </c>
      <c r="BY170" s="17">
        <v>4.84</v>
      </c>
      <c r="BZ170" s="17">
        <v>1.58</v>
      </c>
      <c r="CA170" s="17"/>
      <c r="CB170" s="17">
        <v>89</v>
      </c>
      <c r="CC170" s="17">
        <v>0</v>
      </c>
      <c r="CD170" s="37">
        <f>(BY170-BU170)/SQRT((((CB170-1)*BZ170^2)+((BX170-1)*BV170^2))/((CB170+BX170)-2))</f>
        <v>-0.1460704808555478</v>
      </c>
      <c r="CE170" s="17">
        <v>415</v>
      </c>
      <c r="CF170" s="22">
        <f t="shared" si="20"/>
        <v>-0.1460704808555478</v>
      </c>
      <c r="CG170" s="22">
        <f t="shared" si="23"/>
        <v>-0.14986515123646099</v>
      </c>
      <c r="CI170" s="22">
        <f>((BX170+CB170)/(BX170*CB170))+((CF170^2)/(2*(BX170+CB170)))</f>
        <v>1.4329146448126788E-2</v>
      </c>
      <c r="CJ170" s="37">
        <f t="shared" si="24"/>
        <v>1.4400248182356148E-2</v>
      </c>
    </row>
    <row r="171" spans="1:88" s="150" customFormat="1" x14ac:dyDescent="0.35">
      <c r="A171" s="29" t="s">
        <v>644</v>
      </c>
      <c r="B171" s="183" t="s">
        <v>645</v>
      </c>
      <c r="C171" s="29" t="s">
        <v>102</v>
      </c>
      <c r="D171" s="184" t="s">
        <v>646</v>
      </c>
      <c r="E171" s="184" t="s">
        <v>647</v>
      </c>
      <c r="F171" s="12" t="s">
        <v>1108</v>
      </c>
      <c r="G171" s="27">
        <v>0</v>
      </c>
      <c r="H171" s="27">
        <v>0</v>
      </c>
      <c r="I171" s="27">
        <v>3</v>
      </c>
      <c r="J171" s="11" t="s">
        <v>1106</v>
      </c>
      <c r="K171" s="82">
        <v>0</v>
      </c>
      <c r="L171" s="31" t="s">
        <v>648</v>
      </c>
      <c r="M171" s="31">
        <v>1</v>
      </c>
      <c r="N171" s="31">
        <v>47</v>
      </c>
      <c r="O171" s="27">
        <v>99</v>
      </c>
      <c r="P171" s="27" t="s">
        <v>31</v>
      </c>
      <c r="Q171" s="27">
        <v>3</v>
      </c>
      <c r="R171" s="27">
        <v>1</v>
      </c>
      <c r="S171" s="32">
        <v>0</v>
      </c>
      <c r="T171" s="27">
        <v>0</v>
      </c>
      <c r="U171" s="27">
        <v>0</v>
      </c>
      <c r="V171" s="27">
        <v>1</v>
      </c>
      <c r="W171" s="27">
        <v>0</v>
      </c>
      <c r="X171" s="27">
        <v>0</v>
      </c>
      <c r="Y171" s="27">
        <v>0</v>
      </c>
      <c r="Z171" s="27">
        <v>1</v>
      </c>
      <c r="AA171" s="11">
        <v>0</v>
      </c>
      <c r="AB171" s="27">
        <v>0</v>
      </c>
      <c r="AC171" s="27" t="s">
        <v>649</v>
      </c>
      <c r="AD171" s="11">
        <v>3.7</v>
      </c>
      <c r="AE171" s="27">
        <v>2.9</v>
      </c>
      <c r="AF171" s="27" t="s">
        <v>650</v>
      </c>
      <c r="AG171" s="27">
        <v>1</v>
      </c>
      <c r="AH171" s="27" t="s">
        <v>35</v>
      </c>
      <c r="AI171" s="27">
        <v>46</v>
      </c>
      <c r="AJ171" s="27">
        <v>40</v>
      </c>
      <c r="AK171" s="27">
        <v>60</v>
      </c>
      <c r="AL171" s="27">
        <v>62</v>
      </c>
      <c r="AM171" s="27">
        <v>50</v>
      </c>
      <c r="AN171" s="27">
        <v>68</v>
      </c>
      <c r="AO171" s="33"/>
      <c r="AP171" s="27">
        <v>1</v>
      </c>
      <c r="AQ171" s="27">
        <v>0</v>
      </c>
      <c r="AR171" s="27">
        <v>0</v>
      </c>
      <c r="AS171" s="27">
        <v>0</v>
      </c>
      <c r="AT171" s="27">
        <v>0</v>
      </c>
      <c r="AU171" s="27">
        <v>1</v>
      </c>
      <c r="AV171" s="27">
        <v>0</v>
      </c>
      <c r="AW171" s="27">
        <v>1</v>
      </c>
      <c r="AX171" s="27">
        <v>1</v>
      </c>
      <c r="AY171" s="34" t="s">
        <v>651</v>
      </c>
      <c r="AZ171" s="25" t="s">
        <v>652</v>
      </c>
      <c r="BA171" s="17" t="s">
        <v>83</v>
      </c>
      <c r="BB171" s="150" t="s">
        <v>653</v>
      </c>
      <c r="BC171" s="150" t="s">
        <v>654</v>
      </c>
      <c r="BD171" s="17">
        <v>3</v>
      </c>
      <c r="BE171" s="17">
        <v>7</v>
      </c>
      <c r="BF171" s="17">
        <v>1</v>
      </c>
      <c r="BG171" s="17">
        <v>1</v>
      </c>
      <c r="BH171" s="17">
        <v>0</v>
      </c>
      <c r="BI171" s="17">
        <v>0</v>
      </c>
      <c r="BJ171" s="17">
        <v>0.91</v>
      </c>
      <c r="BK171" s="17">
        <v>0.91</v>
      </c>
      <c r="BL171" s="150" t="s">
        <v>41</v>
      </c>
      <c r="BM171" s="17">
        <v>101</v>
      </c>
      <c r="BN171" s="17">
        <v>0.24</v>
      </c>
      <c r="BO171" s="17" t="s">
        <v>294</v>
      </c>
      <c r="BP171" s="17"/>
      <c r="BQ171" s="17"/>
      <c r="BR171" s="36"/>
      <c r="BS171" s="36"/>
      <c r="BT171" s="17"/>
      <c r="BU171" s="37">
        <v>5.4</v>
      </c>
      <c r="BV171" s="37"/>
      <c r="BW171" s="17"/>
      <c r="BX171" s="17">
        <v>33</v>
      </c>
      <c r="BY171" s="17">
        <v>6.01</v>
      </c>
      <c r="BZ171" s="17"/>
      <c r="CA171" s="17"/>
      <c r="CB171" s="17">
        <v>66</v>
      </c>
      <c r="CC171" s="17">
        <v>1</v>
      </c>
      <c r="CD171" s="22">
        <f>( 2*BN171)/(SQRT(1-(BN171^2)))</f>
        <v>0.4944513860581975</v>
      </c>
      <c r="CE171" s="17">
        <v>99</v>
      </c>
      <c r="CF171" s="22">
        <f t="shared" si="20"/>
        <v>0.4944513860581975</v>
      </c>
      <c r="CG171" s="22">
        <f t="shared" si="23"/>
        <v>0.5183258905009438</v>
      </c>
      <c r="CH171" s="187">
        <f>((1-BN171)^2)/(O171-1)</f>
        <v>5.8938775510204086E-3</v>
      </c>
      <c r="CI171" s="37">
        <f>(4*CH171)/((1-(BN171^2))^3)</f>
        <v>2.8167951732191124E-2</v>
      </c>
      <c r="CJ171" s="37">
        <f>(4*CH171)/((1-(BN171^2))^3)</f>
        <v>2.8167951732191124E-2</v>
      </c>
    </row>
    <row r="172" spans="1:88" s="150" customFormat="1" x14ac:dyDescent="0.35">
      <c r="A172" s="43" t="s">
        <v>644</v>
      </c>
      <c r="B172" s="188" t="s">
        <v>645</v>
      </c>
      <c r="C172" s="43" t="s">
        <v>102</v>
      </c>
      <c r="D172" s="150" t="s">
        <v>646</v>
      </c>
      <c r="E172" s="150" t="s">
        <v>647</v>
      </c>
      <c r="F172" s="12" t="s">
        <v>1108</v>
      </c>
      <c r="G172" s="17">
        <v>0</v>
      </c>
      <c r="H172" s="17">
        <v>0</v>
      </c>
      <c r="I172" s="17">
        <v>3</v>
      </c>
      <c r="J172" s="18" t="s">
        <v>1106</v>
      </c>
      <c r="K172" s="82">
        <v>0</v>
      </c>
      <c r="L172" s="31" t="s">
        <v>648</v>
      </c>
      <c r="M172" s="31">
        <v>1</v>
      </c>
      <c r="N172" s="31">
        <v>47</v>
      </c>
      <c r="O172" s="27">
        <v>99</v>
      </c>
      <c r="P172" s="27" t="s">
        <v>31</v>
      </c>
      <c r="Q172" s="27">
        <v>3</v>
      </c>
      <c r="R172" s="27">
        <v>1</v>
      </c>
      <c r="S172" s="41">
        <v>0</v>
      </c>
      <c r="T172" s="27">
        <v>0</v>
      </c>
      <c r="U172" s="27">
        <v>0</v>
      </c>
      <c r="V172" s="27">
        <v>1</v>
      </c>
      <c r="W172" s="27">
        <v>0</v>
      </c>
      <c r="X172" s="27">
        <v>0</v>
      </c>
      <c r="Y172" s="27">
        <v>0</v>
      </c>
      <c r="Z172" s="27">
        <v>1</v>
      </c>
      <c r="AA172" s="11">
        <v>0</v>
      </c>
      <c r="AB172" s="27">
        <v>0</v>
      </c>
      <c r="AC172" s="28" t="s">
        <v>649</v>
      </c>
      <c r="AD172" s="11">
        <v>3.7</v>
      </c>
      <c r="AE172" s="27">
        <v>2.9</v>
      </c>
      <c r="AF172" s="27" t="s">
        <v>650</v>
      </c>
      <c r="AG172" s="27">
        <v>1</v>
      </c>
      <c r="AH172" s="27" t="s">
        <v>35</v>
      </c>
      <c r="AI172" s="27">
        <v>46</v>
      </c>
      <c r="AJ172" s="27">
        <v>40</v>
      </c>
      <c r="AK172" s="27">
        <v>60</v>
      </c>
      <c r="AL172" s="27">
        <v>62</v>
      </c>
      <c r="AM172" s="27">
        <v>50</v>
      </c>
      <c r="AN172" s="27">
        <v>68</v>
      </c>
      <c r="AO172" s="33"/>
      <c r="AP172" s="27">
        <v>1</v>
      </c>
      <c r="AQ172" s="27">
        <v>0</v>
      </c>
      <c r="AR172" s="27">
        <v>0</v>
      </c>
      <c r="AS172" s="27">
        <v>0</v>
      </c>
      <c r="AT172" s="27">
        <v>0</v>
      </c>
      <c r="AU172" s="27">
        <v>1</v>
      </c>
      <c r="AV172" s="27">
        <v>0</v>
      </c>
      <c r="AW172" s="27">
        <v>1</v>
      </c>
      <c r="AX172" s="27">
        <v>1</v>
      </c>
      <c r="AY172" s="34" t="s">
        <v>655</v>
      </c>
      <c r="AZ172" s="25" t="s">
        <v>652</v>
      </c>
      <c r="BA172" s="17" t="s">
        <v>83</v>
      </c>
      <c r="BB172" s="150" t="s">
        <v>656</v>
      </c>
      <c r="BC172" s="150" t="s">
        <v>657</v>
      </c>
      <c r="BD172" s="17">
        <v>3</v>
      </c>
      <c r="BE172" s="17">
        <v>7</v>
      </c>
      <c r="BF172" s="17">
        <v>0</v>
      </c>
      <c r="BG172" s="17">
        <v>0</v>
      </c>
      <c r="BH172" s="17">
        <v>1</v>
      </c>
      <c r="BI172" s="17">
        <v>0</v>
      </c>
      <c r="BJ172" s="17">
        <v>0.95</v>
      </c>
      <c r="BK172" s="17">
        <v>0.95</v>
      </c>
      <c r="BL172" s="150" t="s">
        <v>41</v>
      </c>
      <c r="BM172" s="17">
        <v>101</v>
      </c>
      <c r="BN172" s="17">
        <v>0.25</v>
      </c>
      <c r="BO172" s="17" t="s">
        <v>294</v>
      </c>
      <c r="BP172" s="17"/>
      <c r="BQ172" s="17"/>
      <c r="BR172" s="36"/>
      <c r="BS172" s="36"/>
      <c r="BT172" s="17"/>
      <c r="BU172" s="17">
        <v>4.5999999999999996</v>
      </c>
      <c r="BV172" s="17"/>
      <c r="BW172" s="17"/>
      <c r="BX172" s="17">
        <v>33</v>
      </c>
      <c r="BY172" s="17">
        <v>5.53</v>
      </c>
      <c r="BZ172" s="17"/>
      <c r="CA172" s="17"/>
      <c r="CB172" s="17">
        <v>66</v>
      </c>
      <c r="CC172" s="17">
        <v>1</v>
      </c>
      <c r="CD172" s="22">
        <f>( 2*BN172)/(SQRT(1-(BN172^2)))</f>
        <v>0.5163977794943222</v>
      </c>
      <c r="CE172" s="17">
        <v>99</v>
      </c>
      <c r="CF172" s="22">
        <f t="shared" si="20"/>
        <v>0.5163977794943222</v>
      </c>
      <c r="CG172" s="22">
        <f t="shared" si="23"/>
        <v>0.52981294282601754</v>
      </c>
      <c r="CH172" s="187">
        <f>((1-BN172)^2)/(O172-1)</f>
        <v>5.7397959183673472E-3</v>
      </c>
      <c r="CI172" s="37">
        <f>(4*CH172)/((1-(BN172^2))^3)</f>
        <v>2.7863945578231294E-2</v>
      </c>
      <c r="CJ172" s="37">
        <f>(4*CH172)/((1-(BN172^2))^3)</f>
        <v>2.7863945578231294E-2</v>
      </c>
    </row>
    <row r="173" spans="1:88" s="150" customFormat="1" x14ac:dyDescent="0.35">
      <c r="A173" s="50" t="s">
        <v>658</v>
      </c>
      <c r="B173" s="189" t="s">
        <v>645</v>
      </c>
      <c r="C173" s="50" t="s">
        <v>133</v>
      </c>
      <c r="D173" s="190" t="s">
        <v>659</v>
      </c>
      <c r="E173" s="190" t="s">
        <v>54</v>
      </c>
      <c r="F173" s="20" t="s">
        <v>1109</v>
      </c>
      <c r="G173" s="26">
        <v>0</v>
      </c>
      <c r="H173" s="26">
        <v>1</v>
      </c>
      <c r="I173" s="26">
        <v>1</v>
      </c>
      <c r="J173" s="20" t="s">
        <v>1106</v>
      </c>
      <c r="K173" s="84">
        <v>1</v>
      </c>
      <c r="L173" s="45" t="s">
        <v>660</v>
      </c>
      <c r="M173" s="45">
        <v>1</v>
      </c>
      <c r="N173" s="45">
        <v>4</v>
      </c>
      <c r="O173" s="26">
        <v>176</v>
      </c>
      <c r="P173" s="26" t="s">
        <v>31</v>
      </c>
      <c r="Q173" s="26">
        <v>2</v>
      </c>
      <c r="R173" s="26">
        <v>1</v>
      </c>
      <c r="S173" s="46">
        <v>0</v>
      </c>
      <c r="T173" s="26">
        <v>0</v>
      </c>
      <c r="U173" s="26">
        <v>0</v>
      </c>
      <c r="V173" s="26">
        <v>1</v>
      </c>
      <c r="W173" s="26">
        <v>0</v>
      </c>
      <c r="X173" s="26">
        <v>1</v>
      </c>
      <c r="Y173" s="26">
        <v>0</v>
      </c>
      <c r="Z173" s="26">
        <v>0</v>
      </c>
      <c r="AA173" s="20">
        <v>1</v>
      </c>
      <c r="AB173" s="26">
        <v>0</v>
      </c>
      <c r="AC173" s="26" t="s">
        <v>661</v>
      </c>
      <c r="AD173" s="24">
        <f>(1.8+3.7)/2</f>
        <v>2.75</v>
      </c>
      <c r="AE173" s="73">
        <f>(2.9+2.9)/2</f>
        <v>2.9</v>
      </c>
      <c r="AF173" s="26" t="s">
        <v>662</v>
      </c>
      <c r="AG173" s="26">
        <v>1</v>
      </c>
      <c r="AH173" s="26" t="s">
        <v>35</v>
      </c>
      <c r="AI173" s="26">
        <v>46</v>
      </c>
      <c r="AJ173" s="26">
        <v>40</v>
      </c>
      <c r="AK173" s="26">
        <v>60</v>
      </c>
      <c r="AL173" s="26">
        <v>62</v>
      </c>
      <c r="AM173" s="26">
        <v>50</v>
      </c>
      <c r="AN173" s="26">
        <v>68</v>
      </c>
      <c r="AO173" s="47">
        <v>21</v>
      </c>
      <c r="AP173" s="26">
        <v>1</v>
      </c>
      <c r="AQ173" s="26">
        <v>0</v>
      </c>
      <c r="AR173" s="26">
        <v>0</v>
      </c>
      <c r="AS173" s="26">
        <v>0</v>
      </c>
      <c r="AT173" s="26">
        <v>0</v>
      </c>
      <c r="AU173" s="26">
        <v>1</v>
      </c>
      <c r="AV173" s="26">
        <v>0</v>
      </c>
      <c r="AW173" s="26">
        <v>1</v>
      </c>
      <c r="AX173" s="26">
        <v>1</v>
      </c>
      <c r="AY173" s="34" t="s">
        <v>663</v>
      </c>
      <c r="AZ173" s="25" t="s">
        <v>241</v>
      </c>
      <c r="BA173" s="17" t="s">
        <v>83</v>
      </c>
      <c r="BB173" s="150" t="s">
        <v>664</v>
      </c>
      <c r="BC173" s="150" t="s">
        <v>665</v>
      </c>
      <c r="BD173" s="17">
        <v>2</v>
      </c>
      <c r="BE173" s="17">
        <v>7</v>
      </c>
      <c r="BF173" s="17">
        <v>0</v>
      </c>
      <c r="BG173" s="17">
        <v>0</v>
      </c>
      <c r="BH173" s="17">
        <v>1</v>
      </c>
      <c r="BI173" s="17">
        <v>0</v>
      </c>
      <c r="BJ173" s="17">
        <v>0.88</v>
      </c>
      <c r="BK173" s="17">
        <v>0.88</v>
      </c>
      <c r="BL173" s="150" t="s">
        <v>41</v>
      </c>
      <c r="BM173" s="17">
        <v>4</v>
      </c>
      <c r="BN173" s="17"/>
      <c r="BO173" s="17"/>
      <c r="BP173" s="17"/>
      <c r="BQ173" s="17"/>
      <c r="BR173" s="36"/>
      <c r="BS173" s="36"/>
      <c r="BT173" s="17"/>
      <c r="BU173" s="17">
        <v>3.97</v>
      </c>
      <c r="BV173" s="17">
        <v>1.54</v>
      </c>
      <c r="BW173" s="17"/>
      <c r="BX173" s="17">
        <v>88</v>
      </c>
      <c r="BY173" s="17">
        <v>4.58</v>
      </c>
      <c r="BZ173" s="17">
        <v>1.42</v>
      </c>
      <c r="CA173" s="17"/>
      <c r="CB173" s="17">
        <v>88</v>
      </c>
      <c r="CC173" s="17">
        <v>1</v>
      </c>
      <c r="CD173" s="37">
        <f>(BY173-BU173)/SQRT((((CB173-1)*BZ173^2)+((BX173-1)*BV173^2))/((CB173+BX173)-2))</f>
        <v>0.41182387753451843</v>
      </c>
      <c r="CE173" s="17">
        <v>176</v>
      </c>
      <c r="CF173" s="22">
        <f t="shared" si="20"/>
        <v>0.41182387753451843</v>
      </c>
      <c r="CG173" s="22">
        <f t="shared" si="23"/>
        <v>0.43900572851352254</v>
      </c>
      <c r="CI173" s="22">
        <f>((BX173+CB173)/(BX173*CB173))+((CF173^2)/(2*(BX173+CB173)))</f>
        <v>2.3209087801441951E-2</v>
      </c>
      <c r="CJ173" s="37">
        <f t="shared" si="24"/>
        <v>2.3420531826796789E-2</v>
      </c>
    </row>
    <row r="174" spans="1:88" s="150" customFormat="1" x14ac:dyDescent="0.35">
      <c r="A174" s="29" t="s">
        <v>666</v>
      </c>
      <c r="B174" s="183" t="s">
        <v>667</v>
      </c>
      <c r="C174" s="29" t="s">
        <v>52</v>
      </c>
      <c r="D174" s="184" t="s">
        <v>668</v>
      </c>
      <c r="E174" s="184" t="s">
        <v>669</v>
      </c>
      <c r="F174" s="11" t="s">
        <v>1109</v>
      </c>
      <c r="G174" s="27">
        <v>0</v>
      </c>
      <c r="H174" s="27">
        <v>1</v>
      </c>
      <c r="I174" s="27">
        <v>2</v>
      </c>
      <c r="J174" s="11" t="s">
        <v>1106</v>
      </c>
      <c r="K174" s="82">
        <v>1</v>
      </c>
      <c r="L174" s="45" t="s">
        <v>670</v>
      </c>
      <c r="M174" s="45">
        <v>1</v>
      </c>
      <c r="N174" s="45">
        <v>118</v>
      </c>
      <c r="O174" s="26">
        <v>60</v>
      </c>
      <c r="P174" s="26" t="s">
        <v>31</v>
      </c>
      <c r="Q174" s="26">
        <v>2</v>
      </c>
      <c r="R174" s="26">
        <v>1</v>
      </c>
      <c r="S174" s="46">
        <v>0</v>
      </c>
      <c r="T174" s="26">
        <v>0</v>
      </c>
      <c r="U174" s="26">
        <v>0</v>
      </c>
      <c r="V174" s="26">
        <v>1</v>
      </c>
      <c r="W174" s="26">
        <v>0</v>
      </c>
      <c r="X174" s="26">
        <v>1</v>
      </c>
      <c r="Y174" s="26">
        <v>0</v>
      </c>
      <c r="Z174" s="26">
        <v>0</v>
      </c>
      <c r="AA174" s="20">
        <v>1</v>
      </c>
      <c r="AB174" s="26">
        <v>0</v>
      </c>
      <c r="AC174" s="26" t="s">
        <v>671</v>
      </c>
      <c r="AD174" s="24">
        <f>(2.6+2+1.6)/3</f>
        <v>2.0666666666666664</v>
      </c>
      <c r="AE174" s="73">
        <f>(2.9+2.5+2.1)/3</f>
        <v>2.5</v>
      </c>
      <c r="AF174" s="26" t="s">
        <v>442</v>
      </c>
      <c r="AG174" s="26">
        <v>1</v>
      </c>
      <c r="AH174" s="26" t="s">
        <v>672</v>
      </c>
      <c r="AI174" s="26">
        <v>75</v>
      </c>
      <c r="AJ174" s="26">
        <v>50</v>
      </c>
      <c r="AK174" s="26">
        <v>53</v>
      </c>
      <c r="AL174" s="26">
        <v>70</v>
      </c>
      <c r="AM174" s="26">
        <v>39</v>
      </c>
      <c r="AN174" s="26">
        <v>30</v>
      </c>
      <c r="AO174" s="47">
        <v>24.6</v>
      </c>
      <c r="AP174" s="26">
        <v>1</v>
      </c>
      <c r="AQ174" s="26">
        <v>0</v>
      </c>
      <c r="AR174" s="26">
        <v>0</v>
      </c>
      <c r="AS174" s="26">
        <v>0</v>
      </c>
      <c r="AT174" s="26">
        <v>0</v>
      </c>
      <c r="AU174" s="26">
        <v>1</v>
      </c>
      <c r="AV174" s="26">
        <v>1</v>
      </c>
      <c r="AW174" s="26">
        <v>0</v>
      </c>
      <c r="AX174" s="26">
        <v>1</v>
      </c>
      <c r="AY174" s="34" t="s">
        <v>673</v>
      </c>
      <c r="AZ174" s="25" t="s">
        <v>674</v>
      </c>
      <c r="BA174" s="17" t="s">
        <v>83</v>
      </c>
      <c r="BB174" s="150" t="s">
        <v>530</v>
      </c>
      <c r="BC174" s="150" t="s">
        <v>675</v>
      </c>
      <c r="BD174" s="17"/>
      <c r="BE174" s="17"/>
      <c r="BF174" s="17">
        <v>0</v>
      </c>
      <c r="BG174" s="17">
        <v>0</v>
      </c>
      <c r="BH174" s="17">
        <v>1</v>
      </c>
      <c r="BI174" s="17">
        <v>0</v>
      </c>
      <c r="BJ174" s="17"/>
      <c r="BK174" s="17">
        <v>0.8</v>
      </c>
      <c r="BM174" s="17">
        <v>119</v>
      </c>
      <c r="BN174" s="17"/>
      <c r="BO174" s="17"/>
      <c r="BP174" s="17"/>
      <c r="BQ174" s="17">
        <v>58</v>
      </c>
      <c r="BR174" s="36"/>
      <c r="BS174" s="36"/>
      <c r="BT174" s="17"/>
      <c r="BU174" s="17"/>
      <c r="BV174" s="17"/>
      <c r="BW174" s="17"/>
      <c r="BX174" s="17">
        <v>30</v>
      </c>
      <c r="BY174" s="17"/>
      <c r="BZ174" s="17"/>
      <c r="CA174" s="17"/>
      <c r="CB174" s="17">
        <v>30</v>
      </c>
      <c r="CC174" s="17">
        <v>0</v>
      </c>
      <c r="CD174" s="10">
        <v>0.22</v>
      </c>
      <c r="CE174" s="17">
        <v>60</v>
      </c>
      <c r="CF174" s="22">
        <f t="shared" si="20"/>
        <v>0.22</v>
      </c>
      <c r="CG174" s="22">
        <f t="shared" si="23"/>
        <v>0.24596747752497689</v>
      </c>
      <c r="CI174" s="22">
        <f>((BX174+CB174)/(BX174*CB174))+((CD174^2)/(2*(BX174+CB174)))</f>
        <v>6.7070000000000005E-2</v>
      </c>
      <c r="CJ174" s="37">
        <f t="shared" si="24"/>
        <v>6.6952044025157226E-2</v>
      </c>
    </row>
    <row r="175" spans="1:88" s="150" customFormat="1" x14ac:dyDescent="0.35">
      <c r="A175" s="38" t="s">
        <v>666</v>
      </c>
      <c r="B175" s="185" t="s">
        <v>667</v>
      </c>
      <c r="C175" s="38" t="s">
        <v>52</v>
      </c>
      <c r="D175" s="186" t="s">
        <v>668</v>
      </c>
      <c r="E175" s="186" t="s">
        <v>669</v>
      </c>
      <c r="F175" s="18" t="s">
        <v>1109</v>
      </c>
      <c r="G175" s="28">
        <v>0</v>
      </c>
      <c r="H175" s="28">
        <v>1</v>
      </c>
      <c r="I175" s="28">
        <v>2</v>
      </c>
      <c r="J175" s="18" t="s">
        <v>1106</v>
      </c>
      <c r="K175" s="83">
        <v>1</v>
      </c>
      <c r="L175" s="40" t="s">
        <v>676</v>
      </c>
      <c r="M175" s="40">
        <v>2</v>
      </c>
      <c r="N175" s="40">
        <v>121</v>
      </c>
      <c r="O175" s="28">
        <v>50</v>
      </c>
      <c r="P175" s="28" t="s">
        <v>31</v>
      </c>
      <c r="Q175" s="28">
        <v>2</v>
      </c>
      <c r="R175" s="28">
        <v>1</v>
      </c>
      <c r="S175" s="46">
        <v>0</v>
      </c>
      <c r="T175" s="28">
        <v>0</v>
      </c>
      <c r="U175" s="28">
        <v>0</v>
      </c>
      <c r="V175" s="28">
        <v>1</v>
      </c>
      <c r="W175" s="28">
        <v>0</v>
      </c>
      <c r="X175" s="28">
        <v>1</v>
      </c>
      <c r="Y175" s="28">
        <v>0</v>
      </c>
      <c r="Z175" s="28">
        <v>0</v>
      </c>
      <c r="AA175" s="18">
        <v>1</v>
      </c>
      <c r="AB175" s="28">
        <v>0</v>
      </c>
      <c r="AC175" s="26" t="s">
        <v>671</v>
      </c>
      <c r="AD175" s="24">
        <f>(2.6+2+1.6)/3</f>
        <v>2.0666666666666664</v>
      </c>
      <c r="AE175" s="73">
        <v>2.5</v>
      </c>
      <c r="AF175" s="28" t="s">
        <v>442</v>
      </c>
      <c r="AG175" s="28">
        <v>1</v>
      </c>
      <c r="AH175" s="28" t="s">
        <v>672</v>
      </c>
      <c r="AI175" s="28">
        <v>75</v>
      </c>
      <c r="AJ175" s="28">
        <v>50</v>
      </c>
      <c r="AK175" s="28">
        <v>53</v>
      </c>
      <c r="AL175" s="28">
        <v>70</v>
      </c>
      <c r="AM175" s="28">
        <v>39</v>
      </c>
      <c r="AN175" s="28">
        <v>30</v>
      </c>
      <c r="AO175" s="42">
        <v>24.7</v>
      </c>
      <c r="AP175" s="28">
        <v>1</v>
      </c>
      <c r="AQ175" s="28">
        <v>0</v>
      </c>
      <c r="AR175" s="28">
        <v>0</v>
      </c>
      <c r="AS175" s="28">
        <v>0</v>
      </c>
      <c r="AT175" s="28">
        <v>0</v>
      </c>
      <c r="AU175" s="28">
        <v>1</v>
      </c>
      <c r="AV175" s="28">
        <v>1</v>
      </c>
      <c r="AW175" s="28">
        <v>0</v>
      </c>
      <c r="AX175" s="28">
        <v>1</v>
      </c>
      <c r="AY175" s="34" t="s">
        <v>678</v>
      </c>
      <c r="AZ175" s="25" t="s">
        <v>674</v>
      </c>
      <c r="BA175" s="17" t="s">
        <v>83</v>
      </c>
      <c r="BB175" s="150" t="s">
        <v>677</v>
      </c>
      <c r="BC175" s="150" t="s">
        <v>679</v>
      </c>
      <c r="BD175" s="17">
        <v>3</v>
      </c>
      <c r="BE175" s="17">
        <v>7</v>
      </c>
      <c r="BF175" s="17">
        <v>0</v>
      </c>
      <c r="BG175" s="17">
        <v>0</v>
      </c>
      <c r="BH175" s="17">
        <v>1</v>
      </c>
      <c r="BI175" s="17">
        <v>0</v>
      </c>
      <c r="BJ175" s="17"/>
      <c r="BK175" s="17">
        <v>0.8</v>
      </c>
      <c r="BM175" s="17">
        <v>122</v>
      </c>
      <c r="BN175" s="17"/>
      <c r="BO175" s="17"/>
      <c r="BP175" s="17"/>
      <c r="BQ175" s="17">
        <v>48</v>
      </c>
      <c r="BR175" s="36"/>
      <c r="BS175" s="36"/>
      <c r="BT175" s="17"/>
      <c r="BU175" s="17"/>
      <c r="BV175" s="17"/>
      <c r="BW175" s="17"/>
      <c r="BX175" s="17">
        <v>25</v>
      </c>
      <c r="BY175" s="17"/>
      <c r="BZ175" s="17"/>
      <c r="CA175" s="17"/>
      <c r="CB175" s="17">
        <v>25</v>
      </c>
      <c r="CC175" s="17">
        <v>0</v>
      </c>
      <c r="CD175" s="10">
        <v>0.03</v>
      </c>
      <c r="CE175" s="17">
        <v>50</v>
      </c>
      <c r="CF175" s="22">
        <f t="shared" si="20"/>
        <v>0.03</v>
      </c>
      <c r="CG175" s="22">
        <f t="shared" si="23"/>
        <v>3.3541019662496847E-2</v>
      </c>
      <c r="CI175" s="22">
        <f>((BX175+CB175)/(BX175*CB175))+((CD175^2)/(2*(BX175+CB175)))</f>
        <v>8.0008999999999997E-2</v>
      </c>
      <c r="CJ175" s="37">
        <f t="shared" si="24"/>
        <v>8.0005569306930688E-2</v>
      </c>
    </row>
    <row r="176" spans="1:88" s="150" customFormat="1" x14ac:dyDescent="0.35">
      <c r="A176" s="29" t="s">
        <v>680</v>
      </c>
      <c r="B176" s="183" t="s">
        <v>681</v>
      </c>
      <c r="C176" s="29" t="s">
        <v>498</v>
      </c>
      <c r="D176" s="184" t="s">
        <v>682</v>
      </c>
      <c r="E176" s="184" t="s">
        <v>683</v>
      </c>
      <c r="F176" s="12" t="s">
        <v>1109</v>
      </c>
      <c r="G176" s="27">
        <v>1</v>
      </c>
      <c r="H176" s="27">
        <v>1</v>
      </c>
      <c r="I176" s="27">
        <v>4</v>
      </c>
      <c r="J176" s="11" t="s">
        <v>1106</v>
      </c>
      <c r="K176" s="82">
        <v>1</v>
      </c>
      <c r="L176" s="31" t="s">
        <v>684</v>
      </c>
      <c r="M176" s="31">
        <v>1</v>
      </c>
      <c r="N176" s="31">
        <v>188</v>
      </c>
      <c r="O176" s="27">
        <v>56</v>
      </c>
      <c r="P176" s="27" t="s">
        <v>147</v>
      </c>
      <c r="Q176" s="27">
        <v>2</v>
      </c>
      <c r="R176" s="27">
        <v>1</v>
      </c>
      <c r="S176" s="32">
        <v>0</v>
      </c>
      <c r="T176" s="27">
        <v>0</v>
      </c>
      <c r="U176" s="27">
        <v>0</v>
      </c>
      <c r="V176" s="27">
        <v>0</v>
      </c>
      <c r="W176" s="27">
        <v>1</v>
      </c>
      <c r="X176" s="27">
        <v>0</v>
      </c>
      <c r="Y176" s="27">
        <v>0</v>
      </c>
      <c r="Z176" s="27">
        <v>1</v>
      </c>
      <c r="AA176" s="2">
        <v>1</v>
      </c>
      <c r="AB176" s="27">
        <v>1</v>
      </c>
      <c r="AC176" s="27" t="s">
        <v>382</v>
      </c>
      <c r="AD176" s="12">
        <v>3.2</v>
      </c>
      <c r="AE176" s="27">
        <v>2.6</v>
      </c>
      <c r="AF176" s="27" t="s">
        <v>455</v>
      </c>
      <c r="AG176" s="27">
        <v>1</v>
      </c>
      <c r="AH176" s="27" t="s">
        <v>35</v>
      </c>
      <c r="AI176" s="27">
        <v>46</v>
      </c>
      <c r="AJ176" s="27">
        <v>40</v>
      </c>
      <c r="AK176" s="27">
        <v>60</v>
      </c>
      <c r="AL176" s="27">
        <v>62</v>
      </c>
      <c r="AM176" s="27">
        <v>50</v>
      </c>
      <c r="AN176" s="27">
        <v>68</v>
      </c>
      <c r="AO176" s="33"/>
      <c r="AP176" s="27">
        <v>0</v>
      </c>
      <c r="AQ176" s="27">
        <v>0</v>
      </c>
      <c r="AR176" s="27">
        <v>0</v>
      </c>
      <c r="AS176" s="27">
        <v>0</v>
      </c>
      <c r="AT176" s="27">
        <v>0</v>
      </c>
      <c r="AU176" s="27">
        <v>1</v>
      </c>
      <c r="AV176" s="27">
        <v>1</v>
      </c>
      <c r="AW176" s="27">
        <v>1</v>
      </c>
      <c r="AX176" s="27">
        <v>1</v>
      </c>
      <c r="AY176" s="34" t="s">
        <v>685</v>
      </c>
      <c r="AZ176" s="25" t="s">
        <v>686</v>
      </c>
      <c r="BA176" s="17" t="s">
        <v>183</v>
      </c>
      <c r="BB176" s="150" t="s">
        <v>422</v>
      </c>
      <c r="BD176" s="17">
        <v>3</v>
      </c>
      <c r="BE176" s="17">
        <v>6</v>
      </c>
      <c r="BF176" s="17">
        <v>1</v>
      </c>
      <c r="BG176" s="17">
        <v>1</v>
      </c>
      <c r="BH176" s="17">
        <v>0</v>
      </c>
      <c r="BI176" s="17">
        <v>0</v>
      </c>
      <c r="BJ176" s="17">
        <v>0.85</v>
      </c>
      <c r="BK176" s="17">
        <v>0.85</v>
      </c>
      <c r="BL176" s="150" t="s">
        <v>41</v>
      </c>
      <c r="BM176" s="17">
        <v>190</v>
      </c>
      <c r="BN176" s="17"/>
      <c r="BO176" s="17"/>
      <c r="BP176" s="17"/>
      <c r="BQ176" s="17"/>
      <c r="BR176" s="36"/>
      <c r="BT176" s="17"/>
      <c r="BU176" s="17">
        <v>1.79</v>
      </c>
      <c r="BV176" s="22">
        <f t="shared" ref="BV176:BV191" si="28">(BW176*(SQRT(BX176-1)))</f>
        <v>1.1537764081484765</v>
      </c>
      <c r="BW176" s="37">
        <v>0.32</v>
      </c>
      <c r="BX176" s="17">
        <v>14</v>
      </c>
      <c r="BY176" s="37">
        <v>0.9</v>
      </c>
      <c r="BZ176" s="22">
        <f t="shared" ref="BZ176:BZ191" si="29">(CA176*(SQRT(CB176-1)))</f>
        <v>1.2258874336577563</v>
      </c>
      <c r="CA176" s="37">
        <v>0.34</v>
      </c>
      <c r="CB176" s="17">
        <v>14</v>
      </c>
      <c r="CC176" s="17">
        <v>1</v>
      </c>
      <c r="CD176" s="37">
        <f t="shared" ref="CD176:CD192" si="30">(BY176-BU176)/SQRT((((CB176-1)*BZ176^2)+((BX176-1)*BV176^2))/((CB176+BX176)-2))</f>
        <v>-0.74766160985508257</v>
      </c>
      <c r="CE176" s="17">
        <v>28</v>
      </c>
      <c r="CF176" s="22">
        <f t="shared" si="20"/>
        <v>-0.74766160985508257</v>
      </c>
      <c r="CG176" s="22">
        <f t="shared" si="23"/>
        <v>-0.81095287659648274</v>
      </c>
      <c r="CI176" s="22">
        <f t="shared" ref="CI176:CI207" si="31">((BX176+CB176)/(BX176*CB176))+((CF176^2)/(2*(BX176+CB176)))</f>
        <v>0.15283924790805523</v>
      </c>
      <c r="CJ176" s="37">
        <f t="shared" si="24"/>
        <v>0.14872896935767954</v>
      </c>
    </row>
    <row r="177" spans="1:88" s="150" customFormat="1" x14ac:dyDescent="0.35">
      <c r="A177" s="29" t="s">
        <v>680</v>
      </c>
      <c r="B177" s="183" t="s">
        <v>681</v>
      </c>
      <c r="C177" s="29" t="s">
        <v>498</v>
      </c>
      <c r="D177" s="184" t="s">
        <v>682</v>
      </c>
      <c r="E177" s="184" t="s">
        <v>683</v>
      </c>
      <c r="F177" s="11" t="s">
        <v>1109</v>
      </c>
      <c r="G177" s="27">
        <v>1</v>
      </c>
      <c r="H177" s="27">
        <v>1</v>
      </c>
      <c r="I177" s="27">
        <v>4</v>
      </c>
      <c r="J177" s="11" t="s">
        <v>1106</v>
      </c>
      <c r="K177" s="82">
        <v>1</v>
      </c>
      <c r="L177" s="31" t="s">
        <v>684</v>
      </c>
      <c r="M177" s="31">
        <v>1</v>
      </c>
      <c r="N177" s="31">
        <v>188</v>
      </c>
      <c r="O177" s="27">
        <v>56</v>
      </c>
      <c r="P177" s="27" t="s">
        <v>147</v>
      </c>
      <c r="Q177" s="27">
        <v>2</v>
      </c>
      <c r="R177" s="27">
        <v>1</v>
      </c>
      <c r="S177" s="32">
        <v>0</v>
      </c>
      <c r="T177" s="27">
        <v>0</v>
      </c>
      <c r="U177" s="27">
        <v>0</v>
      </c>
      <c r="V177" s="27">
        <v>0</v>
      </c>
      <c r="W177" s="27">
        <v>1</v>
      </c>
      <c r="X177" s="27">
        <v>0</v>
      </c>
      <c r="Y177" s="27">
        <v>0</v>
      </c>
      <c r="Z177" s="27">
        <v>1</v>
      </c>
      <c r="AA177" s="97">
        <v>1</v>
      </c>
      <c r="AB177" s="27">
        <v>1</v>
      </c>
      <c r="AC177" s="27" t="s">
        <v>382</v>
      </c>
      <c r="AD177" s="11">
        <v>3.2</v>
      </c>
      <c r="AE177" s="27">
        <v>2.6</v>
      </c>
      <c r="AF177" s="27" t="s">
        <v>455</v>
      </c>
      <c r="AG177" s="27">
        <v>1</v>
      </c>
      <c r="AH177" s="27" t="s">
        <v>35</v>
      </c>
      <c r="AI177" s="27">
        <v>46</v>
      </c>
      <c r="AJ177" s="27">
        <v>40</v>
      </c>
      <c r="AK177" s="27">
        <v>60</v>
      </c>
      <c r="AL177" s="27">
        <v>62</v>
      </c>
      <c r="AM177" s="27">
        <v>50</v>
      </c>
      <c r="AN177" s="27">
        <v>68</v>
      </c>
      <c r="AO177" s="33"/>
      <c r="AP177" s="27">
        <v>0</v>
      </c>
      <c r="AQ177" s="27">
        <v>0</v>
      </c>
      <c r="AR177" s="27">
        <v>0</v>
      </c>
      <c r="AS177" s="27">
        <v>0</v>
      </c>
      <c r="AT177" s="27">
        <v>0</v>
      </c>
      <c r="AU177" s="27">
        <v>1</v>
      </c>
      <c r="AV177" s="27">
        <v>1</v>
      </c>
      <c r="AW177" s="27">
        <v>1</v>
      </c>
      <c r="AX177" s="27">
        <v>1</v>
      </c>
      <c r="AY177" s="34" t="s">
        <v>687</v>
      </c>
      <c r="AZ177" s="25" t="s">
        <v>686</v>
      </c>
      <c r="BA177" s="17" t="s">
        <v>183</v>
      </c>
      <c r="BB177" s="150" t="s">
        <v>46</v>
      </c>
      <c r="BD177" s="17">
        <v>3</v>
      </c>
      <c r="BE177" s="17">
        <v>6</v>
      </c>
      <c r="BF177" s="17">
        <v>0</v>
      </c>
      <c r="BG177" s="17">
        <v>0</v>
      </c>
      <c r="BH177" s="17">
        <v>1</v>
      </c>
      <c r="BI177" s="17">
        <v>0</v>
      </c>
      <c r="BJ177" s="17">
        <v>0.85</v>
      </c>
      <c r="BK177" s="17">
        <v>0.85</v>
      </c>
      <c r="BL177" s="150" t="s">
        <v>41</v>
      </c>
      <c r="BM177" s="17">
        <v>190</v>
      </c>
      <c r="BN177" s="17"/>
      <c r="BO177" s="17"/>
      <c r="BP177" s="17"/>
      <c r="BQ177" s="17"/>
      <c r="BR177" s="36"/>
      <c r="BS177" s="36"/>
      <c r="BT177" s="17"/>
      <c r="BU177" s="17">
        <v>0.37</v>
      </c>
      <c r="BV177" s="22">
        <f t="shared" si="28"/>
        <v>1.334053971921676</v>
      </c>
      <c r="BW177" s="37">
        <f>(0.37+0.37)/2</f>
        <v>0.37</v>
      </c>
      <c r="BX177" s="17">
        <v>14</v>
      </c>
      <c r="BY177" s="17">
        <v>1.27</v>
      </c>
      <c r="BZ177" s="22">
        <f t="shared" si="29"/>
        <v>1.334053971921676</v>
      </c>
      <c r="CA177" s="37">
        <v>0.37</v>
      </c>
      <c r="CB177" s="17">
        <v>14</v>
      </c>
      <c r="CC177" s="17">
        <v>1</v>
      </c>
      <c r="CD177" s="37">
        <f t="shared" si="30"/>
        <v>0.67463537378744087</v>
      </c>
      <c r="CE177" s="17">
        <v>28</v>
      </c>
      <c r="CF177" s="22">
        <f t="shared" si="20"/>
        <v>0.67463537378744087</v>
      </c>
      <c r="CG177" s="22">
        <f t="shared" si="23"/>
        <v>0.73174480248184892</v>
      </c>
      <c r="CI177" s="22">
        <f t="shared" si="31"/>
        <v>0.15098451584938072</v>
      </c>
      <c r="CJ177" s="37">
        <f t="shared" si="24"/>
        <v>0.14763795049963571</v>
      </c>
    </row>
    <row r="178" spans="1:88" s="150" customFormat="1" x14ac:dyDescent="0.35">
      <c r="A178" s="29" t="s">
        <v>680</v>
      </c>
      <c r="B178" s="183" t="s">
        <v>681</v>
      </c>
      <c r="C178" s="29" t="s">
        <v>498</v>
      </c>
      <c r="D178" s="184" t="s">
        <v>682</v>
      </c>
      <c r="E178" s="184" t="s">
        <v>683</v>
      </c>
      <c r="F178" s="12" t="s">
        <v>1109</v>
      </c>
      <c r="G178" s="27">
        <v>1</v>
      </c>
      <c r="H178" s="27">
        <v>1</v>
      </c>
      <c r="I178" s="27">
        <v>4</v>
      </c>
      <c r="J178" s="11" t="s">
        <v>1106</v>
      </c>
      <c r="K178" s="82">
        <v>1</v>
      </c>
      <c r="L178" s="31" t="s">
        <v>684</v>
      </c>
      <c r="M178" s="31">
        <v>1</v>
      </c>
      <c r="N178" s="31">
        <v>188</v>
      </c>
      <c r="O178" s="27">
        <v>56</v>
      </c>
      <c r="P178" s="27" t="s">
        <v>147</v>
      </c>
      <c r="Q178" s="27">
        <v>2</v>
      </c>
      <c r="R178" s="27">
        <v>2</v>
      </c>
      <c r="S178" s="32">
        <v>0</v>
      </c>
      <c r="T178" s="27">
        <v>0</v>
      </c>
      <c r="U178" s="27">
        <v>0</v>
      </c>
      <c r="V178" s="27">
        <v>0</v>
      </c>
      <c r="W178" s="27">
        <v>1</v>
      </c>
      <c r="X178" s="27">
        <v>0</v>
      </c>
      <c r="Y178" s="27">
        <v>0</v>
      </c>
      <c r="Z178" s="27">
        <v>1</v>
      </c>
      <c r="AA178" s="97">
        <v>1</v>
      </c>
      <c r="AB178" s="27">
        <v>1</v>
      </c>
      <c r="AC178" s="27" t="s">
        <v>382</v>
      </c>
      <c r="AD178" s="11">
        <v>3.2</v>
      </c>
      <c r="AE178" s="27">
        <v>2.6</v>
      </c>
      <c r="AF178" s="27" t="s">
        <v>455</v>
      </c>
      <c r="AG178" s="27">
        <v>1</v>
      </c>
      <c r="AH178" s="27" t="s">
        <v>35</v>
      </c>
      <c r="AI178" s="27">
        <v>46</v>
      </c>
      <c r="AJ178" s="27">
        <v>40</v>
      </c>
      <c r="AK178" s="27">
        <v>60</v>
      </c>
      <c r="AL178" s="27">
        <v>62</v>
      </c>
      <c r="AM178" s="27">
        <v>50</v>
      </c>
      <c r="AN178" s="27">
        <v>68</v>
      </c>
      <c r="AO178" s="33"/>
      <c r="AP178" s="27">
        <v>1</v>
      </c>
      <c r="AQ178" s="27">
        <v>0</v>
      </c>
      <c r="AR178" s="27">
        <v>0</v>
      </c>
      <c r="AS178" s="27">
        <v>0</v>
      </c>
      <c r="AT178" s="27">
        <v>0</v>
      </c>
      <c r="AU178" s="27">
        <v>1</v>
      </c>
      <c r="AV178" s="27">
        <v>1</v>
      </c>
      <c r="AW178" s="27">
        <v>1</v>
      </c>
      <c r="AX178" s="27">
        <v>1</v>
      </c>
      <c r="AY178" s="34" t="s">
        <v>688</v>
      </c>
      <c r="AZ178" s="25" t="s">
        <v>686</v>
      </c>
      <c r="BA178" s="17" t="s">
        <v>183</v>
      </c>
      <c r="BB178" s="150" t="s">
        <v>422</v>
      </c>
      <c r="BD178" s="17">
        <v>3</v>
      </c>
      <c r="BE178" s="17">
        <v>6</v>
      </c>
      <c r="BF178" s="17">
        <v>1</v>
      </c>
      <c r="BG178" s="17">
        <v>1</v>
      </c>
      <c r="BH178" s="17">
        <v>0</v>
      </c>
      <c r="BI178" s="17">
        <v>0</v>
      </c>
      <c r="BJ178" s="17">
        <v>0.85</v>
      </c>
      <c r="BK178" s="17">
        <v>0.85</v>
      </c>
      <c r="BL178" s="150" t="s">
        <v>41</v>
      </c>
      <c r="BM178" s="17">
        <v>190</v>
      </c>
      <c r="BN178" s="17"/>
      <c r="BO178" s="17"/>
      <c r="BP178" s="17"/>
      <c r="BQ178" s="17"/>
      <c r="BR178" s="36"/>
      <c r="BS178" s="36"/>
      <c r="BT178" s="17"/>
      <c r="BU178" s="17">
        <v>0.79</v>
      </c>
      <c r="BV178" s="22">
        <f t="shared" si="28"/>
        <v>1.2258874336577563</v>
      </c>
      <c r="BW178" s="37">
        <v>0.34</v>
      </c>
      <c r="BX178" s="17">
        <v>14</v>
      </c>
      <c r="BY178" s="17">
        <v>1.0900000000000001</v>
      </c>
      <c r="BZ178" s="22">
        <f t="shared" si="29"/>
        <v>1.009554357129917</v>
      </c>
      <c r="CA178" s="37">
        <v>0.28000000000000003</v>
      </c>
      <c r="CB178" s="17">
        <v>14</v>
      </c>
      <c r="CC178" s="17">
        <v>1</v>
      </c>
      <c r="CD178" s="37">
        <f t="shared" si="30"/>
        <v>0.26715524895092396</v>
      </c>
      <c r="CE178" s="17">
        <v>28</v>
      </c>
      <c r="CF178" s="22">
        <f t="shared" si="20"/>
        <v>0.26715524895092396</v>
      </c>
      <c r="CG178" s="22">
        <f t="shared" si="23"/>
        <v>0.28977055231790499</v>
      </c>
      <c r="CI178" s="22">
        <f t="shared" si="31"/>
        <v>0.14413164155432195</v>
      </c>
      <c r="CJ178" s="37">
        <f t="shared" si="24"/>
        <v>0.14336913659489056</v>
      </c>
    </row>
    <row r="179" spans="1:88" s="150" customFormat="1" x14ac:dyDescent="0.35">
      <c r="A179" s="29" t="s">
        <v>680</v>
      </c>
      <c r="B179" s="183" t="s">
        <v>681</v>
      </c>
      <c r="C179" s="29" t="s">
        <v>498</v>
      </c>
      <c r="D179" s="184" t="s">
        <v>682</v>
      </c>
      <c r="E179" s="184" t="s">
        <v>683</v>
      </c>
      <c r="F179" s="12" t="s">
        <v>1109</v>
      </c>
      <c r="G179" s="27">
        <v>1</v>
      </c>
      <c r="H179" s="27">
        <v>1</v>
      </c>
      <c r="I179" s="27">
        <v>4</v>
      </c>
      <c r="J179" s="11" t="s">
        <v>1106</v>
      </c>
      <c r="K179" s="82">
        <v>1</v>
      </c>
      <c r="L179" s="40" t="s">
        <v>684</v>
      </c>
      <c r="M179" s="40">
        <v>1</v>
      </c>
      <c r="N179" s="40">
        <v>188</v>
      </c>
      <c r="O179" s="28">
        <v>56</v>
      </c>
      <c r="P179" s="28" t="s">
        <v>147</v>
      </c>
      <c r="Q179" s="28">
        <v>2</v>
      </c>
      <c r="R179" s="28">
        <v>2</v>
      </c>
      <c r="S179" s="41">
        <v>0</v>
      </c>
      <c r="T179" s="28">
        <v>0</v>
      </c>
      <c r="U179" s="28">
        <v>0</v>
      </c>
      <c r="V179" s="28">
        <v>0</v>
      </c>
      <c r="W179" s="28">
        <v>1</v>
      </c>
      <c r="X179" s="28">
        <v>0</v>
      </c>
      <c r="Y179" s="28">
        <v>0</v>
      </c>
      <c r="Z179" s="28">
        <v>1</v>
      </c>
      <c r="AA179" s="92">
        <v>1</v>
      </c>
      <c r="AB179" s="28">
        <v>1</v>
      </c>
      <c r="AC179" s="28" t="s">
        <v>382</v>
      </c>
      <c r="AD179" s="18">
        <v>3.2</v>
      </c>
      <c r="AE179" s="28">
        <v>2.6</v>
      </c>
      <c r="AF179" s="28" t="s">
        <v>455</v>
      </c>
      <c r="AG179" s="28">
        <v>1</v>
      </c>
      <c r="AH179" s="28" t="s">
        <v>35</v>
      </c>
      <c r="AI179" s="28">
        <v>46</v>
      </c>
      <c r="AJ179" s="28">
        <v>40</v>
      </c>
      <c r="AK179" s="28">
        <v>60</v>
      </c>
      <c r="AL179" s="28">
        <v>62</v>
      </c>
      <c r="AM179" s="28">
        <v>50</v>
      </c>
      <c r="AN179" s="28">
        <v>68</v>
      </c>
      <c r="AO179" s="42"/>
      <c r="AP179" s="28">
        <v>1</v>
      </c>
      <c r="AQ179" s="28">
        <v>0</v>
      </c>
      <c r="AR179" s="28">
        <v>0</v>
      </c>
      <c r="AS179" s="28">
        <v>0</v>
      </c>
      <c r="AT179" s="28">
        <v>0</v>
      </c>
      <c r="AU179" s="28">
        <v>1</v>
      </c>
      <c r="AV179" s="28">
        <v>1</v>
      </c>
      <c r="AW179" s="28">
        <v>1</v>
      </c>
      <c r="AX179" s="28">
        <v>1</v>
      </c>
      <c r="AY179" s="34" t="s">
        <v>689</v>
      </c>
      <c r="AZ179" s="25" t="s">
        <v>686</v>
      </c>
      <c r="BA179" s="17" t="s">
        <v>183</v>
      </c>
      <c r="BB179" s="150" t="s">
        <v>46</v>
      </c>
      <c r="BD179" s="17">
        <v>3</v>
      </c>
      <c r="BE179" s="17">
        <v>6</v>
      </c>
      <c r="BF179" s="17">
        <v>0</v>
      </c>
      <c r="BG179" s="17">
        <v>0</v>
      </c>
      <c r="BH179" s="17">
        <v>1</v>
      </c>
      <c r="BI179" s="17">
        <v>0</v>
      </c>
      <c r="BJ179" s="17">
        <v>0.85</v>
      </c>
      <c r="BK179" s="17">
        <v>0.85</v>
      </c>
      <c r="BL179" s="150" t="s">
        <v>41</v>
      </c>
      <c r="BM179" s="17">
        <v>190</v>
      </c>
      <c r="BN179" s="17"/>
      <c r="BO179" s="17"/>
      <c r="BP179" s="17"/>
      <c r="BQ179" s="17"/>
      <c r="BR179" s="36"/>
      <c r="BS179" s="36"/>
      <c r="BT179" s="17"/>
      <c r="BU179" s="17">
        <v>0.67</v>
      </c>
      <c r="BV179" s="22">
        <f t="shared" si="28"/>
        <v>1.334053971921676</v>
      </c>
      <c r="BW179" s="37">
        <v>0.37</v>
      </c>
      <c r="BX179" s="17">
        <v>14</v>
      </c>
      <c r="BY179" s="17">
        <v>1.53</v>
      </c>
      <c r="BZ179" s="22">
        <f t="shared" si="29"/>
        <v>1.1898319209031165</v>
      </c>
      <c r="CA179" s="37">
        <v>0.33</v>
      </c>
      <c r="CB179" s="17">
        <v>14</v>
      </c>
      <c r="CC179" s="17">
        <v>1</v>
      </c>
      <c r="CD179" s="37">
        <f t="shared" si="30"/>
        <v>0.6803788951359091</v>
      </c>
      <c r="CE179" s="17">
        <v>28</v>
      </c>
      <c r="CF179" s="22">
        <f t="shared" si="20"/>
        <v>0.6803788951359091</v>
      </c>
      <c r="CG179" s="22">
        <f t="shared" si="23"/>
        <v>0.73797452605992109</v>
      </c>
      <c r="CI179" s="22">
        <f t="shared" si="31"/>
        <v>0.15112349001689929</v>
      </c>
      <c r="CJ179" s="37">
        <f t="shared" si="24"/>
        <v>0.14405671642787712</v>
      </c>
    </row>
    <row r="180" spans="1:88" s="150" customFormat="1" x14ac:dyDescent="0.35">
      <c r="A180" s="29" t="s">
        <v>680</v>
      </c>
      <c r="B180" s="183" t="s">
        <v>681</v>
      </c>
      <c r="C180" s="29" t="s">
        <v>498</v>
      </c>
      <c r="D180" s="184" t="s">
        <v>682</v>
      </c>
      <c r="E180" s="184" t="s">
        <v>683</v>
      </c>
      <c r="F180" s="11" t="s">
        <v>1109</v>
      </c>
      <c r="G180" s="27">
        <v>1</v>
      </c>
      <c r="H180" s="27">
        <v>1</v>
      </c>
      <c r="I180" s="27">
        <v>4</v>
      </c>
      <c r="J180" s="11" t="s">
        <v>1106</v>
      </c>
      <c r="K180" s="82">
        <v>1</v>
      </c>
      <c r="L180" s="31" t="s">
        <v>690</v>
      </c>
      <c r="M180" s="31">
        <v>2</v>
      </c>
      <c r="N180" s="31">
        <v>190</v>
      </c>
      <c r="O180" s="27">
        <v>128</v>
      </c>
      <c r="P180" s="27" t="s">
        <v>147</v>
      </c>
      <c r="Q180" s="27">
        <v>2</v>
      </c>
      <c r="R180" s="27">
        <v>1</v>
      </c>
      <c r="S180" s="32">
        <v>0</v>
      </c>
      <c r="T180" s="27">
        <v>0</v>
      </c>
      <c r="U180" s="27">
        <v>0</v>
      </c>
      <c r="V180" s="27">
        <v>0</v>
      </c>
      <c r="W180" s="27">
        <v>1</v>
      </c>
      <c r="X180" s="27">
        <v>0</v>
      </c>
      <c r="Y180" s="27">
        <v>0</v>
      </c>
      <c r="Z180" s="27">
        <v>1</v>
      </c>
      <c r="AA180" s="97">
        <v>1</v>
      </c>
      <c r="AB180" s="27">
        <v>1</v>
      </c>
      <c r="AC180" s="27" t="s">
        <v>382</v>
      </c>
      <c r="AD180" s="11">
        <v>3.2</v>
      </c>
      <c r="AE180" s="27">
        <v>2.6</v>
      </c>
      <c r="AF180" s="27" t="s">
        <v>455</v>
      </c>
      <c r="AG180" s="27">
        <v>1</v>
      </c>
      <c r="AH180" s="27" t="s">
        <v>35</v>
      </c>
      <c r="AI180" s="27">
        <v>46</v>
      </c>
      <c r="AJ180" s="27">
        <v>40</v>
      </c>
      <c r="AK180" s="27">
        <v>60</v>
      </c>
      <c r="AL180" s="27">
        <v>62</v>
      </c>
      <c r="AM180" s="27">
        <v>50</v>
      </c>
      <c r="AN180" s="27">
        <v>68</v>
      </c>
      <c r="AO180" s="33"/>
      <c r="AP180" s="27">
        <v>0</v>
      </c>
      <c r="AQ180" s="27">
        <v>0</v>
      </c>
      <c r="AR180" s="27">
        <v>0</v>
      </c>
      <c r="AS180" s="27">
        <v>0</v>
      </c>
      <c r="AT180" s="27">
        <v>0</v>
      </c>
      <c r="AU180" s="27">
        <v>1</v>
      </c>
      <c r="AV180" s="27">
        <v>1</v>
      </c>
      <c r="AW180" s="27">
        <v>1</v>
      </c>
      <c r="AX180" s="27">
        <v>1</v>
      </c>
      <c r="AY180" s="34" t="s">
        <v>691</v>
      </c>
      <c r="AZ180" s="25" t="s">
        <v>686</v>
      </c>
      <c r="BA180" s="17" t="s">
        <v>183</v>
      </c>
      <c r="BB180" s="150" t="s">
        <v>692</v>
      </c>
      <c r="BD180" s="17">
        <v>3</v>
      </c>
      <c r="BE180" s="17">
        <v>6</v>
      </c>
      <c r="BF180" s="17">
        <v>1</v>
      </c>
      <c r="BG180" s="17">
        <v>1</v>
      </c>
      <c r="BH180" s="17">
        <v>0</v>
      </c>
      <c r="BI180" s="17">
        <v>0</v>
      </c>
      <c r="BJ180" s="17">
        <v>0.85</v>
      </c>
      <c r="BK180" s="17">
        <v>0.85</v>
      </c>
      <c r="BL180" s="150" t="s">
        <v>41</v>
      </c>
      <c r="BM180" s="17">
        <v>190</v>
      </c>
      <c r="BN180" s="17"/>
      <c r="BO180" s="17"/>
      <c r="BP180" s="17"/>
      <c r="BQ180" s="17"/>
      <c r="BR180" s="36"/>
      <c r="BS180" s="36"/>
      <c r="BT180" s="17"/>
      <c r="BU180" s="17">
        <v>2.0099999999999998</v>
      </c>
      <c r="BV180" s="22">
        <f t="shared" si="28"/>
        <v>1.3446560898608981</v>
      </c>
      <c r="BW180" s="37">
        <v>0.21</v>
      </c>
      <c r="BX180" s="17">
        <v>42</v>
      </c>
      <c r="BY180" s="37">
        <v>2.31</v>
      </c>
      <c r="BZ180" s="22">
        <f t="shared" si="29"/>
        <v>1.0369185117452577</v>
      </c>
      <c r="CA180" s="37">
        <v>0.16</v>
      </c>
      <c r="CB180" s="17">
        <v>43</v>
      </c>
      <c r="CC180" s="17">
        <v>1</v>
      </c>
      <c r="CD180" s="37">
        <f t="shared" si="30"/>
        <v>0.25024036880947204</v>
      </c>
      <c r="CE180" s="17">
        <v>85</v>
      </c>
      <c r="CF180" s="22">
        <f t="shared" si="20"/>
        <v>0.25024036880947204</v>
      </c>
      <c r="CG180" s="22">
        <f t="shared" si="23"/>
        <v>0.27142378885274066</v>
      </c>
      <c r="CI180" s="22">
        <f t="shared" si="31"/>
        <v>4.7433692128788063E-2</v>
      </c>
      <c r="CJ180" s="37">
        <f t="shared" si="24"/>
        <v>4.7209226187143384E-2</v>
      </c>
    </row>
    <row r="181" spans="1:88" s="150" customFormat="1" x14ac:dyDescent="0.35">
      <c r="A181" s="29" t="s">
        <v>680</v>
      </c>
      <c r="B181" s="183" t="s">
        <v>681</v>
      </c>
      <c r="C181" s="29" t="s">
        <v>498</v>
      </c>
      <c r="D181" s="184" t="s">
        <v>682</v>
      </c>
      <c r="E181" s="184" t="s">
        <v>683</v>
      </c>
      <c r="F181" s="11" t="s">
        <v>1109</v>
      </c>
      <c r="G181" s="27">
        <v>1</v>
      </c>
      <c r="H181" s="27">
        <v>1</v>
      </c>
      <c r="I181" s="27">
        <v>4</v>
      </c>
      <c r="J181" s="11" t="s">
        <v>1106</v>
      </c>
      <c r="K181" s="82">
        <v>1</v>
      </c>
      <c r="L181" s="31" t="s">
        <v>690</v>
      </c>
      <c r="M181" s="31">
        <v>2</v>
      </c>
      <c r="N181" s="31">
        <v>190</v>
      </c>
      <c r="O181" s="27">
        <v>128</v>
      </c>
      <c r="P181" s="27" t="s">
        <v>147</v>
      </c>
      <c r="Q181" s="27">
        <v>2</v>
      </c>
      <c r="R181" s="27">
        <v>1</v>
      </c>
      <c r="S181" s="32">
        <v>0</v>
      </c>
      <c r="T181" s="27">
        <v>0</v>
      </c>
      <c r="U181" s="27">
        <v>0</v>
      </c>
      <c r="V181" s="27">
        <v>0</v>
      </c>
      <c r="W181" s="27">
        <v>1</v>
      </c>
      <c r="X181" s="27">
        <v>0</v>
      </c>
      <c r="Y181" s="27">
        <v>0</v>
      </c>
      <c r="Z181" s="27">
        <v>1</v>
      </c>
      <c r="AA181" s="97">
        <v>1</v>
      </c>
      <c r="AB181" s="27">
        <v>1</v>
      </c>
      <c r="AC181" s="27" t="s">
        <v>382</v>
      </c>
      <c r="AD181" s="11">
        <v>3.2</v>
      </c>
      <c r="AE181" s="27">
        <v>2.6</v>
      </c>
      <c r="AF181" s="27" t="s">
        <v>455</v>
      </c>
      <c r="AG181" s="27">
        <v>1</v>
      </c>
      <c r="AH181" s="27" t="s">
        <v>35</v>
      </c>
      <c r="AI181" s="27">
        <v>46</v>
      </c>
      <c r="AJ181" s="27">
        <v>40</v>
      </c>
      <c r="AK181" s="27">
        <v>60</v>
      </c>
      <c r="AL181" s="27">
        <v>62</v>
      </c>
      <c r="AM181" s="27">
        <v>50</v>
      </c>
      <c r="AN181" s="27">
        <v>68</v>
      </c>
      <c r="AO181" s="33"/>
      <c r="AP181" s="27">
        <v>0</v>
      </c>
      <c r="AQ181" s="27">
        <v>0</v>
      </c>
      <c r="AR181" s="27">
        <v>0</v>
      </c>
      <c r="AS181" s="27">
        <v>0</v>
      </c>
      <c r="AT181" s="27">
        <v>0</v>
      </c>
      <c r="AU181" s="27">
        <v>1</v>
      </c>
      <c r="AV181" s="27">
        <v>1</v>
      </c>
      <c r="AW181" s="27">
        <v>1</v>
      </c>
      <c r="AX181" s="27">
        <v>1</v>
      </c>
      <c r="AY181" s="34" t="s">
        <v>693</v>
      </c>
      <c r="AZ181" s="25" t="s">
        <v>686</v>
      </c>
      <c r="BA181" s="17" t="s">
        <v>183</v>
      </c>
      <c r="BB181" s="150" t="s">
        <v>46</v>
      </c>
      <c r="BD181" s="17">
        <v>3</v>
      </c>
      <c r="BE181" s="17">
        <v>6</v>
      </c>
      <c r="BF181" s="17">
        <v>0</v>
      </c>
      <c r="BG181" s="17">
        <v>0</v>
      </c>
      <c r="BH181" s="17">
        <v>1</v>
      </c>
      <c r="BI181" s="17">
        <v>0</v>
      </c>
      <c r="BJ181" s="17">
        <v>0.85</v>
      </c>
      <c r="BK181" s="17">
        <v>0.85</v>
      </c>
      <c r="BL181" s="150" t="s">
        <v>41</v>
      </c>
      <c r="BM181" s="17">
        <v>190</v>
      </c>
      <c r="BN181" s="17"/>
      <c r="BO181" s="17"/>
      <c r="BP181" s="17"/>
      <c r="BQ181" s="17"/>
      <c r="BR181" s="36"/>
      <c r="BS181" s="36"/>
      <c r="BT181" s="17"/>
      <c r="BU181" s="37">
        <v>0.33</v>
      </c>
      <c r="BV181" s="22">
        <f t="shared" si="28"/>
        <v>1.7288435441068692</v>
      </c>
      <c r="BW181" s="37">
        <v>0.27</v>
      </c>
      <c r="BX181" s="17">
        <v>42</v>
      </c>
      <c r="BY181" s="37">
        <v>0.84</v>
      </c>
      <c r="BZ181" s="22">
        <f t="shared" si="29"/>
        <v>1.9118185060303188</v>
      </c>
      <c r="CA181" s="37">
        <f>(0.29+0.3)/2</f>
        <v>0.29499999999999998</v>
      </c>
      <c r="CB181" s="17">
        <v>43</v>
      </c>
      <c r="CC181" s="17">
        <v>1</v>
      </c>
      <c r="CD181" s="37">
        <f t="shared" si="30"/>
        <v>0.27964679111359808</v>
      </c>
      <c r="CE181" s="17">
        <v>85</v>
      </c>
      <c r="CF181" s="22">
        <f t="shared" si="20"/>
        <v>0.27964679111359808</v>
      </c>
      <c r="CG181" s="22">
        <f t="shared" si="23"/>
        <v>0.30331953211895468</v>
      </c>
      <c r="CI181" s="22">
        <f t="shared" si="31"/>
        <v>4.7525351455836487E-2</v>
      </c>
      <c r="CJ181" s="37">
        <f t="shared" si="24"/>
        <v>4.7662758143303487E-2</v>
      </c>
    </row>
    <row r="182" spans="1:88" s="150" customFormat="1" x14ac:dyDescent="0.35">
      <c r="A182" s="29" t="s">
        <v>680</v>
      </c>
      <c r="B182" s="183" t="s">
        <v>681</v>
      </c>
      <c r="C182" s="29" t="s">
        <v>498</v>
      </c>
      <c r="D182" s="184" t="s">
        <v>682</v>
      </c>
      <c r="E182" s="184" t="s">
        <v>683</v>
      </c>
      <c r="F182" s="11" t="s">
        <v>1109</v>
      </c>
      <c r="G182" s="27">
        <v>1</v>
      </c>
      <c r="H182" s="27">
        <v>1</v>
      </c>
      <c r="I182" s="27">
        <v>4</v>
      </c>
      <c r="J182" s="11" t="s">
        <v>1106</v>
      </c>
      <c r="K182" s="82">
        <v>1</v>
      </c>
      <c r="L182" s="31" t="s">
        <v>690</v>
      </c>
      <c r="M182" s="31">
        <v>2</v>
      </c>
      <c r="N182" s="31">
        <v>190</v>
      </c>
      <c r="O182" s="27">
        <v>128</v>
      </c>
      <c r="P182" s="27" t="s">
        <v>147</v>
      </c>
      <c r="Q182" s="27">
        <v>2</v>
      </c>
      <c r="R182" s="27">
        <v>2</v>
      </c>
      <c r="S182" s="32">
        <v>0</v>
      </c>
      <c r="T182" s="27">
        <v>0</v>
      </c>
      <c r="U182" s="27">
        <v>0</v>
      </c>
      <c r="V182" s="27">
        <v>0</v>
      </c>
      <c r="W182" s="27">
        <v>1</v>
      </c>
      <c r="X182" s="27">
        <v>0</v>
      </c>
      <c r="Y182" s="27">
        <v>0</v>
      </c>
      <c r="Z182" s="27">
        <v>1</v>
      </c>
      <c r="AA182" s="97">
        <v>1</v>
      </c>
      <c r="AB182" s="27">
        <v>1</v>
      </c>
      <c r="AC182" s="27" t="s">
        <v>382</v>
      </c>
      <c r="AD182" s="11">
        <v>3.2</v>
      </c>
      <c r="AE182" s="27">
        <v>2.6</v>
      </c>
      <c r="AF182" s="27" t="s">
        <v>455</v>
      </c>
      <c r="AG182" s="27">
        <v>1</v>
      </c>
      <c r="AH182" s="27" t="s">
        <v>35</v>
      </c>
      <c r="AI182" s="27">
        <v>46</v>
      </c>
      <c r="AJ182" s="27">
        <v>40</v>
      </c>
      <c r="AK182" s="27">
        <v>60</v>
      </c>
      <c r="AL182" s="27">
        <v>62</v>
      </c>
      <c r="AM182" s="27">
        <v>50</v>
      </c>
      <c r="AN182" s="27">
        <v>68</v>
      </c>
      <c r="AO182" s="33"/>
      <c r="AP182" s="27">
        <v>1</v>
      </c>
      <c r="AQ182" s="27">
        <v>0</v>
      </c>
      <c r="AR182" s="27">
        <v>0</v>
      </c>
      <c r="AS182" s="27">
        <v>0</v>
      </c>
      <c r="AT182" s="27">
        <v>0</v>
      </c>
      <c r="AU182" s="27">
        <v>1</v>
      </c>
      <c r="AV182" s="27">
        <v>1</v>
      </c>
      <c r="AW182" s="27">
        <v>1</v>
      </c>
      <c r="AX182" s="27">
        <v>1</v>
      </c>
      <c r="AY182" s="34" t="s">
        <v>694</v>
      </c>
      <c r="AZ182" s="25" t="s">
        <v>686</v>
      </c>
      <c r="BA182" s="27" t="s">
        <v>183</v>
      </c>
      <c r="BB182" s="150" t="s">
        <v>692</v>
      </c>
      <c r="BD182" s="17">
        <v>3</v>
      </c>
      <c r="BE182" s="17">
        <v>6</v>
      </c>
      <c r="BF182" s="17">
        <v>1</v>
      </c>
      <c r="BG182" s="17">
        <v>1</v>
      </c>
      <c r="BH182" s="17">
        <v>0</v>
      </c>
      <c r="BI182" s="17">
        <v>0</v>
      </c>
      <c r="BJ182" s="17">
        <v>0.85</v>
      </c>
      <c r="BK182" s="17">
        <v>0.85</v>
      </c>
      <c r="BL182" s="150" t="s">
        <v>41</v>
      </c>
      <c r="BM182" s="17">
        <v>190</v>
      </c>
      <c r="BN182" s="17"/>
      <c r="BO182" s="17"/>
      <c r="BP182" s="17"/>
      <c r="BQ182" s="17"/>
      <c r="BR182" s="36"/>
      <c r="BS182" s="36"/>
      <c r="BT182" s="17"/>
      <c r="BU182" s="37">
        <v>1.23</v>
      </c>
      <c r="BV182" s="22">
        <f t="shared" si="28"/>
        <v>1.4086873322352267</v>
      </c>
      <c r="BW182" s="37">
        <v>0.22</v>
      </c>
      <c r="BX182" s="17">
        <v>42</v>
      </c>
      <c r="BY182" s="37">
        <v>2.36</v>
      </c>
      <c r="BZ182" s="22">
        <f t="shared" si="29"/>
        <v>1.0369185117452577</v>
      </c>
      <c r="CA182" s="37">
        <v>0.16</v>
      </c>
      <c r="CB182" s="17">
        <v>43</v>
      </c>
      <c r="CC182" s="17">
        <v>1</v>
      </c>
      <c r="CD182" s="37">
        <f t="shared" si="30"/>
        <v>0.91525046379512287</v>
      </c>
      <c r="CE182" s="17">
        <v>85</v>
      </c>
      <c r="CF182" s="22">
        <f t="shared" si="20"/>
        <v>0.91525046379512287</v>
      </c>
      <c r="CG182" s="22">
        <f t="shared" si="23"/>
        <v>0.99272851064906698</v>
      </c>
      <c r="CI182" s="22">
        <f t="shared" si="31"/>
        <v>5.1992887242289752E-2</v>
      </c>
      <c r="CJ182" s="37">
        <f t="shared" si="24"/>
        <v>5.2601910211638667E-2</v>
      </c>
    </row>
    <row r="183" spans="1:88" s="150" customFormat="1" x14ac:dyDescent="0.35">
      <c r="A183" s="29" t="s">
        <v>680</v>
      </c>
      <c r="B183" s="183" t="s">
        <v>681</v>
      </c>
      <c r="C183" s="29" t="s">
        <v>498</v>
      </c>
      <c r="D183" s="184" t="s">
        <v>682</v>
      </c>
      <c r="E183" s="184" t="s">
        <v>683</v>
      </c>
      <c r="F183" s="12" t="s">
        <v>1109</v>
      </c>
      <c r="G183" s="27">
        <v>1</v>
      </c>
      <c r="H183" s="27">
        <v>1</v>
      </c>
      <c r="I183" s="27">
        <v>4</v>
      </c>
      <c r="J183" s="11" t="s">
        <v>1106</v>
      </c>
      <c r="K183" s="82">
        <v>1</v>
      </c>
      <c r="L183" s="40" t="s">
        <v>690</v>
      </c>
      <c r="M183" s="40">
        <v>2</v>
      </c>
      <c r="N183" s="40">
        <v>190</v>
      </c>
      <c r="O183" s="28">
        <v>128</v>
      </c>
      <c r="P183" s="28" t="s">
        <v>147</v>
      </c>
      <c r="Q183" s="28">
        <v>2</v>
      </c>
      <c r="R183" s="28">
        <v>2</v>
      </c>
      <c r="S183" s="41">
        <v>0</v>
      </c>
      <c r="T183" s="28">
        <v>0</v>
      </c>
      <c r="U183" s="28">
        <v>0</v>
      </c>
      <c r="V183" s="28">
        <v>0</v>
      </c>
      <c r="W183" s="28">
        <v>1</v>
      </c>
      <c r="X183" s="28">
        <v>0</v>
      </c>
      <c r="Y183" s="28">
        <v>0</v>
      </c>
      <c r="Z183" s="28">
        <v>1</v>
      </c>
      <c r="AA183" s="92">
        <v>1</v>
      </c>
      <c r="AB183" s="28">
        <v>1</v>
      </c>
      <c r="AC183" s="28" t="s">
        <v>382</v>
      </c>
      <c r="AD183" s="18">
        <v>3.2</v>
      </c>
      <c r="AE183" s="28">
        <v>2.6</v>
      </c>
      <c r="AF183" s="28" t="s">
        <v>455</v>
      </c>
      <c r="AG183" s="28">
        <v>1</v>
      </c>
      <c r="AH183" s="28" t="s">
        <v>35</v>
      </c>
      <c r="AI183" s="28">
        <v>46</v>
      </c>
      <c r="AJ183" s="28">
        <v>40</v>
      </c>
      <c r="AK183" s="28">
        <v>60</v>
      </c>
      <c r="AL183" s="28">
        <v>62</v>
      </c>
      <c r="AM183" s="28">
        <v>50</v>
      </c>
      <c r="AN183" s="28">
        <v>68</v>
      </c>
      <c r="AO183" s="42"/>
      <c r="AP183" s="28">
        <v>1</v>
      </c>
      <c r="AQ183" s="28">
        <v>0</v>
      </c>
      <c r="AR183" s="28">
        <v>0</v>
      </c>
      <c r="AS183" s="28">
        <v>0</v>
      </c>
      <c r="AT183" s="28">
        <v>0</v>
      </c>
      <c r="AU183" s="28">
        <v>1</v>
      </c>
      <c r="AV183" s="28">
        <v>1</v>
      </c>
      <c r="AW183" s="28">
        <v>1</v>
      </c>
      <c r="AX183" s="28">
        <v>1</v>
      </c>
      <c r="AY183" s="34" t="s">
        <v>695</v>
      </c>
      <c r="AZ183" s="25" t="s">
        <v>686</v>
      </c>
      <c r="BA183" s="17" t="s">
        <v>183</v>
      </c>
      <c r="BB183" s="150" t="s">
        <v>46</v>
      </c>
      <c r="BD183" s="17">
        <v>3</v>
      </c>
      <c r="BE183" s="17">
        <v>6</v>
      </c>
      <c r="BF183" s="17">
        <v>0</v>
      </c>
      <c r="BG183" s="17">
        <v>0</v>
      </c>
      <c r="BH183" s="17">
        <v>1</v>
      </c>
      <c r="BI183" s="17">
        <v>0</v>
      </c>
      <c r="BJ183" s="17">
        <v>0.85</v>
      </c>
      <c r="BK183" s="17">
        <v>0.85</v>
      </c>
      <c r="BL183" s="150" t="s">
        <v>41</v>
      </c>
      <c r="BM183" s="17">
        <v>190</v>
      </c>
      <c r="BN183" s="17"/>
      <c r="BO183" s="17"/>
      <c r="BP183" s="17"/>
      <c r="BQ183" s="17"/>
      <c r="BR183" s="36"/>
      <c r="BS183" s="36"/>
      <c r="BT183" s="17"/>
      <c r="BU183" s="37">
        <v>-0.18</v>
      </c>
      <c r="BV183" s="22">
        <f t="shared" si="28"/>
        <v>1.8569060288555259</v>
      </c>
      <c r="BW183" s="37">
        <v>0.28999999999999998</v>
      </c>
      <c r="BX183" s="17">
        <v>42</v>
      </c>
      <c r="BY183" s="37">
        <v>0.39</v>
      </c>
      <c r="BZ183" s="22">
        <f t="shared" si="29"/>
        <v>1.8794148025382793</v>
      </c>
      <c r="CA183" s="22">
        <v>0.28999999999999998</v>
      </c>
      <c r="CB183" s="17">
        <v>43</v>
      </c>
      <c r="CC183" s="17">
        <v>1</v>
      </c>
      <c r="CD183" s="37">
        <f t="shared" si="30"/>
        <v>0.30508530590859745</v>
      </c>
      <c r="CE183" s="17">
        <v>85</v>
      </c>
      <c r="CF183" s="22">
        <f t="shared" ref="CF183:CF246" si="32">CD183</f>
        <v>0.30508530590859745</v>
      </c>
      <c r="CG183" s="22">
        <f t="shared" si="23"/>
        <v>0.33091147542248406</v>
      </c>
      <c r="CI183" s="22">
        <f t="shared" si="31"/>
        <v>4.7612849785843604E-2</v>
      </c>
      <c r="CJ183" s="37">
        <f t="shared" si="24"/>
        <v>4.7767276253821704E-2</v>
      </c>
    </row>
    <row r="184" spans="1:88" s="150" customFormat="1" x14ac:dyDescent="0.35">
      <c r="A184" s="29" t="s">
        <v>680</v>
      </c>
      <c r="B184" s="183" t="s">
        <v>681</v>
      </c>
      <c r="C184" s="29" t="s">
        <v>498</v>
      </c>
      <c r="D184" s="184" t="s">
        <v>682</v>
      </c>
      <c r="E184" s="184" t="s">
        <v>683</v>
      </c>
      <c r="F184" s="11" t="s">
        <v>1109</v>
      </c>
      <c r="G184" s="27">
        <v>1</v>
      </c>
      <c r="H184" s="27">
        <v>1</v>
      </c>
      <c r="I184" s="27">
        <v>4</v>
      </c>
      <c r="J184" s="11" t="s">
        <v>1106</v>
      </c>
      <c r="K184" s="82">
        <v>1</v>
      </c>
      <c r="L184" s="31" t="s">
        <v>701</v>
      </c>
      <c r="M184" s="31">
        <v>4</v>
      </c>
      <c r="N184" s="31">
        <v>194</v>
      </c>
      <c r="O184" s="27">
        <v>101</v>
      </c>
      <c r="P184" s="27" t="s">
        <v>218</v>
      </c>
      <c r="Q184" s="27">
        <v>2</v>
      </c>
      <c r="R184" s="27">
        <v>1</v>
      </c>
      <c r="S184" s="32">
        <v>0</v>
      </c>
      <c r="T184" s="27">
        <v>0</v>
      </c>
      <c r="U184" s="27">
        <v>0</v>
      </c>
      <c r="V184" s="27">
        <v>0</v>
      </c>
      <c r="W184" s="27">
        <v>1</v>
      </c>
      <c r="X184" s="27">
        <v>0</v>
      </c>
      <c r="Y184" s="27">
        <v>0</v>
      </c>
      <c r="Z184" s="27">
        <v>1</v>
      </c>
      <c r="AA184" s="97">
        <v>1</v>
      </c>
      <c r="AB184" s="27">
        <v>1</v>
      </c>
      <c r="AC184" s="27" t="s">
        <v>382</v>
      </c>
      <c r="AD184" s="11">
        <v>3.2</v>
      </c>
      <c r="AE184" s="27">
        <v>2.6</v>
      </c>
      <c r="AF184" s="27" t="s">
        <v>455</v>
      </c>
      <c r="AG184" s="27">
        <v>1</v>
      </c>
      <c r="AH184" s="27" t="s">
        <v>35</v>
      </c>
      <c r="AI184" s="27">
        <v>46</v>
      </c>
      <c r="AJ184" s="27">
        <v>40</v>
      </c>
      <c r="AK184" s="27">
        <v>60</v>
      </c>
      <c r="AL184" s="27">
        <v>62</v>
      </c>
      <c r="AM184" s="27">
        <v>50</v>
      </c>
      <c r="AN184" s="27">
        <v>68</v>
      </c>
      <c r="AO184" s="33"/>
      <c r="AP184" s="27">
        <v>0</v>
      </c>
      <c r="AQ184" s="27">
        <v>1</v>
      </c>
      <c r="AR184" s="27">
        <v>0</v>
      </c>
      <c r="AS184" s="27">
        <v>0</v>
      </c>
      <c r="AT184" s="27">
        <v>1</v>
      </c>
      <c r="AU184" s="27">
        <v>0</v>
      </c>
      <c r="AV184" s="27">
        <v>1</v>
      </c>
      <c r="AW184" s="27">
        <v>1</v>
      </c>
      <c r="AX184" s="27">
        <v>1</v>
      </c>
      <c r="AY184" s="34" t="s">
        <v>702</v>
      </c>
      <c r="AZ184" s="25" t="s">
        <v>686</v>
      </c>
      <c r="BA184" s="17" t="s">
        <v>517</v>
      </c>
      <c r="BB184" s="150" t="s">
        <v>692</v>
      </c>
      <c r="BD184" s="17">
        <v>3</v>
      </c>
      <c r="BE184" s="17">
        <v>6</v>
      </c>
      <c r="BF184" s="17">
        <v>1</v>
      </c>
      <c r="BG184" s="17">
        <v>1</v>
      </c>
      <c r="BH184" s="17">
        <v>0</v>
      </c>
      <c r="BI184" s="17">
        <v>0</v>
      </c>
      <c r="BJ184" s="17">
        <v>0.85</v>
      </c>
      <c r="BK184" s="17">
        <v>0.85</v>
      </c>
      <c r="BL184" s="150" t="s">
        <v>41</v>
      </c>
      <c r="BM184" s="17">
        <v>195</v>
      </c>
      <c r="BN184" s="17"/>
      <c r="BO184" s="17"/>
      <c r="BP184" s="17"/>
      <c r="BQ184" s="17"/>
      <c r="BR184" s="36"/>
      <c r="BS184" s="36"/>
      <c r="BT184" s="17"/>
      <c r="BU184" s="37">
        <f>(1.26+0.94)/2</f>
        <v>1.1000000000000001</v>
      </c>
      <c r="BV184" s="22">
        <f t="shared" si="28"/>
        <v>1.6411581276647293</v>
      </c>
      <c r="BW184" s="37">
        <f>(0.34+0.33)/2</f>
        <v>0.33500000000000002</v>
      </c>
      <c r="BX184" s="17">
        <v>25</v>
      </c>
      <c r="BY184" s="37">
        <f>(1.83+2.05)/2</f>
        <v>1.94</v>
      </c>
      <c r="BZ184" s="22">
        <f t="shared" si="29"/>
        <v>1.6</v>
      </c>
      <c r="CA184" s="37">
        <v>0.32</v>
      </c>
      <c r="CB184" s="17">
        <v>26</v>
      </c>
      <c r="CC184" s="17">
        <v>1</v>
      </c>
      <c r="CD184" s="37">
        <f t="shared" si="30"/>
        <v>0.51842580362502733</v>
      </c>
      <c r="CE184" s="17">
        <v>51</v>
      </c>
      <c r="CF184" s="22">
        <f t="shared" si="32"/>
        <v>0.51842580362502733</v>
      </c>
      <c r="CG184" s="22">
        <f t="shared" si="23"/>
        <v>0.56231173462690953</v>
      </c>
      <c r="CI184" s="22">
        <f t="shared" si="31"/>
        <v>8.1096492519031158E-2</v>
      </c>
      <c r="CJ184" s="37">
        <f t="shared" si="24"/>
        <v>8.0299878501649644E-2</v>
      </c>
    </row>
    <row r="185" spans="1:88" s="150" customFormat="1" x14ac:dyDescent="0.35">
      <c r="A185" s="29" t="s">
        <v>680</v>
      </c>
      <c r="B185" s="183" t="s">
        <v>681</v>
      </c>
      <c r="C185" s="29" t="s">
        <v>498</v>
      </c>
      <c r="D185" s="184" t="s">
        <v>682</v>
      </c>
      <c r="E185" s="184" t="s">
        <v>683</v>
      </c>
      <c r="F185" s="12" t="s">
        <v>1109</v>
      </c>
      <c r="G185" s="27">
        <v>1</v>
      </c>
      <c r="H185" s="27">
        <v>1</v>
      </c>
      <c r="I185" s="27">
        <v>4</v>
      </c>
      <c r="J185" s="11" t="s">
        <v>1106</v>
      </c>
      <c r="K185" s="82">
        <v>1</v>
      </c>
      <c r="L185" s="74" t="s">
        <v>701</v>
      </c>
      <c r="M185" s="74">
        <v>4</v>
      </c>
      <c r="N185" s="74">
        <v>194</v>
      </c>
      <c r="O185" s="27">
        <v>101</v>
      </c>
      <c r="P185" s="27" t="s">
        <v>218</v>
      </c>
      <c r="Q185" s="27">
        <v>2</v>
      </c>
      <c r="R185" s="27">
        <v>1</v>
      </c>
      <c r="S185" s="32">
        <v>0</v>
      </c>
      <c r="T185" s="27">
        <v>0</v>
      </c>
      <c r="U185" s="27">
        <v>0</v>
      </c>
      <c r="V185" s="27">
        <v>0</v>
      </c>
      <c r="W185" s="27">
        <v>1</v>
      </c>
      <c r="X185" s="27">
        <v>0</v>
      </c>
      <c r="Y185" s="27">
        <v>0</v>
      </c>
      <c r="Z185" s="27">
        <v>1</v>
      </c>
      <c r="AA185" s="2">
        <v>1</v>
      </c>
      <c r="AB185" s="27">
        <v>1</v>
      </c>
      <c r="AC185" s="27" t="s">
        <v>382</v>
      </c>
      <c r="AD185" s="12">
        <v>3.2</v>
      </c>
      <c r="AE185" s="27">
        <v>2.6</v>
      </c>
      <c r="AF185" s="27" t="s">
        <v>455</v>
      </c>
      <c r="AG185" s="27">
        <v>1</v>
      </c>
      <c r="AH185" s="27" t="s">
        <v>35</v>
      </c>
      <c r="AI185" s="27">
        <v>46</v>
      </c>
      <c r="AJ185" s="27">
        <v>40</v>
      </c>
      <c r="AK185" s="27">
        <v>60</v>
      </c>
      <c r="AL185" s="27">
        <v>62</v>
      </c>
      <c r="AM185" s="27">
        <v>50</v>
      </c>
      <c r="AN185" s="27">
        <v>68</v>
      </c>
      <c r="AO185" s="33"/>
      <c r="AP185" s="27">
        <v>0</v>
      </c>
      <c r="AQ185" s="27">
        <v>1</v>
      </c>
      <c r="AR185" s="27">
        <v>0</v>
      </c>
      <c r="AS185" s="27">
        <v>0</v>
      </c>
      <c r="AT185" s="27">
        <v>1</v>
      </c>
      <c r="AU185" s="27">
        <v>0</v>
      </c>
      <c r="AV185" s="27">
        <v>1</v>
      </c>
      <c r="AW185" s="27">
        <v>1</v>
      </c>
      <c r="AX185" s="27">
        <v>1</v>
      </c>
      <c r="AY185" s="34" t="s">
        <v>703</v>
      </c>
      <c r="AZ185" s="25" t="s">
        <v>686</v>
      </c>
      <c r="BA185" s="17" t="s">
        <v>517</v>
      </c>
      <c r="BB185" s="150" t="s">
        <v>46</v>
      </c>
      <c r="BD185" s="17">
        <v>3</v>
      </c>
      <c r="BE185" s="17">
        <v>6</v>
      </c>
      <c r="BF185" s="17">
        <v>0</v>
      </c>
      <c r="BG185" s="17">
        <v>0</v>
      </c>
      <c r="BH185" s="17">
        <v>1</v>
      </c>
      <c r="BI185" s="17">
        <v>0</v>
      </c>
      <c r="BJ185" s="17">
        <v>0.85</v>
      </c>
      <c r="BK185" s="17">
        <v>0.85</v>
      </c>
      <c r="BL185" s="150" t="s">
        <v>41</v>
      </c>
      <c r="BM185" s="17">
        <v>195</v>
      </c>
      <c r="BN185" s="17"/>
      <c r="BO185" s="17"/>
      <c r="BP185" s="17"/>
      <c r="BQ185" s="17"/>
      <c r="BR185" s="36"/>
      <c r="BS185" s="36"/>
      <c r="BT185" s="17"/>
      <c r="BU185" s="37">
        <f>(-0.15 - 0.22) /2</f>
        <v>-0.185</v>
      </c>
      <c r="BV185" s="22">
        <f t="shared" si="28"/>
        <v>1.8616122045152153</v>
      </c>
      <c r="BW185" s="37">
        <f>(0.39+0.37)/2</f>
        <v>0.38</v>
      </c>
      <c r="BX185" s="17">
        <v>25</v>
      </c>
      <c r="BY185" s="37">
        <f>(0.57+0.71)/2</f>
        <v>0.6399999999999999</v>
      </c>
      <c r="BZ185" s="22">
        <f t="shared" si="29"/>
        <v>1.7999999999999998</v>
      </c>
      <c r="CA185" s="37">
        <v>0.36</v>
      </c>
      <c r="CB185" s="17">
        <v>26</v>
      </c>
      <c r="CC185" s="17">
        <v>1</v>
      </c>
      <c r="CD185" s="37">
        <f t="shared" si="30"/>
        <v>0.45071215418024391</v>
      </c>
      <c r="CE185" s="17">
        <v>51</v>
      </c>
      <c r="CF185" s="22">
        <f t="shared" si="32"/>
        <v>0.45071215418024391</v>
      </c>
      <c r="CG185" s="22">
        <f t="shared" si="23"/>
        <v>0.48886596975376528</v>
      </c>
      <c r="CI185" s="22">
        <f t="shared" si="31"/>
        <v>8.045312126473253E-2</v>
      </c>
      <c r="CJ185" s="37">
        <f t="shared" si="24"/>
        <v>8.0634174246841092E-2</v>
      </c>
    </row>
    <row r="186" spans="1:88" s="150" customFormat="1" x14ac:dyDescent="0.35">
      <c r="A186" s="29" t="s">
        <v>680</v>
      </c>
      <c r="B186" s="183" t="s">
        <v>681</v>
      </c>
      <c r="C186" s="29" t="s">
        <v>498</v>
      </c>
      <c r="D186" s="184" t="s">
        <v>682</v>
      </c>
      <c r="E186" s="184" t="s">
        <v>683</v>
      </c>
      <c r="F186" s="12" t="s">
        <v>1109</v>
      </c>
      <c r="G186" s="27">
        <v>1</v>
      </c>
      <c r="H186" s="27">
        <v>1</v>
      </c>
      <c r="I186" s="27">
        <v>4</v>
      </c>
      <c r="J186" s="11" t="s">
        <v>1106</v>
      </c>
      <c r="K186" s="82">
        <v>1</v>
      </c>
      <c r="L186" s="31" t="s">
        <v>701</v>
      </c>
      <c r="M186" s="74">
        <v>4</v>
      </c>
      <c r="N186" s="74">
        <v>194</v>
      </c>
      <c r="O186" s="27">
        <v>101</v>
      </c>
      <c r="P186" s="27" t="s">
        <v>218</v>
      </c>
      <c r="Q186" s="27">
        <v>2</v>
      </c>
      <c r="R186" s="27">
        <v>2</v>
      </c>
      <c r="S186" s="32">
        <v>0</v>
      </c>
      <c r="T186" s="27">
        <v>0</v>
      </c>
      <c r="U186" s="27">
        <v>0</v>
      </c>
      <c r="V186" s="27">
        <v>0</v>
      </c>
      <c r="W186" s="27">
        <v>1</v>
      </c>
      <c r="X186" s="27">
        <v>0</v>
      </c>
      <c r="Y186" s="27">
        <v>0</v>
      </c>
      <c r="Z186" s="27">
        <v>1</v>
      </c>
      <c r="AA186" s="2">
        <v>1</v>
      </c>
      <c r="AB186" s="27">
        <v>1</v>
      </c>
      <c r="AC186" s="27" t="s">
        <v>382</v>
      </c>
      <c r="AD186" s="12">
        <v>3.2</v>
      </c>
      <c r="AE186" s="27">
        <v>2.6</v>
      </c>
      <c r="AF186" s="27" t="s">
        <v>455</v>
      </c>
      <c r="AG186" s="27">
        <v>1</v>
      </c>
      <c r="AH186" s="27" t="s">
        <v>35</v>
      </c>
      <c r="AI186" s="27">
        <v>46</v>
      </c>
      <c r="AJ186" s="27">
        <v>40</v>
      </c>
      <c r="AK186" s="27">
        <v>60</v>
      </c>
      <c r="AL186" s="27">
        <v>62</v>
      </c>
      <c r="AM186" s="27">
        <v>50</v>
      </c>
      <c r="AN186" s="27">
        <v>68</v>
      </c>
      <c r="AO186" s="33"/>
      <c r="AP186" s="27">
        <v>1</v>
      </c>
      <c r="AQ186" s="27">
        <v>1</v>
      </c>
      <c r="AR186" s="27">
        <v>0</v>
      </c>
      <c r="AS186" s="27">
        <v>0</v>
      </c>
      <c r="AT186" s="27">
        <v>1</v>
      </c>
      <c r="AU186" s="27">
        <v>0</v>
      </c>
      <c r="AV186" s="27">
        <v>1</v>
      </c>
      <c r="AW186" s="27">
        <v>1</v>
      </c>
      <c r="AX186" s="27">
        <v>1</v>
      </c>
      <c r="AY186" s="34" t="s">
        <v>704</v>
      </c>
      <c r="AZ186" s="25" t="s">
        <v>686</v>
      </c>
      <c r="BA186" s="17" t="s">
        <v>517</v>
      </c>
      <c r="BB186" s="150" t="s">
        <v>692</v>
      </c>
      <c r="BD186" s="17">
        <v>3</v>
      </c>
      <c r="BE186" s="17">
        <v>6</v>
      </c>
      <c r="BF186" s="17">
        <v>1</v>
      </c>
      <c r="BG186" s="17">
        <v>1</v>
      </c>
      <c r="BH186" s="17">
        <v>0</v>
      </c>
      <c r="BI186" s="17">
        <v>0</v>
      </c>
      <c r="BJ186" s="17">
        <v>0.85</v>
      </c>
      <c r="BK186" s="17">
        <v>0.85</v>
      </c>
      <c r="BL186" s="150" t="s">
        <v>41</v>
      </c>
      <c r="BM186" s="17">
        <v>195</v>
      </c>
      <c r="BN186" s="17"/>
      <c r="BO186" s="17"/>
      <c r="BP186" s="17"/>
      <c r="BQ186" s="17"/>
      <c r="BR186" s="36"/>
      <c r="BS186" s="36"/>
      <c r="BT186" s="17"/>
      <c r="BU186" s="37">
        <f xml:space="preserve"> (0.81 + 1.6)/2</f>
        <v>1.2050000000000001</v>
      </c>
      <c r="BV186" s="22">
        <f t="shared" si="28"/>
        <v>1.5676734353812338</v>
      </c>
      <c r="BW186" s="37">
        <v>0.32</v>
      </c>
      <c r="BX186" s="17">
        <v>25</v>
      </c>
      <c r="BY186" s="37">
        <f>(1.71+1.9)/2</f>
        <v>1.8049999999999999</v>
      </c>
      <c r="BZ186" s="22">
        <f t="shared" si="29"/>
        <v>1.6500000000000001</v>
      </c>
      <c r="CA186" s="37">
        <v>0.33</v>
      </c>
      <c r="CB186" s="17">
        <v>26</v>
      </c>
      <c r="CC186" s="17">
        <v>1</v>
      </c>
      <c r="CD186" s="37">
        <f t="shared" si="30"/>
        <v>0.37262387043792761</v>
      </c>
      <c r="CE186" s="17">
        <v>51</v>
      </c>
      <c r="CF186" s="22">
        <f t="shared" si="32"/>
        <v>0.37262387043792761</v>
      </c>
      <c r="CG186" s="22">
        <f t="shared" si="23"/>
        <v>0.40416733404129629</v>
      </c>
      <c r="CI186" s="22">
        <f t="shared" si="31"/>
        <v>7.982279874408886E-2</v>
      </c>
      <c r="CJ186" s="37">
        <f t="shared" si="24"/>
        <v>7.9389670472368279E-2</v>
      </c>
    </row>
    <row r="187" spans="1:88" s="150" customFormat="1" x14ac:dyDescent="0.35">
      <c r="A187" s="29" t="s">
        <v>680</v>
      </c>
      <c r="B187" s="183" t="s">
        <v>681</v>
      </c>
      <c r="C187" s="29" t="s">
        <v>498</v>
      </c>
      <c r="D187" s="184" t="s">
        <v>682</v>
      </c>
      <c r="E187" s="184" t="s">
        <v>683</v>
      </c>
      <c r="F187" s="11" t="s">
        <v>1109</v>
      </c>
      <c r="G187" s="27">
        <v>1</v>
      </c>
      <c r="H187" s="27">
        <v>1</v>
      </c>
      <c r="I187" s="27">
        <v>4</v>
      </c>
      <c r="J187" s="11" t="s">
        <v>1106</v>
      </c>
      <c r="K187" s="82">
        <v>1</v>
      </c>
      <c r="L187" s="40" t="s">
        <v>701</v>
      </c>
      <c r="M187" s="40">
        <v>4</v>
      </c>
      <c r="N187" s="40">
        <v>194</v>
      </c>
      <c r="O187" s="28">
        <v>101</v>
      </c>
      <c r="P187" s="28" t="s">
        <v>218</v>
      </c>
      <c r="Q187" s="28">
        <v>2</v>
      </c>
      <c r="R187" s="28">
        <v>2</v>
      </c>
      <c r="S187" s="41">
        <v>0</v>
      </c>
      <c r="T187" s="28">
        <v>0</v>
      </c>
      <c r="U187" s="28">
        <v>0</v>
      </c>
      <c r="V187" s="28">
        <v>0</v>
      </c>
      <c r="W187" s="28">
        <v>1</v>
      </c>
      <c r="X187" s="28">
        <v>0</v>
      </c>
      <c r="Y187" s="28">
        <v>0</v>
      </c>
      <c r="Z187" s="28">
        <v>1</v>
      </c>
      <c r="AA187" s="92">
        <v>1</v>
      </c>
      <c r="AB187" s="28">
        <v>1</v>
      </c>
      <c r="AC187" s="28" t="s">
        <v>382</v>
      </c>
      <c r="AD187" s="18">
        <v>3.2</v>
      </c>
      <c r="AE187" s="28">
        <v>2.6</v>
      </c>
      <c r="AF187" s="28" t="s">
        <v>455</v>
      </c>
      <c r="AG187" s="28">
        <v>1</v>
      </c>
      <c r="AH187" s="28" t="s">
        <v>35</v>
      </c>
      <c r="AI187" s="28">
        <v>46</v>
      </c>
      <c r="AJ187" s="28">
        <v>40</v>
      </c>
      <c r="AK187" s="28">
        <v>60</v>
      </c>
      <c r="AL187" s="28">
        <v>62</v>
      </c>
      <c r="AM187" s="28">
        <v>50</v>
      </c>
      <c r="AN187" s="28">
        <v>68</v>
      </c>
      <c r="AO187" s="42"/>
      <c r="AP187" s="28">
        <v>1</v>
      </c>
      <c r="AQ187" s="28">
        <v>1</v>
      </c>
      <c r="AR187" s="28">
        <v>0</v>
      </c>
      <c r="AS187" s="28">
        <v>0</v>
      </c>
      <c r="AT187" s="28">
        <v>1</v>
      </c>
      <c r="AU187" s="28">
        <v>0</v>
      </c>
      <c r="AV187" s="28">
        <v>1</v>
      </c>
      <c r="AW187" s="28">
        <v>1</v>
      </c>
      <c r="AX187" s="28">
        <v>1</v>
      </c>
      <c r="AY187" s="34" t="s">
        <v>705</v>
      </c>
      <c r="AZ187" s="25" t="s">
        <v>686</v>
      </c>
      <c r="BA187" s="17" t="s">
        <v>517</v>
      </c>
      <c r="BB187" s="150" t="s">
        <v>46</v>
      </c>
      <c r="BD187" s="17">
        <v>3</v>
      </c>
      <c r="BE187" s="17">
        <v>6</v>
      </c>
      <c r="BF187" s="17">
        <v>0</v>
      </c>
      <c r="BG187" s="17">
        <v>0</v>
      </c>
      <c r="BH187" s="17">
        <v>1</v>
      </c>
      <c r="BI187" s="17">
        <v>0</v>
      </c>
      <c r="BJ187" s="17">
        <v>0.85</v>
      </c>
      <c r="BK187" s="17">
        <v>0.85</v>
      </c>
      <c r="BL187" s="150" t="s">
        <v>41</v>
      </c>
      <c r="BM187" s="17">
        <v>195</v>
      </c>
      <c r="BN187" s="17"/>
      <c r="BO187" s="17"/>
      <c r="BP187" s="17"/>
      <c r="BQ187" s="17"/>
      <c r="BR187" s="36" t="s">
        <v>706</v>
      </c>
      <c r="BS187" s="36"/>
      <c r="BT187" s="17"/>
      <c r="BU187" s="37">
        <f>(0.29-0.295)/2</f>
        <v>-2.5000000000000022E-3</v>
      </c>
      <c r="BV187" s="22">
        <f t="shared" si="28"/>
        <v>1.7636326148038881</v>
      </c>
      <c r="BW187" s="37">
        <v>0.36</v>
      </c>
      <c r="BX187" s="17">
        <v>25</v>
      </c>
      <c r="BY187" s="37">
        <f>(0.74+0.4)/2</f>
        <v>0.57000000000000006</v>
      </c>
      <c r="BZ187" s="22">
        <f t="shared" si="29"/>
        <v>1.825</v>
      </c>
      <c r="CA187" s="37">
        <f>(0.37+0.36+0.37+0.36)/4</f>
        <v>0.36499999999999999</v>
      </c>
      <c r="CB187" s="17">
        <v>26</v>
      </c>
      <c r="CC187" s="17">
        <v>1</v>
      </c>
      <c r="CD187" s="37">
        <f t="shared" si="30"/>
        <v>0.31890514749193044</v>
      </c>
      <c r="CE187" s="17">
        <v>51</v>
      </c>
      <c r="CF187" s="22">
        <f t="shared" si="32"/>
        <v>0.31890514749193044</v>
      </c>
      <c r="CG187" s="22">
        <f t="shared" si="23"/>
        <v>0.34590119823075272</v>
      </c>
      <c r="CI187" s="22">
        <f t="shared" si="31"/>
        <v>7.9458602119350713E-2</v>
      </c>
      <c r="CJ187" s="37">
        <f t="shared" si="24"/>
        <v>7.9762056276076174E-2</v>
      </c>
    </row>
    <row r="188" spans="1:88" s="150" customFormat="1" x14ac:dyDescent="0.35">
      <c r="A188" s="29" t="s">
        <v>680</v>
      </c>
      <c r="B188" s="183" t="s">
        <v>681</v>
      </c>
      <c r="C188" s="29" t="s">
        <v>498</v>
      </c>
      <c r="D188" s="184" t="s">
        <v>682</v>
      </c>
      <c r="E188" s="184" t="s">
        <v>683</v>
      </c>
      <c r="F188" s="11" t="s">
        <v>1109</v>
      </c>
      <c r="G188" s="27">
        <v>1</v>
      </c>
      <c r="H188" s="27">
        <v>1</v>
      </c>
      <c r="I188" s="27">
        <v>4</v>
      </c>
      <c r="J188" s="11" t="s">
        <v>1106</v>
      </c>
      <c r="K188" s="82">
        <v>1</v>
      </c>
      <c r="L188" s="31" t="s">
        <v>696</v>
      </c>
      <c r="M188" s="31">
        <v>3</v>
      </c>
      <c r="N188" s="31">
        <v>192</v>
      </c>
      <c r="O188" s="27">
        <v>110</v>
      </c>
      <c r="P188" s="27" t="s">
        <v>147</v>
      </c>
      <c r="Q188" s="27">
        <v>2</v>
      </c>
      <c r="R188" s="27">
        <v>1</v>
      </c>
      <c r="S188" s="32">
        <v>0</v>
      </c>
      <c r="T188" s="27">
        <v>0</v>
      </c>
      <c r="U188" s="27">
        <v>0</v>
      </c>
      <c r="V188" s="27">
        <v>0</v>
      </c>
      <c r="W188" s="27">
        <v>1</v>
      </c>
      <c r="X188" s="27">
        <v>0</v>
      </c>
      <c r="Y188" s="27">
        <v>0</v>
      </c>
      <c r="Z188" s="27">
        <v>1</v>
      </c>
      <c r="AA188" s="97">
        <v>1</v>
      </c>
      <c r="AB188" s="27">
        <v>1</v>
      </c>
      <c r="AC188" s="27" t="s">
        <v>382</v>
      </c>
      <c r="AD188" s="11">
        <v>3.2</v>
      </c>
      <c r="AE188" s="27">
        <v>2.6</v>
      </c>
      <c r="AF188" s="27" t="s">
        <v>455</v>
      </c>
      <c r="AG188" s="27">
        <v>1</v>
      </c>
      <c r="AH188" s="27" t="s">
        <v>35</v>
      </c>
      <c r="AI188" s="27">
        <v>46</v>
      </c>
      <c r="AJ188" s="27">
        <v>40</v>
      </c>
      <c r="AK188" s="27">
        <v>60</v>
      </c>
      <c r="AL188" s="27">
        <v>62</v>
      </c>
      <c r="AM188" s="27">
        <v>50</v>
      </c>
      <c r="AN188" s="27">
        <v>68</v>
      </c>
      <c r="AO188" s="33"/>
      <c r="AP188" s="27">
        <v>0</v>
      </c>
      <c r="AQ188" s="27">
        <v>0</v>
      </c>
      <c r="AR188" s="27">
        <v>0</v>
      </c>
      <c r="AS188" s="27">
        <v>0</v>
      </c>
      <c r="AT188" s="27">
        <v>0</v>
      </c>
      <c r="AU188" s="27">
        <v>1</v>
      </c>
      <c r="AV188" s="27">
        <v>0</v>
      </c>
      <c r="AW188" s="27">
        <v>0</v>
      </c>
      <c r="AX188" s="27">
        <v>1</v>
      </c>
      <c r="AY188" s="34" t="s">
        <v>697</v>
      </c>
      <c r="AZ188" s="25" t="s">
        <v>686</v>
      </c>
      <c r="BA188" s="17" t="s">
        <v>183</v>
      </c>
      <c r="BB188" s="150" t="s">
        <v>692</v>
      </c>
      <c r="BD188" s="17">
        <v>3</v>
      </c>
      <c r="BE188" s="17">
        <v>6</v>
      </c>
      <c r="BF188" s="17">
        <v>1</v>
      </c>
      <c r="BG188" s="17">
        <v>1</v>
      </c>
      <c r="BH188" s="17">
        <v>0</v>
      </c>
      <c r="BI188" s="17">
        <v>0</v>
      </c>
      <c r="BJ188" s="17">
        <v>0.85</v>
      </c>
      <c r="BK188" s="17">
        <v>0.85</v>
      </c>
      <c r="BL188" s="150" t="s">
        <v>41</v>
      </c>
      <c r="BM188" s="17">
        <v>190</v>
      </c>
      <c r="BN188" s="17"/>
      <c r="BO188" s="17"/>
      <c r="BP188" s="17"/>
      <c r="BQ188" s="17"/>
      <c r="BR188" s="36"/>
      <c r="BS188" s="36"/>
      <c r="BT188" s="17"/>
      <c r="BU188" s="37">
        <v>1.41</v>
      </c>
      <c r="BV188" s="22">
        <f t="shared" si="28"/>
        <v>0.96881370758262908</v>
      </c>
      <c r="BW188" s="37">
        <v>0.19</v>
      </c>
      <c r="BX188" s="17">
        <v>27</v>
      </c>
      <c r="BY188" s="37">
        <v>1.75</v>
      </c>
      <c r="BZ188" s="22">
        <f t="shared" si="29"/>
        <v>0.93530743608719369</v>
      </c>
      <c r="CA188" s="37">
        <v>0.18</v>
      </c>
      <c r="CB188" s="17">
        <v>28</v>
      </c>
      <c r="CC188" s="17">
        <v>0</v>
      </c>
      <c r="CD188" s="37">
        <f t="shared" si="30"/>
        <v>0.35718343046472745</v>
      </c>
      <c r="CE188" s="17">
        <v>55</v>
      </c>
      <c r="CF188" s="22">
        <f t="shared" si="32"/>
        <v>0.35718343046472745</v>
      </c>
      <c r="CG188" s="22">
        <f t="shared" si="23"/>
        <v>0.38741982547975734</v>
      </c>
      <c r="CI188" s="22">
        <f t="shared" si="31"/>
        <v>7.3911140960400482E-2</v>
      </c>
      <c r="CJ188" s="37">
        <f t="shared" si="24"/>
        <v>7.4314803180226555E-2</v>
      </c>
    </row>
    <row r="189" spans="1:88" s="150" customFormat="1" x14ac:dyDescent="0.35">
      <c r="A189" s="29" t="s">
        <v>680</v>
      </c>
      <c r="B189" s="183" t="s">
        <v>681</v>
      </c>
      <c r="C189" s="29" t="s">
        <v>498</v>
      </c>
      <c r="D189" s="184" t="s">
        <v>682</v>
      </c>
      <c r="E189" s="184" t="s">
        <v>683</v>
      </c>
      <c r="F189" s="11" t="s">
        <v>1109</v>
      </c>
      <c r="G189" s="27">
        <v>1</v>
      </c>
      <c r="H189" s="27">
        <v>1</v>
      </c>
      <c r="I189" s="27">
        <v>4</v>
      </c>
      <c r="J189" s="11" t="s">
        <v>1106</v>
      </c>
      <c r="K189" s="82">
        <v>1</v>
      </c>
      <c r="L189" s="31" t="s">
        <v>696</v>
      </c>
      <c r="M189" s="31">
        <v>3</v>
      </c>
      <c r="N189" s="31">
        <v>192</v>
      </c>
      <c r="O189" s="27">
        <v>110</v>
      </c>
      <c r="P189" s="27" t="s">
        <v>147</v>
      </c>
      <c r="Q189" s="27">
        <v>2</v>
      </c>
      <c r="R189" s="27">
        <v>1</v>
      </c>
      <c r="S189" s="32">
        <v>0</v>
      </c>
      <c r="T189" s="27">
        <v>0</v>
      </c>
      <c r="U189" s="27">
        <v>0</v>
      </c>
      <c r="V189" s="27">
        <v>0</v>
      </c>
      <c r="W189" s="27">
        <v>1</v>
      </c>
      <c r="X189" s="27">
        <v>0</v>
      </c>
      <c r="Y189" s="27">
        <v>0</v>
      </c>
      <c r="Z189" s="27">
        <v>1</v>
      </c>
      <c r="AA189" s="97">
        <v>1</v>
      </c>
      <c r="AB189" s="27">
        <v>1</v>
      </c>
      <c r="AC189" s="27" t="s">
        <v>382</v>
      </c>
      <c r="AD189" s="11">
        <v>3.2</v>
      </c>
      <c r="AE189" s="27">
        <v>2.6</v>
      </c>
      <c r="AF189" s="27" t="s">
        <v>455</v>
      </c>
      <c r="AG189" s="27">
        <v>1</v>
      </c>
      <c r="AH189" s="27" t="s">
        <v>35</v>
      </c>
      <c r="AI189" s="27">
        <v>46</v>
      </c>
      <c r="AJ189" s="27">
        <v>40</v>
      </c>
      <c r="AK189" s="27">
        <v>60</v>
      </c>
      <c r="AL189" s="27">
        <v>62</v>
      </c>
      <c r="AM189" s="27">
        <v>50</v>
      </c>
      <c r="AN189" s="27">
        <v>68</v>
      </c>
      <c r="AO189" s="33"/>
      <c r="AP189" s="27">
        <v>0</v>
      </c>
      <c r="AQ189" s="27">
        <v>0</v>
      </c>
      <c r="AR189" s="27">
        <v>0</v>
      </c>
      <c r="AS189" s="27">
        <v>0</v>
      </c>
      <c r="AT189" s="27">
        <v>0</v>
      </c>
      <c r="AU189" s="27">
        <v>1</v>
      </c>
      <c r="AV189" s="27">
        <v>0</v>
      </c>
      <c r="AW189" s="27">
        <v>0</v>
      </c>
      <c r="AX189" s="27">
        <v>1</v>
      </c>
      <c r="AY189" s="34" t="s">
        <v>698</v>
      </c>
      <c r="AZ189" s="25" t="s">
        <v>686</v>
      </c>
      <c r="BA189" s="17" t="s">
        <v>183</v>
      </c>
      <c r="BB189" s="150" t="s">
        <v>46</v>
      </c>
      <c r="BD189" s="17">
        <v>3</v>
      </c>
      <c r="BE189" s="17">
        <v>6</v>
      </c>
      <c r="BF189" s="17">
        <v>0</v>
      </c>
      <c r="BG189" s="17">
        <v>0</v>
      </c>
      <c r="BH189" s="17">
        <v>1</v>
      </c>
      <c r="BI189" s="17">
        <v>0</v>
      </c>
      <c r="BJ189" s="17">
        <v>0.85</v>
      </c>
      <c r="BK189" s="17">
        <v>0.85</v>
      </c>
      <c r="BL189" s="150" t="s">
        <v>41</v>
      </c>
      <c r="BM189" s="17">
        <v>190</v>
      </c>
      <c r="BN189" s="17"/>
      <c r="BO189" s="17"/>
      <c r="BP189" s="17"/>
      <c r="BQ189" s="17"/>
      <c r="BR189" s="36"/>
      <c r="BS189" s="36"/>
      <c r="BT189" s="17"/>
      <c r="BU189" s="37">
        <v>-0.39</v>
      </c>
      <c r="BV189" s="22">
        <f t="shared" si="28"/>
        <v>1.2237646832622682</v>
      </c>
      <c r="BW189" s="37">
        <v>0.24</v>
      </c>
      <c r="BX189" s="17">
        <v>27</v>
      </c>
      <c r="BY189" s="37">
        <v>0.44</v>
      </c>
      <c r="BZ189" s="22">
        <f t="shared" si="29"/>
        <v>1.2470765814495917</v>
      </c>
      <c r="CA189" s="37">
        <v>0.24</v>
      </c>
      <c r="CB189" s="17">
        <v>28</v>
      </c>
      <c r="CC189" s="17">
        <v>1</v>
      </c>
      <c r="CD189" s="37">
        <f t="shared" si="30"/>
        <v>0.67168650571620803</v>
      </c>
      <c r="CE189" s="17">
        <v>55</v>
      </c>
      <c r="CF189" s="22">
        <f t="shared" si="32"/>
        <v>0.67168650571620803</v>
      </c>
      <c r="CG189" s="22">
        <f t="shared" si="23"/>
        <v>0.72854630597815206</v>
      </c>
      <c r="CI189" s="22">
        <f t="shared" si="31"/>
        <v>7.6852802405515924E-2</v>
      </c>
      <c r="CJ189" s="37">
        <f t="shared" si="24"/>
        <v>7.8280278167514525E-2</v>
      </c>
    </row>
    <row r="190" spans="1:88" s="150" customFormat="1" x14ac:dyDescent="0.35">
      <c r="A190" s="29" t="s">
        <v>680</v>
      </c>
      <c r="B190" s="183" t="s">
        <v>681</v>
      </c>
      <c r="C190" s="29" t="s">
        <v>498</v>
      </c>
      <c r="D190" s="184" t="s">
        <v>682</v>
      </c>
      <c r="E190" s="184" t="s">
        <v>683</v>
      </c>
      <c r="F190" s="12" t="s">
        <v>1109</v>
      </c>
      <c r="G190" s="27">
        <v>1</v>
      </c>
      <c r="H190" s="27">
        <v>1</v>
      </c>
      <c r="I190" s="27">
        <v>4</v>
      </c>
      <c r="J190" s="11" t="s">
        <v>1106</v>
      </c>
      <c r="K190" s="82">
        <v>1</v>
      </c>
      <c r="L190" s="31" t="s">
        <v>696</v>
      </c>
      <c r="M190" s="31">
        <v>3</v>
      </c>
      <c r="N190" s="31">
        <v>192</v>
      </c>
      <c r="O190" s="27">
        <v>110</v>
      </c>
      <c r="P190" s="27" t="s">
        <v>147</v>
      </c>
      <c r="Q190" s="27">
        <v>2</v>
      </c>
      <c r="R190" s="27">
        <v>2</v>
      </c>
      <c r="S190" s="32">
        <v>0</v>
      </c>
      <c r="T190" s="27">
        <v>0</v>
      </c>
      <c r="U190" s="27">
        <v>0</v>
      </c>
      <c r="V190" s="27">
        <v>0</v>
      </c>
      <c r="W190" s="27">
        <v>1</v>
      </c>
      <c r="X190" s="27">
        <v>0</v>
      </c>
      <c r="Y190" s="27">
        <v>0</v>
      </c>
      <c r="Z190" s="27">
        <v>1</v>
      </c>
      <c r="AA190" s="97">
        <v>1</v>
      </c>
      <c r="AB190" s="27">
        <v>1</v>
      </c>
      <c r="AC190" s="27" t="s">
        <v>382</v>
      </c>
      <c r="AD190" s="11">
        <v>3.2</v>
      </c>
      <c r="AE190" s="27">
        <v>2.6</v>
      </c>
      <c r="AF190" s="27" t="s">
        <v>455</v>
      </c>
      <c r="AG190" s="27">
        <v>1</v>
      </c>
      <c r="AH190" s="27" t="s">
        <v>35</v>
      </c>
      <c r="AI190" s="27">
        <v>46</v>
      </c>
      <c r="AJ190" s="27">
        <v>40</v>
      </c>
      <c r="AK190" s="27">
        <v>60</v>
      </c>
      <c r="AL190" s="27">
        <v>62</v>
      </c>
      <c r="AM190" s="27">
        <v>50</v>
      </c>
      <c r="AN190" s="27">
        <v>68</v>
      </c>
      <c r="AO190" s="33"/>
      <c r="AP190" s="27">
        <v>1</v>
      </c>
      <c r="AQ190" s="27">
        <v>0</v>
      </c>
      <c r="AR190" s="27">
        <v>0</v>
      </c>
      <c r="AS190" s="27">
        <v>0</v>
      </c>
      <c r="AT190" s="27">
        <v>0</v>
      </c>
      <c r="AU190" s="27">
        <v>1</v>
      </c>
      <c r="AV190" s="27">
        <v>0</v>
      </c>
      <c r="AW190" s="27">
        <v>0</v>
      </c>
      <c r="AX190" s="27">
        <v>1</v>
      </c>
      <c r="AY190" s="34" t="s">
        <v>699</v>
      </c>
      <c r="AZ190" s="25" t="s">
        <v>686</v>
      </c>
      <c r="BA190" s="17" t="s">
        <v>183</v>
      </c>
      <c r="BB190" s="150" t="s">
        <v>692</v>
      </c>
      <c r="BD190" s="17">
        <v>3</v>
      </c>
      <c r="BE190" s="17">
        <v>6</v>
      </c>
      <c r="BF190" s="17">
        <v>1</v>
      </c>
      <c r="BG190" s="17">
        <v>1</v>
      </c>
      <c r="BH190" s="17">
        <v>0</v>
      </c>
      <c r="BI190" s="17">
        <v>0</v>
      </c>
      <c r="BJ190" s="17">
        <v>0.85</v>
      </c>
      <c r="BK190" s="17">
        <v>0.85</v>
      </c>
      <c r="BL190" s="150" t="s">
        <v>41</v>
      </c>
      <c r="BM190" s="17">
        <v>190</v>
      </c>
      <c r="BN190" s="17"/>
      <c r="BO190" s="17"/>
      <c r="BP190" s="17"/>
      <c r="BQ190" s="17"/>
      <c r="BR190" s="36"/>
      <c r="BS190" s="36"/>
      <c r="BT190" s="17"/>
      <c r="BU190" s="37">
        <v>1.3</v>
      </c>
      <c r="BV190" s="22">
        <f t="shared" si="28"/>
        <v>0.96881370758262908</v>
      </c>
      <c r="BW190" s="37">
        <v>0.19</v>
      </c>
      <c r="BX190" s="17">
        <v>27</v>
      </c>
      <c r="BY190" s="37">
        <v>2.0099999999999998</v>
      </c>
      <c r="BZ190" s="22">
        <f t="shared" si="29"/>
        <v>0.93530743608719369</v>
      </c>
      <c r="CA190" s="37">
        <v>0.18</v>
      </c>
      <c r="CB190" s="17">
        <v>28</v>
      </c>
      <c r="CC190" s="17">
        <v>1</v>
      </c>
      <c r="CD190" s="37">
        <f t="shared" si="30"/>
        <v>0.74588304597045973</v>
      </c>
      <c r="CE190" s="17">
        <v>55</v>
      </c>
      <c r="CF190" s="22">
        <f t="shared" si="32"/>
        <v>0.74588304597045973</v>
      </c>
      <c r="CG190" s="22">
        <f t="shared" si="23"/>
        <v>0.80902375320772801</v>
      </c>
      <c r="CI190" s="22">
        <f t="shared" si="31"/>
        <v>7.7808972917378844E-2</v>
      </c>
      <c r="CJ190" s="37">
        <f t="shared" si="24"/>
        <v>7.9569233514388563E-2</v>
      </c>
    </row>
    <row r="191" spans="1:88" s="150" customFormat="1" x14ac:dyDescent="0.35">
      <c r="A191" s="38" t="s">
        <v>680</v>
      </c>
      <c r="B191" s="185" t="s">
        <v>681</v>
      </c>
      <c r="C191" s="38" t="s">
        <v>498</v>
      </c>
      <c r="D191" s="186" t="s">
        <v>682</v>
      </c>
      <c r="E191" s="186" t="s">
        <v>683</v>
      </c>
      <c r="F191" s="18" t="s">
        <v>1109</v>
      </c>
      <c r="G191" s="28">
        <v>1</v>
      </c>
      <c r="H191" s="28">
        <v>1</v>
      </c>
      <c r="I191" s="28">
        <v>4</v>
      </c>
      <c r="J191" s="18" t="s">
        <v>1106</v>
      </c>
      <c r="K191" s="83">
        <v>1</v>
      </c>
      <c r="L191" s="40" t="s">
        <v>696</v>
      </c>
      <c r="M191" s="40">
        <v>3</v>
      </c>
      <c r="N191" s="40">
        <v>192</v>
      </c>
      <c r="O191" s="28">
        <v>110</v>
      </c>
      <c r="P191" s="28" t="s">
        <v>147</v>
      </c>
      <c r="Q191" s="28">
        <v>2</v>
      </c>
      <c r="R191" s="28">
        <v>2</v>
      </c>
      <c r="S191" s="41">
        <v>0</v>
      </c>
      <c r="T191" s="28">
        <v>0</v>
      </c>
      <c r="U191" s="28">
        <v>0</v>
      </c>
      <c r="V191" s="28">
        <v>0</v>
      </c>
      <c r="W191" s="28">
        <v>1</v>
      </c>
      <c r="X191" s="28">
        <v>0</v>
      </c>
      <c r="Y191" s="28">
        <v>0</v>
      </c>
      <c r="Z191" s="28">
        <v>1</v>
      </c>
      <c r="AA191" s="92">
        <v>1</v>
      </c>
      <c r="AB191" s="28">
        <v>1</v>
      </c>
      <c r="AC191" s="28" t="s">
        <v>382</v>
      </c>
      <c r="AD191" s="18">
        <v>3.2</v>
      </c>
      <c r="AE191" s="28">
        <v>2.6</v>
      </c>
      <c r="AF191" s="28" t="s">
        <v>455</v>
      </c>
      <c r="AG191" s="28">
        <v>1</v>
      </c>
      <c r="AH191" s="28" t="s">
        <v>35</v>
      </c>
      <c r="AI191" s="28">
        <v>46</v>
      </c>
      <c r="AJ191" s="28">
        <v>40</v>
      </c>
      <c r="AK191" s="28">
        <v>60</v>
      </c>
      <c r="AL191" s="28">
        <v>62</v>
      </c>
      <c r="AM191" s="28">
        <v>50</v>
      </c>
      <c r="AN191" s="28">
        <v>68</v>
      </c>
      <c r="AO191" s="42"/>
      <c r="AP191" s="28">
        <v>1</v>
      </c>
      <c r="AQ191" s="28">
        <v>0</v>
      </c>
      <c r="AR191" s="28">
        <v>0</v>
      </c>
      <c r="AS191" s="28">
        <v>0</v>
      </c>
      <c r="AT191" s="28">
        <v>0</v>
      </c>
      <c r="AU191" s="28">
        <v>1</v>
      </c>
      <c r="AV191" s="28">
        <v>0</v>
      </c>
      <c r="AW191" s="28">
        <v>0</v>
      </c>
      <c r="AX191" s="28">
        <v>1</v>
      </c>
      <c r="AY191" s="34" t="s">
        <v>700</v>
      </c>
      <c r="AZ191" s="25" t="s">
        <v>686</v>
      </c>
      <c r="BA191" s="17" t="s">
        <v>183</v>
      </c>
      <c r="BB191" s="150" t="s">
        <v>46</v>
      </c>
      <c r="BD191" s="17">
        <v>3</v>
      </c>
      <c r="BE191" s="17">
        <v>6</v>
      </c>
      <c r="BF191" s="17">
        <v>0</v>
      </c>
      <c r="BG191" s="17">
        <v>0</v>
      </c>
      <c r="BH191" s="17">
        <v>1</v>
      </c>
      <c r="BI191" s="17">
        <v>0</v>
      </c>
      <c r="BJ191" s="17">
        <v>0.85</v>
      </c>
      <c r="BK191" s="17">
        <v>0.85</v>
      </c>
      <c r="BL191" s="150" t="s">
        <v>41</v>
      </c>
      <c r="BM191" s="17">
        <v>190</v>
      </c>
      <c r="BN191" s="17"/>
      <c r="BO191" s="17"/>
      <c r="BP191" s="17"/>
      <c r="BQ191" s="17"/>
      <c r="BR191" s="36"/>
      <c r="BS191" s="36"/>
      <c r="BT191" s="17"/>
      <c r="BU191" s="17">
        <v>7.0000000000000007E-2</v>
      </c>
      <c r="BV191" s="22">
        <f t="shared" si="28"/>
        <v>1.2237646832622682</v>
      </c>
      <c r="BW191" s="37">
        <v>0.24</v>
      </c>
      <c r="BX191" s="17">
        <v>27</v>
      </c>
      <c r="BY191" s="37">
        <v>0.35</v>
      </c>
      <c r="BZ191" s="22">
        <f t="shared" si="29"/>
        <v>1.2470765814495917</v>
      </c>
      <c r="CA191" s="37">
        <v>0.24</v>
      </c>
      <c r="CB191" s="17">
        <v>28</v>
      </c>
      <c r="CC191" s="17">
        <v>0</v>
      </c>
      <c r="CD191" s="37">
        <f t="shared" si="30"/>
        <v>0.2265930380729376</v>
      </c>
      <c r="CE191" s="17">
        <v>55</v>
      </c>
      <c r="CF191" s="22">
        <f t="shared" si="32"/>
        <v>0.2265930380729376</v>
      </c>
      <c r="CG191" s="22">
        <f t="shared" si="23"/>
        <v>0.2457746574384127</v>
      </c>
      <c r="CI191" s="22">
        <f t="shared" si="31"/>
        <v>7.321809006862387E-2</v>
      </c>
      <c r="CJ191" s="37">
        <f t="shared" si="24"/>
        <v>7.3030976372799455E-2</v>
      </c>
    </row>
    <row r="192" spans="1:88" s="150" customFormat="1" x14ac:dyDescent="0.35">
      <c r="A192" s="43" t="s">
        <v>707</v>
      </c>
      <c r="B192" s="188" t="s">
        <v>708</v>
      </c>
      <c r="C192" s="43" t="s">
        <v>133</v>
      </c>
      <c r="D192" s="150" t="s">
        <v>709</v>
      </c>
      <c r="E192" s="150" t="s">
        <v>176</v>
      </c>
      <c r="F192" s="12" t="s">
        <v>1109</v>
      </c>
      <c r="G192" s="17">
        <v>1</v>
      </c>
      <c r="H192" s="17">
        <v>1</v>
      </c>
      <c r="I192" s="17">
        <v>1</v>
      </c>
      <c r="J192" s="11" t="s">
        <v>1111</v>
      </c>
      <c r="K192" s="82">
        <v>0</v>
      </c>
      <c r="L192" s="31" t="s">
        <v>710</v>
      </c>
      <c r="M192" s="31">
        <v>1</v>
      </c>
      <c r="N192" s="31">
        <v>3</v>
      </c>
      <c r="O192" s="27">
        <v>103</v>
      </c>
      <c r="P192" s="27" t="s">
        <v>31</v>
      </c>
      <c r="Q192" s="27">
        <v>2</v>
      </c>
      <c r="R192" s="27">
        <v>1</v>
      </c>
      <c r="S192" s="32">
        <v>0</v>
      </c>
      <c r="T192" s="27">
        <v>1</v>
      </c>
      <c r="U192" s="27">
        <v>0</v>
      </c>
      <c r="V192" s="27">
        <v>0</v>
      </c>
      <c r="W192" s="27">
        <v>0</v>
      </c>
      <c r="X192" s="27">
        <v>0</v>
      </c>
      <c r="Y192" s="27">
        <v>1</v>
      </c>
      <c r="Z192" s="27">
        <v>0</v>
      </c>
      <c r="AA192" s="2">
        <v>0</v>
      </c>
      <c r="AB192" s="27">
        <v>0</v>
      </c>
      <c r="AC192" s="27" t="s">
        <v>579</v>
      </c>
      <c r="AD192" s="12">
        <v>4.3</v>
      </c>
      <c r="AE192" s="27">
        <v>2.9</v>
      </c>
      <c r="AF192" s="27" t="s">
        <v>58</v>
      </c>
      <c r="AG192" s="27">
        <v>0</v>
      </c>
      <c r="AH192" s="27" t="s">
        <v>711</v>
      </c>
      <c r="AI192" s="27">
        <v>50</v>
      </c>
      <c r="AJ192" s="27">
        <v>31</v>
      </c>
      <c r="AK192" s="27">
        <v>81</v>
      </c>
      <c r="AL192" s="27">
        <v>8</v>
      </c>
      <c r="AM192" s="27">
        <v>55</v>
      </c>
      <c r="AN192" s="27">
        <v>55</v>
      </c>
      <c r="AO192" s="33">
        <v>22</v>
      </c>
      <c r="AP192" s="27">
        <v>0</v>
      </c>
      <c r="AQ192" s="27">
        <v>0</v>
      </c>
      <c r="AR192" s="27">
        <v>1</v>
      </c>
      <c r="AS192" s="27">
        <v>0</v>
      </c>
      <c r="AT192" s="27">
        <v>0</v>
      </c>
      <c r="AU192" s="27">
        <v>0</v>
      </c>
      <c r="AV192" s="27">
        <v>0</v>
      </c>
      <c r="AW192" s="27">
        <v>1</v>
      </c>
      <c r="AX192" s="27">
        <v>1</v>
      </c>
      <c r="AY192" s="34" t="s">
        <v>712</v>
      </c>
      <c r="AZ192" s="25" t="s">
        <v>241</v>
      </c>
      <c r="BA192" s="17" t="s">
        <v>61</v>
      </c>
      <c r="BB192" s="150" t="s">
        <v>634</v>
      </c>
      <c r="BC192" s="150" t="s">
        <v>713</v>
      </c>
      <c r="BD192" s="17">
        <v>3</v>
      </c>
      <c r="BE192" s="17">
        <v>11</v>
      </c>
      <c r="BF192" s="17">
        <v>0</v>
      </c>
      <c r="BG192" s="17">
        <v>0</v>
      </c>
      <c r="BH192" s="17">
        <v>1</v>
      </c>
      <c r="BI192" s="17">
        <v>0</v>
      </c>
      <c r="BJ192" s="17">
        <v>0.79</v>
      </c>
      <c r="BK192" s="17">
        <v>0.79</v>
      </c>
      <c r="BL192" s="150" t="s">
        <v>41</v>
      </c>
      <c r="BM192" s="17">
        <v>4</v>
      </c>
      <c r="BN192" s="17"/>
      <c r="BO192" s="17"/>
      <c r="BP192" s="17"/>
      <c r="BQ192" s="17"/>
      <c r="BR192" s="36"/>
      <c r="BS192" s="36"/>
      <c r="BT192" s="17"/>
      <c r="BU192" s="17">
        <v>8.42</v>
      </c>
      <c r="BV192" s="17">
        <v>2.06</v>
      </c>
      <c r="BW192" s="17"/>
      <c r="BX192" s="17">
        <v>51</v>
      </c>
      <c r="BY192" s="17">
        <v>8.43</v>
      </c>
      <c r="BZ192" s="17">
        <v>1.92</v>
      </c>
      <c r="CA192" s="17"/>
      <c r="CB192" s="17">
        <v>52</v>
      </c>
      <c r="CC192" s="17">
        <v>0</v>
      </c>
      <c r="CD192" s="37">
        <f t="shared" si="30"/>
        <v>5.0237674090899105E-3</v>
      </c>
      <c r="CE192" s="17">
        <v>103</v>
      </c>
      <c r="CF192" s="22">
        <f t="shared" si="32"/>
        <v>5.0237674090899105E-3</v>
      </c>
      <c r="CG192" s="22">
        <f t="shared" si="23"/>
        <v>5.652179929033537E-3</v>
      </c>
      <c r="CI192" s="22">
        <f t="shared" si="31"/>
        <v>3.8838734883747339E-2</v>
      </c>
      <c r="CJ192" s="37">
        <f t="shared" si="24"/>
        <v>3.8838733379910312E-2</v>
      </c>
    </row>
    <row r="193" spans="1:88" s="150" customFormat="1" x14ac:dyDescent="0.35">
      <c r="A193" s="38" t="s">
        <v>707</v>
      </c>
      <c r="B193" s="185" t="s">
        <v>708</v>
      </c>
      <c r="C193" s="38" t="s">
        <v>133</v>
      </c>
      <c r="D193" s="186" t="s">
        <v>709</v>
      </c>
      <c r="E193" s="186" t="s">
        <v>176</v>
      </c>
      <c r="F193" s="18" t="s">
        <v>1109</v>
      </c>
      <c r="G193" s="28">
        <v>1</v>
      </c>
      <c r="H193" s="28">
        <v>1</v>
      </c>
      <c r="I193" s="28">
        <v>1</v>
      </c>
      <c r="J193" s="18" t="s">
        <v>1111</v>
      </c>
      <c r="K193" s="83">
        <v>0</v>
      </c>
      <c r="L193" s="40" t="s">
        <v>710</v>
      </c>
      <c r="M193" s="40">
        <v>1</v>
      </c>
      <c r="N193" s="40">
        <v>3</v>
      </c>
      <c r="O193" s="28">
        <v>103</v>
      </c>
      <c r="P193" s="28" t="s">
        <v>31</v>
      </c>
      <c r="Q193" s="28">
        <v>2</v>
      </c>
      <c r="R193" s="28">
        <v>1</v>
      </c>
      <c r="S193" s="41">
        <v>0</v>
      </c>
      <c r="T193" s="28">
        <v>1</v>
      </c>
      <c r="U193" s="28">
        <v>0</v>
      </c>
      <c r="V193" s="28">
        <v>0</v>
      </c>
      <c r="W193" s="28">
        <v>0</v>
      </c>
      <c r="X193" s="28">
        <v>0</v>
      </c>
      <c r="Y193" s="28">
        <v>1</v>
      </c>
      <c r="Z193" s="28">
        <v>0</v>
      </c>
      <c r="AA193" s="92">
        <v>0</v>
      </c>
      <c r="AB193" s="28">
        <v>0</v>
      </c>
      <c r="AC193" s="28" t="s">
        <v>579</v>
      </c>
      <c r="AD193" s="18">
        <v>4.3</v>
      </c>
      <c r="AE193" s="28">
        <v>2.9</v>
      </c>
      <c r="AF193" s="28" t="s">
        <v>58</v>
      </c>
      <c r="AG193" s="28">
        <v>0</v>
      </c>
      <c r="AH193" s="28" t="s">
        <v>711</v>
      </c>
      <c r="AI193" s="28">
        <v>50</v>
      </c>
      <c r="AJ193" s="28">
        <v>31</v>
      </c>
      <c r="AK193" s="28">
        <v>81</v>
      </c>
      <c r="AL193" s="28">
        <v>8</v>
      </c>
      <c r="AM193" s="28">
        <v>55</v>
      </c>
      <c r="AN193" s="28">
        <v>55</v>
      </c>
      <c r="AO193" s="42">
        <v>22</v>
      </c>
      <c r="AP193" s="28">
        <v>0</v>
      </c>
      <c r="AQ193" s="28">
        <v>0</v>
      </c>
      <c r="AR193" s="28">
        <v>1</v>
      </c>
      <c r="AS193" s="28">
        <v>0</v>
      </c>
      <c r="AT193" s="28">
        <v>0</v>
      </c>
      <c r="AU193" s="28">
        <v>0</v>
      </c>
      <c r="AV193" s="28">
        <v>0</v>
      </c>
      <c r="AW193" s="28">
        <v>1</v>
      </c>
      <c r="AX193" s="28">
        <v>1</v>
      </c>
      <c r="AY193" s="34" t="s">
        <v>714</v>
      </c>
      <c r="AZ193" s="25" t="s">
        <v>241</v>
      </c>
      <c r="BA193" s="17" t="s">
        <v>61</v>
      </c>
      <c r="BB193" s="150" t="s">
        <v>715</v>
      </c>
      <c r="BC193" s="150" t="s">
        <v>716</v>
      </c>
      <c r="BD193" s="17"/>
      <c r="BE193" s="17"/>
      <c r="BF193" s="17">
        <v>0</v>
      </c>
      <c r="BG193" s="17">
        <v>0</v>
      </c>
      <c r="BH193" s="17">
        <v>0</v>
      </c>
      <c r="BI193" s="17">
        <v>1</v>
      </c>
      <c r="BJ193" s="17"/>
      <c r="BK193" s="17">
        <v>0.8</v>
      </c>
      <c r="BM193" s="17">
        <v>4</v>
      </c>
      <c r="BN193" s="17"/>
      <c r="BO193" s="17"/>
      <c r="BP193" s="17"/>
      <c r="BQ193" s="17"/>
      <c r="BR193" s="36"/>
      <c r="BS193" s="36"/>
      <c r="BT193" s="17">
        <v>4.2999999999999997E-2</v>
      </c>
      <c r="BU193" s="75">
        <v>8.6999999999999994E-2</v>
      </c>
      <c r="BV193" s="17"/>
      <c r="BW193" s="17"/>
      <c r="BX193" s="17">
        <v>51</v>
      </c>
      <c r="BY193" s="75">
        <v>9.7000000000000003E-2</v>
      </c>
      <c r="BZ193" s="17"/>
      <c r="CA193" s="17"/>
      <c r="CB193" s="17">
        <v>52</v>
      </c>
      <c r="CC193" s="17">
        <v>0</v>
      </c>
      <c r="CD193" s="37">
        <f>2*(SQRT(BT193/(CE193-BT193)))</f>
        <v>4.0872978209545476E-2</v>
      </c>
      <c r="CE193" s="17">
        <v>103</v>
      </c>
      <c r="CF193" s="22">
        <f t="shared" si="32"/>
        <v>4.0872978209545476E-2</v>
      </c>
      <c r="CG193" s="22">
        <f t="shared" si="23"/>
        <v>4.5697378859705665E-2</v>
      </c>
      <c r="CI193" s="22">
        <f t="shared" si="31"/>
        <v>3.8846722078449948E-2</v>
      </c>
      <c r="CJ193" s="37">
        <f t="shared" si="24"/>
        <v>3.8844613087663925E-2</v>
      </c>
    </row>
    <row r="194" spans="1:88" s="150" customFormat="1" x14ac:dyDescent="0.35">
      <c r="A194" s="29" t="s">
        <v>717</v>
      </c>
      <c r="B194" s="183" t="s">
        <v>718</v>
      </c>
      <c r="C194" s="29" t="s">
        <v>192</v>
      </c>
      <c r="D194" s="184" t="s">
        <v>719</v>
      </c>
      <c r="E194" s="184" t="s">
        <v>216</v>
      </c>
      <c r="F194" s="12" t="s">
        <v>1109</v>
      </c>
      <c r="G194" s="27">
        <v>0</v>
      </c>
      <c r="H194" s="27">
        <v>1</v>
      </c>
      <c r="I194" s="27">
        <v>2</v>
      </c>
      <c r="J194" s="11" t="s">
        <v>1111</v>
      </c>
      <c r="K194" s="82">
        <v>0</v>
      </c>
      <c r="L194" s="31" t="s">
        <v>720</v>
      </c>
      <c r="M194" s="31">
        <v>1</v>
      </c>
      <c r="N194" s="31">
        <v>479</v>
      </c>
      <c r="O194" s="27">
        <v>113</v>
      </c>
      <c r="P194" s="27" t="s">
        <v>31</v>
      </c>
      <c r="Q194" s="27">
        <v>3</v>
      </c>
      <c r="R194" s="27">
        <v>1</v>
      </c>
      <c r="S194" s="32">
        <v>0</v>
      </c>
      <c r="T194" s="27">
        <v>0</v>
      </c>
      <c r="U194" s="27">
        <v>0</v>
      </c>
      <c r="V194" s="27">
        <v>1</v>
      </c>
      <c r="W194" s="27">
        <v>0</v>
      </c>
      <c r="X194" s="27">
        <v>1</v>
      </c>
      <c r="Y194" s="27">
        <v>0</v>
      </c>
      <c r="Z194" s="27">
        <v>0</v>
      </c>
      <c r="AA194" s="11">
        <v>0</v>
      </c>
      <c r="AB194" s="27">
        <v>0</v>
      </c>
      <c r="AC194" s="27" t="s">
        <v>721</v>
      </c>
      <c r="AD194" s="11">
        <v>4.2</v>
      </c>
      <c r="AE194" s="27">
        <v>2.8</v>
      </c>
      <c r="AF194" s="27" t="s">
        <v>722</v>
      </c>
      <c r="AG194" s="27">
        <v>1</v>
      </c>
      <c r="AH194" s="27" t="s">
        <v>723</v>
      </c>
      <c r="AI194" s="27">
        <v>53</v>
      </c>
      <c r="AJ194" s="27">
        <v>38</v>
      </c>
      <c r="AK194" s="27">
        <v>100</v>
      </c>
      <c r="AL194" s="27">
        <v>14</v>
      </c>
      <c r="AM194" s="27">
        <v>67</v>
      </c>
      <c r="AN194" s="27">
        <v>68</v>
      </c>
      <c r="AO194" s="33">
        <v>21.45</v>
      </c>
      <c r="AP194" s="27">
        <v>0</v>
      </c>
      <c r="AQ194" s="27">
        <v>0</v>
      </c>
      <c r="AR194" s="27">
        <v>0</v>
      </c>
      <c r="AS194" s="27">
        <v>0</v>
      </c>
      <c r="AT194" s="27">
        <v>0</v>
      </c>
      <c r="AU194" s="27">
        <v>1</v>
      </c>
      <c r="AV194" s="27">
        <v>0</v>
      </c>
      <c r="AW194" s="27">
        <v>1</v>
      </c>
      <c r="AX194" s="27">
        <v>1</v>
      </c>
      <c r="AY194" s="34" t="s">
        <v>724</v>
      </c>
      <c r="AZ194" s="25" t="s">
        <v>725</v>
      </c>
      <c r="BA194" s="17" t="s">
        <v>83</v>
      </c>
      <c r="BB194" s="150" t="s">
        <v>44</v>
      </c>
      <c r="BC194" s="150" t="s">
        <v>726</v>
      </c>
      <c r="BD194" s="17">
        <v>3</v>
      </c>
      <c r="BE194" s="17">
        <v>7</v>
      </c>
      <c r="BF194" s="17">
        <v>1</v>
      </c>
      <c r="BG194" s="17">
        <v>1</v>
      </c>
      <c r="BH194" s="17">
        <v>0</v>
      </c>
      <c r="BI194" s="17">
        <v>0</v>
      </c>
      <c r="BJ194" s="17">
        <v>0.91</v>
      </c>
      <c r="BK194" s="17">
        <v>0.91</v>
      </c>
      <c r="BL194" s="150" t="s">
        <v>41</v>
      </c>
      <c r="BM194" s="17">
        <v>481</v>
      </c>
      <c r="BN194" s="17"/>
      <c r="BO194" s="17"/>
      <c r="BP194" s="17"/>
      <c r="BQ194" s="17"/>
      <c r="BR194" s="36"/>
      <c r="BS194" s="36"/>
      <c r="BT194" s="17"/>
      <c r="BU194" s="17">
        <v>5.51</v>
      </c>
      <c r="BV194" s="17">
        <v>0.99</v>
      </c>
      <c r="BW194" s="17"/>
      <c r="BX194" s="17">
        <v>76</v>
      </c>
      <c r="BY194" s="17">
        <v>5.49</v>
      </c>
      <c r="BZ194" s="17">
        <v>1</v>
      </c>
      <c r="CA194" s="17"/>
      <c r="CB194" s="17">
        <v>37</v>
      </c>
      <c r="CC194" s="17">
        <v>0</v>
      </c>
      <c r="CD194" s="37">
        <f>(BY194-BU194)/SQRT((((CB194-1)*BZ194^2)+((BX194-1)*BV194^2))/((CB194+BX194)-2))</f>
        <v>-2.0135830784739631E-2</v>
      </c>
      <c r="CE194" s="17">
        <v>113</v>
      </c>
      <c r="CF194" s="22">
        <f t="shared" si="32"/>
        <v>-2.0135830784739631E-2</v>
      </c>
      <c r="CG194" s="22">
        <f t="shared" si="23"/>
        <v>-2.110808608644096E-2</v>
      </c>
      <c r="CI194" s="22">
        <f t="shared" si="31"/>
        <v>4.018671579785759E-2</v>
      </c>
      <c r="CJ194" s="37">
        <f t="shared" si="24"/>
        <v>4.0186322868580558E-2</v>
      </c>
    </row>
    <row r="195" spans="1:88" s="150" customFormat="1" x14ac:dyDescent="0.35">
      <c r="A195" s="29" t="s">
        <v>717</v>
      </c>
      <c r="B195" s="183" t="s">
        <v>718</v>
      </c>
      <c r="C195" s="29" t="s">
        <v>192</v>
      </c>
      <c r="D195" s="184" t="s">
        <v>719</v>
      </c>
      <c r="E195" s="184" t="s">
        <v>216</v>
      </c>
      <c r="F195" s="12" t="s">
        <v>1109</v>
      </c>
      <c r="G195" s="27">
        <v>0</v>
      </c>
      <c r="H195" s="27">
        <v>1</v>
      </c>
      <c r="I195" s="27">
        <v>2</v>
      </c>
      <c r="J195" s="11" t="s">
        <v>1111</v>
      </c>
      <c r="K195" s="82">
        <v>0</v>
      </c>
      <c r="L195" s="40" t="s">
        <v>720</v>
      </c>
      <c r="M195" s="40">
        <v>1</v>
      </c>
      <c r="N195" s="40">
        <v>479</v>
      </c>
      <c r="O195" s="28">
        <v>113</v>
      </c>
      <c r="P195" s="28" t="s">
        <v>31</v>
      </c>
      <c r="Q195" s="28">
        <v>3</v>
      </c>
      <c r="R195" s="28">
        <v>1</v>
      </c>
      <c r="S195" s="41">
        <v>0</v>
      </c>
      <c r="T195" s="28">
        <v>0</v>
      </c>
      <c r="U195" s="28">
        <v>0</v>
      </c>
      <c r="V195" s="28">
        <v>1</v>
      </c>
      <c r="W195" s="28">
        <v>0</v>
      </c>
      <c r="X195" s="28">
        <v>1</v>
      </c>
      <c r="Y195" s="28">
        <v>0</v>
      </c>
      <c r="Z195" s="28">
        <v>0</v>
      </c>
      <c r="AA195" s="18">
        <v>0</v>
      </c>
      <c r="AB195" s="28">
        <v>0</v>
      </c>
      <c r="AC195" s="28" t="s">
        <v>721</v>
      </c>
      <c r="AD195" s="18">
        <v>4.2</v>
      </c>
      <c r="AE195" s="28">
        <v>2.8</v>
      </c>
      <c r="AF195" s="28" t="s">
        <v>722</v>
      </c>
      <c r="AG195" s="28">
        <v>1</v>
      </c>
      <c r="AH195" s="28" t="s">
        <v>723</v>
      </c>
      <c r="AI195" s="28">
        <v>53</v>
      </c>
      <c r="AJ195" s="28">
        <v>38</v>
      </c>
      <c r="AK195" s="28">
        <v>100</v>
      </c>
      <c r="AL195" s="28">
        <v>14</v>
      </c>
      <c r="AM195" s="28">
        <v>67</v>
      </c>
      <c r="AN195" s="28">
        <v>68</v>
      </c>
      <c r="AO195" s="42">
        <v>21.45</v>
      </c>
      <c r="AP195" s="28">
        <v>0</v>
      </c>
      <c r="AQ195" s="28">
        <v>0</v>
      </c>
      <c r="AR195" s="28">
        <v>0</v>
      </c>
      <c r="AS195" s="28">
        <v>0</v>
      </c>
      <c r="AT195" s="28">
        <v>0</v>
      </c>
      <c r="AU195" s="28">
        <v>1</v>
      </c>
      <c r="AV195" s="28">
        <v>0</v>
      </c>
      <c r="AW195" s="28">
        <v>1</v>
      </c>
      <c r="AX195" s="28">
        <v>1</v>
      </c>
      <c r="AY195" s="34" t="s">
        <v>727</v>
      </c>
      <c r="AZ195" s="25" t="s">
        <v>725</v>
      </c>
      <c r="BA195" s="17" t="s">
        <v>83</v>
      </c>
      <c r="BB195" s="150" t="s">
        <v>620</v>
      </c>
      <c r="BC195" s="150" t="s">
        <v>728</v>
      </c>
      <c r="BD195" s="17">
        <v>3</v>
      </c>
      <c r="BE195" s="17">
        <v>7</v>
      </c>
      <c r="BF195" s="17">
        <v>0</v>
      </c>
      <c r="BG195" s="17">
        <v>0</v>
      </c>
      <c r="BH195" s="17">
        <v>1</v>
      </c>
      <c r="BI195" s="17">
        <v>0</v>
      </c>
      <c r="BJ195" s="17">
        <v>0.97</v>
      </c>
      <c r="BK195" s="17">
        <v>0.97</v>
      </c>
      <c r="BL195" s="150" t="s">
        <v>41</v>
      </c>
      <c r="BM195" s="17">
        <v>481</v>
      </c>
      <c r="BN195" s="17"/>
      <c r="BO195" s="17"/>
      <c r="BP195" s="17"/>
      <c r="BQ195" s="17"/>
      <c r="BR195" s="36"/>
      <c r="BS195" s="36"/>
      <c r="BT195" s="17"/>
      <c r="BU195" s="17">
        <v>3.63</v>
      </c>
      <c r="BV195" s="17">
        <v>1.4</v>
      </c>
      <c r="BW195" s="17"/>
      <c r="BX195" s="17">
        <v>76</v>
      </c>
      <c r="BY195" s="17">
        <v>3.5</v>
      </c>
      <c r="BZ195" s="17">
        <v>1.6</v>
      </c>
      <c r="CA195" s="17"/>
      <c r="CB195" s="17">
        <v>37</v>
      </c>
      <c r="CC195" s="17">
        <v>0</v>
      </c>
      <c r="CD195" s="37">
        <f>(BY195-BU195)/SQRT((((CB195-1)*BZ195)+((BX195-1)*BV195))/((CB195+BX195)-2))</f>
        <v>-0.10740996401174181</v>
      </c>
      <c r="CE195" s="17">
        <v>113</v>
      </c>
      <c r="CF195" s="22">
        <f t="shared" si="32"/>
        <v>-0.10740996401174181</v>
      </c>
      <c r="CG195" s="22">
        <f t="shared" ref="CG195:CG258" si="33">(CF195/SQRT(BK195))</f>
        <v>-0.10905829505646208</v>
      </c>
      <c r="CI195" s="22">
        <f t="shared" si="31"/>
        <v>4.0235969995590391E-2</v>
      </c>
      <c r="CJ195" s="37">
        <f t="shared" ref="CJ195:CJ258" si="34">((BX195+CB195)/(BX195*CB195))+((CG195^2)/(2*(BX215+CB195)))</f>
        <v>4.0231021421700999E-2</v>
      </c>
    </row>
    <row r="196" spans="1:88" s="150" customFormat="1" x14ac:dyDescent="0.35">
      <c r="A196" s="29" t="s">
        <v>717</v>
      </c>
      <c r="B196" s="183" t="s">
        <v>718</v>
      </c>
      <c r="C196" s="29" t="s">
        <v>192</v>
      </c>
      <c r="D196" s="184" t="s">
        <v>719</v>
      </c>
      <c r="E196" s="184" t="s">
        <v>216</v>
      </c>
      <c r="F196" s="11" t="s">
        <v>1109</v>
      </c>
      <c r="G196" s="27">
        <v>0</v>
      </c>
      <c r="H196" s="27">
        <v>1</v>
      </c>
      <c r="I196" s="27">
        <v>2</v>
      </c>
      <c r="J196" s="11" t="s">
        <v>1111</v>
      </c>
      <c r="K196" s="82">
        <v>0</v>
      </c>
      <c r="L196" s="31" t="s">
        <v>729</v>
      </c>
      <c r="M196" s="31">
        <v>2</v>
      </c>
      <c r="N196" s="31">
        <v>482</v>
      </c>
      <c r="O196" s="27">
        <v>81</v>
      </c>
      <c r="P196" s="27" t="s">
        <v>31</v>
      </c>
      <c r="Q196" s="27">
        <v>2</v>
      </c>
      <c r="R196" s="27">
        <v>1</v>
      </c>
      <c r="S196" s="32">
        <v>0</v>
      </c>
      <c r="T196" s="27">
        <v>0</v>
      </c>
      <c r="U196" s="27">
        <v>0</v>
      </c>
      <c r="V196" s="27">
        <v>1</v>
      </c>
      <c r="W196" s="27">
        <v>0</v>
      </c>
      <c r="X196" s="27">
        <v>1</v>
      </c>
      <c r="Y196" s="27">
        <v>0</v>
      </c>
      <c r="Z196" s="27">
        <v>0</v>
      </c>
      <c r="AA196" s="11">
        <v>1</v>
      </c>
      <c r="AB196" s="27">
        <v>0</v>
      </c>
      <c r="AC196" s="27" t="s">
        <v>730</v>
      </c>
      <c r="AD196" s="11">
        <v>2.6</v>
      </c>
      <c r="AE196" s="27">
        <v>2.9</v>
      </c>
      <c r="AF196" s="27" t="s">
        <v>442</v>
      </c>
      <c r="AG196" s="26">
        <v>1</v>
      </c>
      <c r="AH196" s="27" t="s">
        <v>723</v>
      </c>
      <c r="AI196" s="27">
        <v>53</v>
      </c>
      <c r="AJ196" s="27">
        <v>38</v>
      </c>
      <c r="AK196" s="27">
        <v>100</v>
      </c>
      <c r="AL196" s="27">
        <v>14</v>
      </c>
      <c r="AM196" s="27">
        <v>67</v>
      </c>
      <c r="AN196" s="27">
        <v>68</v>
      </c>
      <c r="AO196" s="33">
        <v>21.32</v>
      </c>
      <c r="AP196" s="27">
        <v>0</v>
      </c>
      <c r="AQ196" s="27">
        <v>0</v>
      </c>
      <c r="AR196" s="27">
        <v>0</v>
      </c>
      <c r="AS196" s="27">
        <v>0</v>
      </c>
      <c r="AT196" s="27">
        <v>0</v>
      </c>
      <c r="AU196" s="27">
        <v>1</v>
      </c>
      <c r="AV196" s="27">
        <v>0</v>
      </c>
      <c r="AW196" s="27">
        <v>1</v>
      </c>
      <c r="AX196" s="27">
        <v>1</v>
      </c>
      <c r="AY196" s="34" t="s">
        <v>731</v>
      </c>
      <c r="AZ196" s="25" t="s">
        <v>725</v>
      </c>
      <c r="BA196" s="17" t="s">
        <v>83</v>
      </c>
      <c r="BB196" s="150" t="s">
        <v>44</v>
      </c>
      <c r="BC196" s="150" t="s">
        <v>726</v>
      </c>
      <c r="BD196" s="17">
        <v>3</v>
      </c>
      <c r="BE196" s="17">
        <v>7</v>
      </c>
      <c r="BF196" s="17">
        <v>1</v>
      </c>
      <c r="BG196" s="17">
        <v>1</v>
      </c>
      <c r="BH196" s="17">
        <v>0</v>
      </c>
      <c r="BI196" s="17">
        <v>0</v>
      </c>
      <c r="BJ196" s="17">
        <v>0.83</v>
      </c>
      <c r="BK196" s="17">
        <v>0.83</v>
      </c>
      <c r="BL196" s="150" t="s">
        <v>41</v>
      </c>
      <c r="BM196" s="17">
        <v>481</v>
      </c>
      <c r="BN196" s="17"/>
      <c r="BO196" s="17"/>
      <c r="BP196" s="17"/>
      <c r="BQ196" s="17"/>
      <c r="BR196" s="36"/>
      <c r="BS196" s="36"/>
      <c r="BT196" s="17"/>
      <c r="BU196" s="17">
        <v>6</v>
      </c>
      <c r="BV196" s="17">
        <v>0.88</v>
      </c>
      <c r="BW196" s="17"/>
      <c r="BX196" s="17">
        <v>42</v>
      </c>
      <c r="BY196" s="17">
        <v>6.14</v>
      </c>
      <c r="BZ196" s="17">
        <v>0.81</v>
      </c>
      <c r="CA196" s="17"/>
      <c r="CB196" s="17">
        <v>39</v>
      </c>
      <c r="CC196" s="17">
        <v>0</v>
      </c>
      <c r="CD196" s="37">
        <f>(BY196-BU196)/SQRT((((CB196-1)*BZ196^2)+((BX196-1)*BV196^2))/((CB196+BX196)-2))</f>
        <v>0.16527921149043137</v>
      </c>
      <c r="CE196" s="17">
        <v>81</v>
      </c>
      <c r="CF196" s="22">
        <f t="shared" si="32"/>
        <v>0.16527921149043137</v>
      </c>
      <c r="CG196" s="22">
        <f t="shared" si="33"/>
        <v>0.18141750340926724</v>
      </c>
      <c r="CI196" s="22">
        <f t="shared" si="31"/>
        <v>4.9619174251480921E-2</v>
      </c>
      <c r="CJ196" s="37">
        <f t="shared" si="34"/>
        <v>4.9629420703501903E-2</v>
      </c>
    </row>
    <row r="197" spans="1:88" s="150" customFormat="1" x14ac:dyDescent="0.35">
      <c r="A197" s="38" t="s">
        <v>717</v>
      </c>
      <c r="B197" s="185" t="s">
        <v>718</v>
      </c>
      <c r="C197" s="38" t="s">
        <v>192</v>
      </c>
      <c r="D197" s="186" t="s">
        <v>719</v>
      </c>
      <c r="E197" s="186" t="s">
        <v>216</v>
      </c>
      <c r="F197" s="18" t="s">
        <v>1109</v>
      </c>
      <c r="G197" s="28">
        <v>0</v>
      </c>
      <c r="H197" s="28">
        <v>1</v>
      </c>
      <c r="I197" s="28">
        <v>2</v>
      </c>
      <c r="J197" s="18" t="s">
        <v>1111</v>
      </c>
      <c r="K197" s="83">
        <v>0</v>
      </c>
      <c r="L197" s="40" t="s">
        <v>729</v>
      </c>
      <c r="M197" s="40">
        <v>2</v>
      </c>
      <c r="N197" s="40">
        <v>482</v>
      </c>
      <c r="O197" s="28">
        <v>81</v>
      </c>
      <c r="P197" s="28" t="s">
        <v>31</v>
      </c>
      <c r="Q197" s="28">
        <v>2</v>
      </c>
      <c r="R197" s="28">
        <v>1</v>
      </c>
      <c r="S197" s="41">
        <v>0</v>
      </c>
      <c r="T197" s="28">
        <v>0</v>
      </c>
      <c r="U197" s="28">
        <v>0</v>
      </c>
      <c r="V197" s="28">
        <v>1</v>
      </c>
      <c r="W197" s="28">
        <v>0</v>
      </c>
      <c r="X197" s="28">
        <v>1</v>
      </c>
      <c r="Y197" s="28">
        <v>0</v>
      </c>
      <c r="Z197" s="27">
        <v>0</v>
      </c>
      <c r="AA197" s="18">
        <v>1</v>
      </c>
      <c r="AB197" s="28">
        <v>0</v>
      </c>
      <c r="AC197" s="28" t="s">
        <v>730</v>
      </c>
      <c r="AD197" s="18">
        <v>2.6</v>
      </c>
      <c r="AE197" s="28">
        <v>2.9</v>
      </c>
      <c r="AF197" s="28" t="s">
        <v>442</v>
      </c>
      <c r="AG197" s="28">
        <v>1</v>
      </c>
      <c r="AH197" s="28" t="s">
        <v>723</v>
      </c>
      <c r="AI197" s="28">
        <v>53</v>
      </c>
      <c r="AJ197" s="27">
        <v>38</v>
      </c>
      <c r="AK197" s="27">
        <v>100</v>
      </c>
      <c r="AL197" s="27">
        <v>14</v>
      </c>
      <c r="AM197" s="27">
        <v>67</v>
      </c>
      <c r="AN197" s="27">
        <v>68</v>
      </c>
      <c r="AO197" s="42">
        <v>21.32</v>
      </c>
      <c r="AP197" s="28">
        <v>0</v>
      </c>
      <c r="AQ197" s="28">
        <v>0</v>
      </c>
      <c r="AR197" s="28">
        <v>0</v>
      </c>
      <c r="AS197" s="28">
        <v>0</v>
      </c>
      <c r="AT197" s="28">
        <v>0</v>
      </c>
      <c r="AU197" s="28">
        <v>1</v>
      </c>
      <c r="AV197" s="28">
        <v>0</v>
      </c>
      <c r="AW197" s="28">
        <v>1</v>
      </c>
      <c r="AX197" s="28">
        <v>1</v>
      </c>
      <c r="AY197" s="34" t="s">
        <v>732</v>
      </c>
      <c r="AZ197" s="25" t="s">
        <v>725</v>
      </c>
      <c r="BA197" s="17" t="s">
        <v>83</v>
      </c>
      <c r="BB197" s="150" t="s">
        <v>620</v>
      </c>
      <c r="BC197" s="150" t="s">
        <v>728</v>
      </c>
      <c r="BD197" s="17">
        <v>3</v>
      </c>
      <c r="BE197" s="17">
        <v>7</v>
      </c>
      <c r="BF197" s="17">
        <v>0</v>
      </c>
      <c r="BG197" s="17">
        <v>0</v>
      </c>
      <c r="BH197" s="17">
        <v>1</v>
      </c>
      <c r="BI197" s="17">
        <v>0</v>
      </c>
      <c r="BJ197" s="17">
        <v>0.95</v>
      </c>
      <c r="BK197" s="17">
        <v>0.95</v>
      </c>
      <c r="BL197" s="150" t="s">
        <v>41</v>
      </c>
      <c r="BM197" s="17">
        <v>481</v>
      </c>
      <c r="BN197" s="17"/>
      <c r="BO197" s="17"/>
      <c r="BP197" s="17"/>
      <c r="BQ197" s="17"/>
      <c r="BR197" s="36"/>
      <c r="BS197" s="36"/>
      <c r="BT197" s="17"/>
      <c r="BU197" s="17">
        <v>3.93</v>
      </c>
      <c r="BV197" s="17">
        <v>1.79</v>
      </c>
      <c r="BW197" s="17"/>
      <c r="BX197" s="17">
        <v>42</v>
      </c>
      <c r="BY197" s="17">
        <v>4.18</v>
      </c>
      <c r="BZ197" s="17">
        <v>1.43</v>
      </c>
      <c r="CA197" s="17"/>
      <c r="CB197" s="17">
        <v>39</v>
      </c>
      <c r="CC197" s="17">
        <v>0</v>
      </c>
      <c r="CD197" s="37">
        <f>(BY197-BU197)/SQRT((((CB197-1)*BZ197^2)+((BX197-1)*BV197^2))/((CB197+BX197)-2))</f>
        <v>0.15367500241455792</v>
      </c>
      <c r="CE197" s="17">
        <v>81</v>
      </c>
      <c r="CF197" s="22">
        <f t="shared" si="32"/>
        <v>0.15367500241455792</v>
      </c>
      <c r="CG197" s="22">
        <f t="shared" si="33"/>
        <v>0.15766722573397021</v>
      </c>
      <c r="CI197" s="22">
        <f t="shared" si="31"/>
        <v>4.95963272676304E-2</v>
      </c>
      <c r="CJ197" s="37">
        <f t="shared" si="34"/>
        <v>4.957609972363352E-2</v>
      </c>
    </row>
    <row r="198" spans="1:88" s="150" customFormat="1" ht="12.65" customHeight="1" x14ac:dyDescent="0.35">
      <c r="A198" s="29" t="s">
        <v>733</v>
      </c>
      <c r="B198" s="183" t="s">
        <v>734</v>
      </c>
      <c r="C198" s="29" t="s">
        <v>192</v>
      </c>
      <c r="D198" s="184" t="s">
        <v>735</v>
      </c>
      <c r="E198" s="184" t="s">
        <v>736</v>
      </c>
      <c r="F198" s="11" t="s">
        <v>1109</v>
      </c>
      <c r="G198" s="27">
        <v>0</v>
      </c>
      <c r="H198" s="27">
        <v>1</v>
      </c>
      <c r="I198" s="27">
        <v>3</v>
      </c>
      <c r="J198" s="11" t="s">
        <v>1106</v>
      </c>
      <c r="K198" s="82">
        <v>1</v>
      </c>
      <c r="L198" s="45" t="s">
        <v>737</v>
      </c>
      <c r="M198" s="45">
        <v>2</v>
      </c>
      <c r="N198" s="45">
        <v>7</v>
      </c>
      <c r="O198" s="26">
        <v>136</v>
      </c>
      <c r="P198" s="26" t="s">
        <v>31</v>
      </c>
      <c r="Q198" s="26">
        <v>2</v>
      </c>
      <c r="R198" s="26">
        <v>1</v>
      </c>
      <c r="S198" s="46">
        <v>0</v>
      </c>
      <c r="T198" s="26">
        <v>0</v>
      </c>
      <c r="U198" s="26">
        <v>1</v>
      </c>
      <c r="V198" s="26">
        <v>0</v>
      </c>
      <c r="W198" s="26">
        <v>0</v>
      </c>
      <c r="X198" s="26">
        <v>0</v>
      </c>
      <c r="Y198" s="26">
        <v>0</v>
      </c>
      <c r="Z198" s="26">
        <v>1</v>
      </c>
      <c r="AA198" s="20">
        <v>0</v>
      </c>
      <c r="AB198" s="26">
        <v>1</v>
      </c>
      <c r="AC198" s="26" t="s">
        <v>738</v>
      </c>
      <c r="AD198" s="20">
        <v>4.3</v>
      </c>
      <c r="AE198" s="26">
        <v>2.8</v>
      </c>
      <c r="AF198" s="26" t="s">
        <v>739</v>
      </c>
      <c r="AG198" s="26">
        <v>0</v>
      </c>
      <c r="AH198" s="26" t="s">
        <v>35</v>
      </c>
      <c r="AI198" s="26">
        <v>46</v>
      </c>
      <c r="AJ198" s="26">
        <v>40</v>
      </c>
      <c r="AK198" s="26">
        <v>60</v>
      </c>
      <c r="AL198" s="26">
        <v>62</v>
      </c>
      <c r="AM198" s="26">
        <v>50</v>
      </c>
      <c r="AN198" s="26">
        <v>68</v>
      </c>
      <c r="AO198" s="47">
        <v>44.9</v>
      </c>
      <c r="AP198" s="26">
        <v>0</v>
      </c>
      <c r="AQ198" s="26">
        <v>0</v>
      </c>
      <c r="AR198" s="26">
        <v>1</v>
      </c>
      <c r="AS198" s="26">
        <v>0</v>
      </c>
      <c r="AT198" s="26">
        <v>0</v>
      </c>
      <c r="AU198" s="26">
        <v>0</v>
      </c>
      <c r="AV198" s="26">
        <v>1</v>
      </c>
      <c r="AW198" s="26">
        <v>1</v>
      </c>
      <c r="AX198" s="26">
        <v>1</v>
      </c>
      <c r="AY198" s="34" t="s">
        <v>740</v>
      </c>
      <c r="AZ198" s="25" t="s">
        <v>241</v>
      </c>
      <c r="BA198" s="17" t="s">
        <v>61</v>
      </c>
      <c r="BB198" s="150" t="s">
        <v>741</v>
      </c>
      <c r="BC198" s="150" t="s">
        <v>742</v>
      </c>
      <c r="BD198" s="17">
        <v>8</v>
      </c>
      <c r="BE198" s="17">
        <v>9</v>
      </c>
      <c r="BF198" s="17">
        <v>1</v>
      </c>
      <c r="BG198" s="17">
        <v>1</v>
      </c>
      <c r="BH198" s="17">
        <v>0</v>
      </c>
      <c r="BI198" s="17">
        <v>0</v>
      </c>
      <c r="BJ198" s="17">
        <v>0.86</v>
      </c>
      <c r="BK198" s="17">
        <v>0.86</v>
      </c>
      <c r="BL198" s="150" t="s">
        <v>41</v>
      </c>
      <c r="BM198" s="17">
        <v>8</v>
      </c>
      <c r="BN198" s="17"/>
      <c r="BO198" s="17"/>
      <c r="BP198" s="17"/>
      <c r="BQ198" s="17"/>
      <c r="BR198" s="36"/>
      <c r="BS198" s="36"/>
      <c r="BT198" s="17"/>
      <c r="BU198" s="17">
        <v>6.24</v>
      </c>
      <c r="BV198" s="17">
        <v>1.69</v>
      </c>
      <c r="BW198" s="17"/>
      <c r="BX198" s="17">
        <v>68</v>
      </c>
      <c r="BY198" s="17">
        <v>6.64</v>
      </c>
      <c r="BZ198" s="17">
        <v>1.87</v>
      </c>
      <c r="CA198" s="17"/>
      <c r="CB198" s="17">
        <v>68</v>
      </c>
      <c r="CC198" s="17">
        <v>0</v>
      </c>
      <c r="CD198" s="37">
        <f>(BY198-BU198)/SQRT((((CB198-1)*BZ198^2)+((BX198-1)*BV198^2))/((CB198+BX198)-2))</f>
        <v>0.22443240403821013</v>
      </c>
      <c r="CE198" s="17">
        <v>136</v>
      </c>
      <c r="CF198" s="22">
        <f t="shared" si="32"/>
        <v>0.22443240403821013</v>
      </c>
      <c r="CG198" s="22">
        <f t="shared" si="33"/>
        <v>0.2420116852415477</v>
      </c>
      <c r="CI198" s="37">
        <f t="shared" si="31"/>
        <v>2.9596948176405773E-2</v>
      </c>
      <c r="CJ198" s="37">
        <f t="shared" si="34"/>
        <v>2.9515981175265722E-2</v>
      </c>
    </row>
    <row r="199" spans="1:88" s="150" customFormat="1" ht="12.65" customHeight="1" x14ac:dyDescent="0.35">
      <c r="A199" s="29" t="s">
        <v>733</v>
      </c>
      <c r="B199" s="183" t="s">
        <v>734</v>
      </c>
      <c r="C199" s="29" t="s">
        <v>192</v>
      </c>
      <c r="D199" s="184" t="s">
        <v>735</v>
      </c>
      <c r="E199" s="184" t="s">
        <v>736</v>
      </c>
      <c r="F199" s="11" t="s">
        <v>1109</v>
      </c>
      <c r="G199" s="27">
        <v>0</v>
      </c>
      <c r="H199" s="27">
        <v>1</v>
      </c>
      <c r="I199" s="27">
        <v>3</v>
      </c>
      <c r="J199" s="11" t="s">
        <v>1106</v>
      </c>
      <c r="K199" s="82">
        <v>1</v>
      </c>
      <c r="L199" s="31" t="s">
        <v>743</v>
      </c>
      <c r="M199" s="31">
        <v>3</v>
      </c>
      <c r="N199" s="31">
        <v>8</v>
      </c>
      <c r="O199" s="27">
        <v>415</v>
      </c>
      <c r="P199" s="27" t="s">
        <v>31</v>
      </c>
      <c r="Q199" s="27">
        <v>2</v>
      </c>
      <c r="R199" s="27">
        <v>1</v>
      </c>
      <c r="S199" s="32">
        <v>0</v>
      </c>
      <c r="T199" s="27">
        <v>0</v>
      </c>
      <c r="U199" s="27">
        <v>1</v>
      </c>
      <c r="V199" s="27">
        <v>0</v>
      </c>
      <c r="W199" s="27">
        <v>0</v>
      </c>
      <c r="X199" s="27">
        <v>0</v>
      </c>
      <c r="Y199" s="27">
        <v>0</v>
      </c>
      <c r="Z199" s="27">
        <v>1</v>
      </c>
      <c r="AA199" s="11">
        <v>0</v>
      </c>
      <c r="AB199" s="27">
        <v>0</v>
      </c>
      <c r="AC199" s="27" t="s">
        <v>744</v>
      </c>
      <c r="AD199" s="11">
        <v>3.6</v>
      </c>
      <c r="AE199" s="27">
        <v>2.6</v>
      </c>
      <c r="AF199" s="27" t="s">
        <v>745</v>
      </c>
      <c r="AG199" s="27">
        <v>0</v>
      </c>
      <c r="AH199" s="27" t="s">
        <v>35</v>
      </c>
      <c r="AI199" s="27">
        <v>46</v>
      </c>
      <c r="AJ199" s="27">
        <v>40</v>
      </c>
      <c r="AK199" s="27">
        <v>60</v>
      </c>
      <c r="AL199" s="27">
        <v>62</v>
      </c>
      <c r="AM199" s="27">
        <v>50</v>
      </c>
      <c r="AN199" s="27">
        <v>68</v>
      </c>
      <c r="AO199" s="33">
        <v>43.9</v>
      </c>
      <c r="AP199" s="27">
        <v>0</v>
      </c>
      <c r="AQ199" s="27">
        <v>0</v>
      </c>
      <c r="AR199" s="27">
        <v>1</v>
      </c>
      <c r="AS199" s="27">
        <v>0</v>
      </c>
      <c r="AT199" s="27">
        <v>0</v>
      </c>
      <c r="AU199" s="27">
        <v>0</v>
      </c>
      <c r="AV199" s="27">
        <v>0</v>
      </c>
      <c r="AW199" s="27">
        <v>1</v>
      </c>
      <c r="AX199" s="27">
        <v>1</v>
      </c>
      <c r="AY199" s="34" t="s">
        <v>746</v>
      </c>
      <c r="AZ199" s="25" t="s">
        <v>241</v>
      </c>
      <c r="BA199" s="17" t="s">
        <v>61</v>
      </c>
      <c r="BB199" s="150" t="s">
        <v>747</v>
      </c>
      <c r="BC199" s="150" t="s">
        <v>748</v>
      </c>
      <c r="BD199" s="17"/>
      <c r="BE199" s="17"/>
      <c r="BF199" s="17">
        <v>0</v>
      </c>
      <c r="BG199" s="17">
        <v>0</v>
      </c>
      <c r="BH199" s="17">
        <v>0</v>
      </c>
      <c r="BI199" s="17">
        <v>1</v>
      </c>
      <c r="BJ199" s="17"/>
      <c r="BK199" s="17">
        <v>0.8</v>
      </c>
      <c r="BM199" s="17"/>
      <c r="BN199" s="17"/>
      <c r="BO199" s="17"/>
      <c r="BP199" s="17"/>
      <c r="BQ199" s="17"/>
      <c r="BR199" s="36"/>
      <c r="BS199" s="36"/>
      <c r="BT199" s="17"/>
      <c r="BU199" s="17">
        <v>0.27</v>
      </c>
      <c r="BV199" s="17">
        <v>0.44600000000000001</v>
      </c>
      <c r="BW199" s="17"/>
      <c r="BX199" s="17">
        <v>213</v>
      </c>
      <c r="BY199" s="17">
        <v>0.37</v>
      </c>
      <c r="BZ199" s="17">
        <v>0.48299999999999998</v>
      </c>
      <c r="CA199" s="17"/>
      <c r="CB199" s="17">
        <v>202</v>
      </c>
      <c r="CC199" s="17">
        <v>0</v>
      </c>
      <c r="CD199" s="37">
        <f>(BY199-BU199)/SQRT((((CB199-1)*BZ199^2)+((BX199-1)*BV199^2))/((CB199+BX199)-2))</f>
        <v>0.21534289987521207</v>
      </c>
      <c r="CE199" s="17">
        <v>415</v>
      </c>
      <c r="CF199" s="22">
        <f t="shared" si="32"/>
        <v>0.21534289987521207</v>
      </c>
      <c r="CG199" s="22">
        <f t="shared" si="33"/>
        <v>0.24076068129645259</v>
      </c>
      <c r="CI199" s="37">
        <f t="shared" si="31"/>
        <v>9.7012012899268044E-3</v>
      </c>
      <c r="CJ199" s="37">
        <f t="shared" si="34"/>
        <v>9.7151689298444754E-3</v>
      </c>
    </row>
    <row r="200" spans="1:88" s="150" customFormat="1" ht="12.65" customHeight="1" x14ac:dyDescent="0.35">
      <c r="A200" s="38" t="s">
        <v>733</v>
      </c>
      <c r="B200" s="185" t="s">
        <v>734</v>
      </c>
      <c r="C200" s="38" t="s">
        <v>192</v>
      </c>
      <c r="D200" s="186" t="s">
        <v>735</v>
      </c>
      <c r="E200" s="186" t="s">
        <v>736</v>
      </c>
      <c r="F200" s="18" t="s">
        <v>1109</v>
      </c>
      <c r="G200" s="28">
        <v>0</v>
      </c>
      <c r="H200" s="28">
        <v>1</v>
      </c>
      <c r="I200" s="28">
        <v>3</v>
      </c>
      <c r="J200" s="18" t="s">
        <v>1106</v>
      </c>
      <c r="K200" s="83">
        <v>1</v>
      </c>
      <c r="L200" s="40" t="s">
        <v>743</v>
      </c>
      <c r="M200" s="40">
        <v>3</v>
      </c>
      <c r="N200" s="40">
        <v>8</v>
      </c>
      <c r="O200" s="28">
        <v>415</v>
      </c>
      <c r="P200" s="28" t="s">
        <v>31</v>
      </c>
      <c r="Q200" s="28">
        <v>2</v>
      </c>
      <c r="R200" s="28">
        <v>1</v>
      </c>
      <c r="S200" s="41">
        <v>0</v>
      </c>
      <c r="T200" s="28">
        <v>0</v>
      </c>
      <c r="U200" s="28">
        <v>1</v>
      </c>
      <c r="V200" s="28">
        <v>0</v>
      </c>
      <c r="W200" s="28">
        <v>0</v>
      </c>
      <c r="X200" s="28">
        <v>0</v>
      </c>
      <c r="Y200" s="28">
        <v>0</v>
      </c>
      <c r="Z200" s="28">
        <v>1</v>
      </c>
      <c r="AA200" s="18">
        <v>0</v>
      </c>
      <c r="AB200" s="28">
        <v>0</v>
      </c>
      <c r="AC200" s="28" t="s">
        <v>744</v>
      </c>
      <c r="AD200" s="18">
        <v>3.6</v>
      </c>
      <c r="AE200" s="28">
        <v>2.6</v>
      </c>
      <c r="AF200" s="28" t="s">
        <v>745</v>
      </c>
      <c r="AG200" s="28">
        <v>0</v>
      </c>
      <c r="AH200" s="28" t="s">
        <v>35</v>
      </c>
      <c r="AI200" s="28">
        <v>46</v>
      </c>
      <c r="AJ200" s="28">
        <v>40</v>
      </c>
      <c r="AK200" s="28">
        <v>60</v>
      </c>
      <c r="AL200" s="28">
        <v>62</v>
      </c>
      <c r="AM200" s="28">
        <v>50</v>
      </c>
      <c r="AN200" s="28">
        <v>68</v>
      </c>
      <c r="AO200" s="42">
        <v>43.9</v>
      </c>
      <c r="AP200" s="28">
        <v>0</v>
      </c>
      <c r="AQ200" s="28">
        <v>0</v>
      </c>
      <c r="AR200" s="28">
        <v>1</v>
      </c>
      <c r="AS200" s="28">
        <v>0</v>
      </c>
      <c r="AT200" s="28">
        <v>0</v>
      </c>
      <c r="AU200" s="28">
        <v>0</v>
      </c>
      <c r="AV200" s="28">
        <v>0</v>
      </c>
      <c r="AW200" s="28">
        <v>1</v>
      </c>
      <c r="AX200" s="28">
        <v>1</v>
      </c>
      <c r="AY200" s="34" t="s">
        <v>749</v>
      </c>
      <c r="AZ200" s="25" t="s">
        <v>241</v>
      </c>
      <c r="BA200" s="17" t="s">
        <v>61</v>
      </c>
      <c r="BB200" s="150" t="s">
        <v>741</v>
      </c>
      <c r="BC200" s="150" t="s">
        <v>742</v>
      </c>
      <c r="BD200" s="17">
        <v>8</v>
      </c>
      <c r="BE200" s="17">
        <v>9</v>
      </c>
      <c r="BF200" s="17">
        <v>1</v>
      </c>
      <c r="BG200" s="17">
        <v>1</v>
      </c>
      <c r="BH200" s="17">
        <v>0</v>
      </c>
      <c r="BI200" s="17">
        <v>0</v>
      </c>
      <c r="BJ200" s="17">
        <v>0.85</v>
      </c>
      <c r="BK200" s="17">
        <v>0.85</v>
      </c>
      <c r="BL200" s="150" t="s">
        <v>41</v>
      </c>
      <c r="BM200" s="17">
        <v>9</v>
      </c>
      <c r="BN200" s="17"/>
      <c r="BO200" s="17"/>
      <c r="BP200" s="17"/>
      <c r="BQ200" s="17"/>
      <c r="BR200" s="36"/>
      <c r="BS200" s="36"/>
      <c r="BT200" s="17"/>
      <c r="BU200" s="17">
        <v>6.73</v>
      </c>
      <c r="BV200" s="17">
        <v>1.51</v>
      </c>
      <c r="BW200" s="17"/>
      <c r="BX200" s="17">
        <v>213</v>
      </c>
      <c r="BY200" s="17">
        <v>6.78</v>
      </c>
      <c r="BZ200" s="17">
        <v>1.5</v>
      </c>
      <c r="CA200" s="17"/>
      <c r="CB200" s="17">
        <v>202</v>
      </c>
      <c r="CC200" s="17">
        <v>0</v>
      </c>
      <c r="CD200" s="37">
        <f>(BY200-BU200)/SQRT((((CB200-1)*BZ200^2)+((BX200-1)*BV200^2))/((CB200+BX200)-2))</f>
        <v>3.3219468711947954E-2</v>
      </c>
      <c r="CE200" s="17">
        <v>415</v>
      </c>
      <c r="CF200" s="22">
        <f t="shared" si="32"/>
        <v>3.3219468711947954E-2</v>
      </c>
      <c r="CG200" s="22">
        <f t="shared" si="33"/>
        <v>3.6031572780876972E-2</v>
      </c>
      <c r="CI200" s="37">
        <f t="shared" si="31"/>
        <v>9.6466602882097421E-3</v>
      </c>
      <c r="CJ200" s="37">
        <f t="shared" si="34"/>
        <v>9.6475462153023071E-3</v>
      </c>
    </row>
    <row r="201" spans="1:88" s="150" customFormat="1" x14ac:dyDescent="0.35">
      <c r="A201" s="29" t="s">
        <v>750</v>
      </c>
      <c r="B201" s="183" t="s">
        <v>751</v>
      </c>
      <c r="C201" s="29" t="s">
        <v>353</v>
      </c>
      <c r="D201" s="184" t="s">
        <v>752</v>
      </c>
      <c r="E201" s="184" t="s">
        <v>216</v>
      </c>
      <c r="F201" s="11" t="s">
        <v>1109</v>
      </c>
      <c r="G201" s="27">
        <v>0</v>
      </c>
      <c r="H201" s="27">
        <v>1</v>
      </c>
      <c r="I201" s="27">
        <v>2</v>
      </c>
      <c r="J201" s="11" t="s">
        <v>1111</v>
      </c>
      <c r="K201" s="82">
        <v>0</v>
      </c>
      <c r="L201" s="40" t="s">
        <v>753</v>
      </c>
      <c r="M201" s="40" t="s">
        <v>754</v>
      </c>
      <c r="N201" s="40">
        <v>258</v>
      </c>
      <c r="O201" s="28">
        <v>68</v>
      </c>
      <c r="P201" s="28" t="s">
        <v>31</v>
      </c>
      <c r="Q201" s="28">
        <v>2</v>
      </c>
      <c r="R201" s="28">
        <v>1</v>
      </c>
      <c r="S201" s="46">
        <v>0</v>
      </c>
      <c r="T201" s="28">
        <v>0</v>
      </c>
      <c r="U201" s="28">
        <v>1</v>
      </c>
      <c r="V201" s="28">
        <v>0</v>
      </c>
      <c r="W201" s="28">
        <v>0</v>
      </c>
      <c r="X201" s="28">
        <v>0</v>
      </c>
      <c r="Y201" s="28">
        <v>0</v>
      </c>
      <c r="Z201" s="28">
        <v>1</v>
      </c>
      <c r="AA201" s="92">
        <v>0</v>
      </c>
      <c r="AB201" s="28">
        <v>1</v>
      </c>
      <c r="AC201" s="28" t="s">
        <v>755</v>
      </c>
      <c r="AD201" s="18">
        <v>4.3</v>
      </c>
      <c r="AE201" s="28">
        <v>2.9</v>
      </c>
      <c r="AF201" s="28" t="s">
        <v>756</v>
      </c>
      <c r="AG201" s="28">
        <v>0</v>
      </c>
      <c r="AH201" s="28" t="s">
        <v>35</v>
      </c>
      <c r="AI201" s="28">
        <v>46</v>
      </c>
      <c r="AJ201" s="27">
        <v>40</v>
      </c>
      <c r="AK201" s="27">
        <v>60</v>
      </c>
      <c r="AL201" s="27">
        <v>62</v>
      </c>
      <c r="AM201" s="27">
        <v>50</v>
      </c>
      <c r="AN201" s="27">
        <v>68</v>
      </c>
      <c r="AO201" s="42">
        <v>20.9</v>
      </c>
      <c r="AP201" s="28">
        <v>0</v>
      </c>
      <c r="AQ201" s="28">
        <v>1</v>
      </c>
      <c r="AR201" s="28">
        <v>0</v>
      </c>
      <c r="AS201" s="28">
        <v>1</v>
      </c>
      <c r="AT201" s="28">
        <v>0</v>
      </c>
      <c r="AU201" s="28">
        <v>0</v>
      </c>
      <c r="AV201" s="28">
        <v>1</v>
      </c>
      <c r="AW201" s="28">
        <v>1</v>
      </c>
      <c r="AX201" s="28">
        <v>1</v>
      </c>
      <c r="AY201" s="34" t="s">
        <v>757</v>
      </c>
      <c r="AZ201" s="25" t="s">
        <v>241</v>
      </c>
      <c r="BA201" s="17" t="s">
        <v>141</v>
      </c>
      <c r="BB201" s="150" t="s">
        <v>758</v>
      </c>
      <c r="BC201" s="150" t="s">
        <v>759</v>
      </c>
      <c r="BD201" s="17">
        <v>4</v>
      </c>
      <c r="BE201" s="17">
        <v>9</v>
      </c>
      <c r="BF201" s="17">
        <v>1</v>
      </c>
      <c r="BG201" s="17">
        <v>1</v>
      </c>
      <c r="BH201" s="17">
        <v>0</v>
      </c>
      <c r="BI201" s="17">
        <v>0</v>
      </c>
      <c r="BJ201" s="17">
        <v>0.93</v>
      </c>
      <c r="BK201" s="17">
        <v>0.93</v>
      </c>
      <c r="BL201" s="150" t="s">
        <v>41</v>
      </c>
      <c r="BM201" s="17">
        <v>258</v>
      </c>
      <c r="BN201" s="17"/>
      <c r="BO201" s="17"/>
      <c r="BP201" s="17"/>
      <c r="BQ201" s="17"/>
      <c r="BR201" s="36">
        <v>0.85</v>
      </c>
      <c r="BS201" s="36">
        <v>1.66</v>
      </c>
      <c r="BT201" s="17"/>
      <c r="BU201" s="17">
        <v>6.13</v>
      </c>
      <c r="BV201" s="17"/>
      <c r="BW201" s="17"/>
      <c r="BX201" s="17">
        <v>34</v>
      </c>
      <c r="BY201" s="17">
        <v>5.72</v>
      </c>
      <c r="BZ201" s="17"/>
      <c r="CA201" s="17"/>
      <c r="CB201" s="17">
        <v>34</v>
      </c>
      <c r="CC201" s="17">
        <v>0</v>
      </c>
      <c r="CD201" s="37">
        <f>2*SQRT(BR201/CE201)</f>
        <v>0.22360679774997896</v>
      </c>
      <c r="CE201" s="17">
        <v>68</v>
      </c>
      <c r="CF201" s="22">
        <f t="shared" si="32"/>
        <v>0.22360679774997896</v>
      </c>
      <c r="CG201" s="22">
        <f t="shared" si="33"/>
        <v>0.23186944788008412</v>
      </c>
      <c r="CI201" s="22">
        <f t="shared" si="31"/>
        <v>5.9191176470588233E-2</v>
      </c>
      <c r="CJ201" s="37">
        <f t="shared" si="34"/>
        <v>5.9038583175205564E-2</v>
      </c>
    </row>
    <row r="202" spans="1:88" s="150" customFormat="1" x14ac:dyDescent="0.35">
      <c r="A202" s="29" t="s">
        <v>750</v>
      </c>
      <c r="B202" s="183" t="s">
        <v>751</v>
      </c>
      <c r="C202" s="29" t="s">
        <v>353</v>
      </c>
      <c r="D202" s="184" t="s">
        <v>752</v>
      </c>
      <c r="E202" s="184" t="s">
        <v>216</v>
      </c>
      <c r="F202" s="11" t="s">
        <v>1109</v>
      </c>
      <c r="G202" s="27">
        <v>0</v>
      </c>
      <c r="H202" s="27">
        <v>1</v>
      </c>
      <c r="I202" s="27">
        <v>2</v>
      </c>
      <c r="J202" s="11" t="s">
        <v>1111</v>
      </c>
      <c r="K202" s="82">
        <v>0</v>
      </c>
      <c r="L202" s="45" t="s">
        <v>760</v>
      </c>
      <c r="M202" s="45">
        <v>1</v>
      </c>
      <c r="N202" s="45">
        <v>258</v>
      </c>
      <c r="O202" s="26">
        <v>92</v>
      </c>
      <c r="P202" s="26" t="s">
        <v>31</v>
      </c>
      <c r="Q202" s="26">
        <v>2</v>
      </c>
      <c r="R202" s="26">
        <v>1</v>
      </c>
      <c r="S202" s="46">
        <v>0</v>
      </c>
      <c r="T202" s="26">
        <v>0</v>
      </c>
      <c r="U202" s="26">
        <v>1</v>
      </c>
      <c r="V202" s="26">
        <v>0</v>
      </c>
      <c r="W202" s="26">
        <v>0</v>
      </c>
      <c r="X202" s="26">
        <v>0</v>
      </c>
      <c r="Y202" s="26">
        <v>0</v>
      </c>
      <c r="Z202" s="28">
        <v>1</v>
      </c>
      <c r="AA202" s="20">
        <v>0</v>
      </c>
      <c r="AB202" s="26">
        <v>1</v>
      </c>
      <c r="AC202" s="26" t="s">
        <v>579</v>
      </c>
      <c r="AD202" s="20">
        <v>4.3</v>
      </c>
      <c r="AE202" s="26">
        <v>2.9</v>
      </c>
      <c r="AF202" s="26" t="s">
        <v>756</v>
      </c>
      <c r="AG202" s="26">
        <v>0</v>
      </c>
      <c r="AH202" s="26" t="s">
        <v>761</v>
      </c>
      <c r="AI202" s="26">
        <v>48</v>
      </c>
      <c r="AJ202" s="26">
        <v>39</v>
      </c>
      <c r="AK202" s="26">
        <v>72</v>
      </c>
      <c r="AL202" s="26">
        <v>52</v>
      </c>
      <c r="AM202" s="26">
        <v>54</v>
      </c>
      <c r="AN202" s="26">
        <v>68</v>
      </c>
      <c r="AO202" s="47">
        <v>22.1</v>
      </c>
      <c r="AP202" s="26">
        <v>0</v>
      </c>
      <c r="AQ202" s="26">
        <v>1</v>
      </c>
      <c r="AR202" s="26">
        <v>0</v>
      </c>
      <c r="AS202" s="26">
        <v>1</v>
      </c>
      <c r="AT202" s="26">
        <v>0</v>
      </c>
      <c r="AU202" s="26">
        <v>0</v>
      </c>
      <c r="AV202" s="26">
        <v>1</v>
      </c>
      <c r="AW202" s="26">
        <v>1</v>
      </c>
      <c r="AX202" s="26">
        <v>1</v>
      </c>
      <c r="AY202" s="34" t="s">
        <v>762</v>
      </c>
      <c r="AZ202" s="25" t="s">
        <v>241</v>
      </c>
      <c r="BA202" s="17" t="s">
        <v>141</v>
      </c>
      <c r="BB202" s="150" t="s">
        <v>763</v>
      </c>
      <c r="BC202" s="150" t="s">
        <v>759</v>
      </c>
      <c r="BD202" s="17">
        <v>4</v>
      </c>
      <c r="BE202" s="17">
        <v>9</v>
      </c>
      <c r="BF202" s="17">
        <v>1</v>
      </c>
      <c r="BG202" s="17">
        <v>1</v>
      </c>
      <c r="BH202" s="17">
        <v>0</v>
      </c>
      <c r="BI202" s="17">
        <v>0</v>
      </c>
      <c r="BJ202" s="17">
        <v>0.91</v>
      </c>
      <c r="BK202" s="17">
        <v>0.91</v>
      </c>
      <c r="BL202" s="150" t="s">
        <v>41</v>
      </c>
      <c r="BM202" s="17">
        <v>258</v>
      </c>
      <c r="BN202" s="17"/>
      <c r="BO202" s="17"/>
      <c r="BP202" s="17"/>
      <c r="BQ202" s="17"/>
      <c r="BR202" s="36">
        <v>31.1</v>
      </c>
      <c r="BS202" s="36">
        <v>90</v>
      </c>
      <c r="BT202" s="17"/>
      <c r="BU202" s="17">
        <v>5.64</v>
      </c>
      <c r="BV202" s="17"/>
      <c r="BW202" s="17"/>
      <c r="BX202" s="17">
        <v>46</v>
      </c>
      <c r="BY202" s="17">
        <v>7.53</v>
      </c>
      <c r="BZ202" s="17"/>
      <c r="CA202" s="17"/>
      <c r="CB202" s="17">
        <v>46</v>
      </c>
      <c r="CC202" s="17">
        <v>1</v>
      </c>
      <c r="CD202" s="37">
        <f>2*SQRT(BR202/CE202)</f>
        <v>1.1628301307772679</v>
      </c>
      <c r="CE202" s="17">
        <v>92</v>
      </c>
      <c r="CF202" s="22">
        <f t="shared" si="32"/>
        <v>1.1628301307772679</v>
      </c>
      <c r="CG202" s="22">
        <f t="shared" si="33"/>
        <v>1.2189771937771752</v>
      </c>
      <c r="CI202" s="22">
        <f t="shared" si="31"/>
        <v>5.0827032136105857E-2</v>
      </c>
      <c r="CJ202" s="37">
        <f t="shared" si="34"/>
        <v>5.0834228191094309E-2</v>
      </c>
    </row>
    <row r="203" spans="1:88" s="150" customFormat="1" x14ac:dyDescent="0.35">
      <c r="A203" s="29" t="s">
        <v>750</v>
      </c>
      <c r="B203" s="183" t="s">
        <v>751</v>
      </c>
      <c r="C203" s="29" t="s">
        <v>353</v>
      </c>
      <c r="D203" s="184" t="s">
        <v>752</v>
      </c>
      <c r="E203" s="184" t="s">
        <v>216</v>
      </c>
      <c r="F203" s="11" t="s">
        <v>1109</v>
      </c>
      <c r="G203" s="27">
        <v>0</v>
      </c>
      <c r="H203" s="27">
        <v>1</v>
      </c>
      <c r="I203" s="27">
        <v>2</v>
      </c>
      <c r="J203" s="11" t="s">
        <v>1111</v>
      </c>
      <c r="K203" s="82">
        <v>0</v>
      </c>
      <c r="L203" s="45" t="s">
        <v>764</v>
      </c>
      <c r="M203" s="45" t="s">
        <v>765</v>
      </c>
      <c r="N203" s="45">
        <v>259</v>
      </c>
      <c r="O203" s="26">
        <v>72</v>
      </c>
      <c r="P203" s="26" t="s">
        <v>31</v>
      </c>
      <c r="Q203" s="26">
        <v>2</v>
      </c>
      <c r="R203" s="26">
        <v>1</v>
      </c>
      <c r="S203" s="46">
        <v>0</v>
      </c>
      <c r="T203" s="26">
        <v>0</v>
      </c>
      <c r="U203" s="26">
        <v>1</v>
      </c>
      <c r="V203" s="26">
        <v>0</v>
      </c>
      <c r="W203" s="26">
        <v>0</v>
      </c>
      <c r="X203" s="26">
        <v>0</v>
      </c>
      <c r="Y203" s="26">
        <v>0</v>
      </c>
      <c r="Z203" s="26">
        <v>1</v>
      </c>
      <c r="AA203" s="20">
        <v>0</v>
      </c>
      <c r="AB203" s="26">
        <v>1</v>
      </c>
      <c r="AC203" s="26" t="s">
        <v>32</v>
      </c>
      <c r="AD203" s="20">
        <v>2.4</v>
      </c>
      <c r="AE203" s="26">
        <v>3.1</v>
      </c>
      <c r="AF203" s="26" t="s">
        <v>766</v>
      </c>
      <c r="AG203" s="26">
        <v>1</v>
      </c>
      <c r="AH203" s="26" t="s">
        <v>35</v>
      </c>
      <c r="AI203" s="26">
        <v>46</v>
      </c>
      <c r="AJ203" s="26">
        <v>40</v>
      </c>
      <c r="AK203" s="26">
        <v>60</v>
      </c>
      <c r="AL203" s="26">
        <v>62</v>
      </c>
      <c r="AM203" s="26">
        <v>50</v>
      </c>
      <c r="AN203" s="26">
        <v>68</v>
      </c>
      <c r="AO203" s="47">
        <v>20.8</v>
      </c>
      <c r="AP203" s="26">
        <v>0</v>
      </c>
      <c r="AQ203" s="26">
        <v>1</v>
      </c>
      <c r="AR203" s="26">
        <v>0</v>
      </c>
      <c r="AS203" s="26">
        <v>1</v>
      </c>
      <c r="AT203" s="26">
        <v>0</v>
      </c>
      <c r="AU203" s="26">
        <v>0</v>
      </c>
      <c r="AV203" s="26">
        <v>1</v>
      </c>
      <c r="AW203" s="26">
        <v>1</v>
      </c>
      <c r="AX203" s="26">
        <v>1</v>
      </c>
      <c r="AY203" s="34" t="s">
        <v>767</v>
      </c>
      <c r="AZ203" s="25" t="s">
        <v>241</v>
      </c>
      <c r="BA203" s="17" t="s">
        <v>141</v>
      </c>
      <c r="BB203" s="150" t="s">
        <v>758</v>
      </c>
      <c r="BC203" s="150" t="s">
        <v>759</v>
      </c>
      <c r="BD203" s="17">
        <v>4</v>
      </c>
      <c r="BE203" s="17">
        <v>9</v>
      </c>
      <c r="BF203" s="17">
        <v>1</v>
      </c>
      <c r="BG203" s="17">
        <v>1</v>
      </c>
      <c r="BH203" s="17">
        <v>0</v>
      </c>
      <c r="BI203" s="17">
        <v>0</v>
      </c>
      <c r="BJ203" s="17">
        <v>0.95</v>
      </c>
      <c r="BK203" s="17">
        <v>0.95</v>
      </c>
      <c r="BL203" s="150" t="s">
        <v>41</v>
      </c>
      <c r="BM203" s="17">
        <v>259</v>
      </c>
      <c r="BN203" s="17"/>
      <c r="BO203" s="17"/>
      <c r="BP203" s="17"/>
      <c r="BQ203" s="17"/>
      <c r="BR203" s="36">
        <v>0.4</v>
      </c>
      <c r="BS203" s="36">
        <v>1.7</v>
      </c>
      <c r="BT203" s="17"/>
      <c r="BU203" s="17">
        <v>6.24</v>
      </c>
      <c r="BV203" s="17"/>
      <c r="BW203" s="17"/>
      <c r="BX203" s="17">
        <v>35</v>
      </c>
      <c r="BY203" s="17">
        <v>6.51</v>
      </c>
      <c r="BZ203" s="17"/>
      <c r="CA203" s="17"/>
      <c r="CB203" s="17">
        <v>36</v>
      </c>
      <c r="CC203" s="17">
        <v>0</v>
      </c>
      <c r="CD203" s="37">
        <f>2*SQRT(BR203/CE203)</f>
        <v>0.15011732500816033</v>
      </c>
      <c r="CE203" s="17">
        <v>71</v>
      </c>
      <c r="CF203" s="22">
        <f t="shared" si="32"/>
        <v>0.15011732500816033</v>
      </c>
      <c r="CG203" s="22">
        <f t="shared" si="33"/>
        <v>0.15401712573130383</v>
      </c>
      <c r="CI203" s="22">
        <f t="shared" si="31"/>
        <v>5.6507905020104984E-2</v>
      </c>
      <c r="CJ203" s="37">
        <f t="shared" si="34"/>
        <v>5.6479543025132355E-2</v>
      </c>
    </row>
    <row r="204" spans="1:88" s="150" customFormat="1" x14ac:dyDescent="0.35">
      <c r="A204" s="29" t="s">
        <v>750</v>
      </c>
      <c r="B204" s="183" t="s">
        <v>751</v>
      </c>
      <c r="C204" s="29" t="s">
        <v>353</v>
      </c>
      <c r="D204" s="184" t="s">
        <v>752</v>
      </c>
      <c r="E204" s="184" t="s">
        <v>216</v>
      </c>
      <c r="F204" s="12" t="s">
        <v>1109</v>
      </c>
      <c r="G204" s="27">
        <v>0</v>
      </c>
      <c r="H204" s="27">
        <v>1</v>
      </c>
      <c r="I204" s="27">
        <v>2</v>
      </c>
      <c r="J204" s="11" t="s">
        <v>1111</v>
      </c>
      <c r="K204" s="82">
        <v>0</v>
      </c>
      <c r="L204" s="45" t="s">
        <v>768</v>
      </c>
      <c r="M204" s="45">
        <v>2</v>
      </c>
      <c r="N204" s="45">
        <v>259</v>
      </c>
      <c r="O204" s="26">
        <v>120</v>
      </c>
      <c r="P204" s="26" t="s">
        <v>31</v>
      </c>
      <c r="Q204" s="26">
        <v>2</v>
      </c>
      <c r="R204" s="26">
        <v>1</v>
      </c>
      <c r="S204" s="46">
        <v>0</v>
      </c>
      <c r="T204" s="26">
        <v>0</v>
      </c>
      <c r="U204" s="26">
        <v>1</v>
      </c>
      <c r="V204" s="26">
        <v>0</v>
      </c>
      <c r="W204" s="26">
        <v>0</v>
      </c>
      <c r="X204" s="26">
        <v>0</v>
      </c>
      <c r="Y204" s="26">
        <v>0</v>
      </c>
      <c r="Z204" s="26">
        <v>1</v>
      </c>
      <c r="AA204" s="20">
        <v>0</v>
      </c>
      <c r="AB204" s="26">
        <v>1</v>
      </c>
      <c r="AC204" s="26" t="s">
        <v>32</v>
      </c>
      <c r="AD204" s="20">
        <v>2.4</v>
      </c>
      <c r="AE204" s="26">
        <v>3.1</v>
      </c>
      <c r="AF204" s="26" t="s">
        <v>766</v>
      </c>
      <c r="AG204" s="26">
        <v>1</v>
      </c>
      <c r="AH204" s="26" t="s">
        <v>35</v>
      </c>
      <c r="AI204" s="26">
        <v>46</v>
      </c>
      <c r="AJ204" s="26">
        <v>40</v>
      </c>
      <c r="AK204" s="26">
        <v>60</v>
      </c>
      <c r="AL204" s="26">
        <v>62</v>
      </c>
      <c r="AM204" s="26">
        <v>50</v>
      </c>
      <c r="AN204" s="26">
        <v>68</v>
      </c>
      <c r="AO204" s="47">
        <v>24</v>
      </c>
      <c r="AP204" s="26">
        <v>0</v>
      </c>
      <c r="AQ204" s="26">
        <v>1</v>
      </c>
      <c r="AR204" s="26">
        <v>0</v>
      </c>
      <c r="AS204" s="26">
        <v>1</v>
      </c>
      <c r="AT204" s="26">
        <v>0</v>
      </c>
      <c r="AU204" s="26">
        <v>0</v>
      </c>
      <c r="AV204" s="26">
        <v>1</v>
      </c>
      <c r="AW204" s="26">
        <v>1</v>
      </c>
      <c r="AX204" s="26">
        <v>1</v>
      </c>
      <c r="AY204" s="34" t="s">
        <v>769</v>
      </c>
      <c r="AZ204" s="25" t="s">
        <v>241</v>
      </c>
      <c r="BA204" s="17" t="s">
        <v>141</v>
      </c>
      <c r="BB204" s="150" t="s">
        <v>763</v>
      </c>
      <c r="BC204" s="150" t="s">
        <v>759</v>
      </c>
      <c r="BD204" s="17">
        <v>4</v>
      </c>
      <c r="BE204" s="17">
        <v>9</v>
      </c>
      <c r="BF204" s="17">
        <v>1</v>
      </c>
      <c r="BG204" s="17">
        <v>1</v>
      </c>
      <c r="BH204" s="17">
        <v>0</v>
      </c>
      <c r="BI204" s="17">
        <v>0</v>
      </c>
      <c r="BJ204" s="17">
        <v>0.92</v>
      </c>
      <c r="BK204" s="17">
        <v>0.92</v>
      </c>
      <c r="BL204" s="150" t="s">
        <v>41</v>
      </c>
      <c r="BM204" s="17">
        <v>259</v>
      </c>
      <c r="BN204" s="17"/>
      <c r="BO204" s="17"/>
      <c r="BP204" s="17"/>
      <c r="BQ204" s="17"/>
      <c r="BR204" s="36">
        <v>9.0500000000000007</v>
      </c>
      <c r="BS204" s="36">
        <v>1.1180000000000001</v>
      </c>
      <c r="BT204" s="17"/>
      <c r="BU204" s="17">
        <v>6.51</v>
      </c>
      <c r="BV204" s="17"/>
      <c r="BW204" s="17"/>
      <c r="BX204" s="17">
        <v>60</v>
      </c>
      <c r="BY204" s="17">
        <v>7.39</v>
      </c>
      <c r="BZ204" s="17"/>
      <c r="CA204" s="17"/>
      <c r="CB204" s="17">
        <v>60</v>
      </c>
      <c r="CC204" s="17">
        <v>1</v>
      </c>
      <c r="CD204" s="37">
        <f>2*SQRT(BR204/CE204)</f>
        <v>0.54924190177613608</v>
      </c>
      <c r="CE204" s="17">
        <v>120</v>
      </c>
      <c r="CF204" s="22">
        <f t="shared" si="32"/>
        <v>0.54924190177613608</v>
      </c>
      <c r="CG204" s="22">
        <f t="shared" si="33"/>
        <v>0.5726242666222221</v>
      </c>
      <c r="CI204" s="22">
        <f t="shared" si="31"/>
        <v>3.4590277777777775E-2</v>
      </c>
      <c r="CJ204" s="37">
        <f t="shared" si="34"/>
        <v>3.460425794854511E-2</v>
      </c>
    </row>
    <row r="205" spans="1:88" s="150" customFormat="1" x14ac:dyDescent="0.35">
      <c r="A205" s="29" t="s">
        <v>750</v>
      </c>
      <c r="B205" s="183" t="s">
        <v>751</v>
      </c>
      <c r="C205" s="29" t="s">
        <v>353</v>
      </c>
      <c r="D205" s="184" t="s">
        <v>752</v>
      </c>
      <c r="E205" s="184" t="s">
        <v>216</v>
      </c>
      <c r="F205" s="11" t="s">
        <v>1109</v>
      </c>
      <c r="G205" s="27">
        <v>0</v>
      </c>
      <c r="H205" s="27">
        <v>1</v>
      </c>
      <c r="I205" s="27">
        <v>2</v>
      </c>
      <c r="J205" s="11" t="s">
        <v>1111</v>
      </c>
      <c r="K205" s="82">
        <v>0</v>
      </c>
      <c r="L205" s="45" t="s">
        <v>770</v>
      </c>
      <c r="M205" s="45" t="s">
        <v>771</v>
      </c>
      <c r="N205" s="45">
        <v>260</v>
      </c>
      <c r="O205" s="26">
        <v>59</v>
      </c>
      <c r="P205" s="26" t="s">
        <v>31</v>
      </c>
      <c r="Q205" s="26">
        <v>2</v>
      </c>
      <c r="R205" s="26">
        <v>1</v>
      </c>
      <c r="S205" s="46">
        <v>0</v>
      </c>
      <c r="T205" s="26">
        <v>0</v>
      </c>
      <c r="U205" s="26">
        <v>1</v>
      </c>
      <c r="V205" s="26">
        <v>0</v>
      </c>
      <c r="W205" s="26">
        <v>0</v>
      </c>
      <c r="X205" s="26">
        <v>0</v>
      </c>
      <c r="Y205" s="26">
        <v>0</v>
      </c>
      <c r="Z205" s="26">
        <v>1</v>
      </c>
      <c r="AA205" s="20">
        <v>0</v>
      </c>
      <c r="AB205" s="26">
        <v>0</v>
      </c>
      <c r="AC205" s="26" t="s">
        <v>90</v>
      </c>
      <c r="AD205" s="20">
        <v>2.5</v>
      </c>
      <c r="AE205" s="26">
        <v>2.5</v>
      </c>
      <c r="AF205" s="26" t="s">
        <v>772</v>
      </c>
      <c r="AG205" s="26">
        <v>0</v>
      </c>
      <c r="AH205" s="26" t="s">
        <v>35</v>
      </c>
      <c r="AI205" s="26">
        <v>46</v>
      </c>
      <c r="AJ205" s="26">
        <v>40</v>
      </c>
      <c r="AK205" s="26">
        <v>60</v>
      </c>
      <c r="AL205" s="26">
        <v>62</v>
      </c>
      <c r="AM205" s="26">
        <v>50</v>
      </c>
      <c r="AN205" s="26">
        <v>68</v>
      </c>
      <c r="AO205" s="47">
        <v>20.6</v>
      </c>
      <c r="AP205" s="26">
        <v>0</v>
      </c>
      <c r="AQ205" s="26">
        <v>1</v>
      </c>
      <c r="AR205" s="26">
        <v>0</v>
      </c>
      <c r="AS205" s="26">
        <v>1</v>
      </c>
      <c r="AT205" s="26">
        <v>0</v>
      </c>
      <c r="AU205" s="26">
        <v>0</v>
      </c>
      <c r="AV205" s="26">
        <v>0</v>
      </c>
      <c r="AW205" s="26">
        <v>1</v>
      </c>
      <c r="AX205" s="26">
        <v>1</v>
      </c>
      <c r="AY205" s="34" t="s">
        <v>773</v>
      </c>
      <c r="AZ205" s="25" t="s">
        <v>241</v>
      </c>
      <c r="BA205" s="17" t="s">
        <v>141</v>
      </c>
      <c r="BB205" s="150" t="s">
        <v>763</v>
      </c>
      <c r="BC205" s="150" t="s">
        <v>759</v>
      </c>
      <c r="BD205" s="17">
        <v>4</v>
      </c>
      <c r="BE205" s="17">
        <v>9</v>
      </c>
      <c r="BF205" s="17">
        <v>1</v>
      </c>
      <c r="BG205" s="17">
        <v>1</v>
      </c>
      <c r="BH205" s="17">
        <v>0</v>
      </c>
      <c r="BI205" s="17">
        <v>0</v>
      </c>
      <c r="BJ205" s="17">
        <v>0.91</v>
      </c>
      <c r="BK205" s="17">
        <v>0.91</v>
      </c>
      <c r="BL205" s="150" t="s">
        <v>41</v>
      </c>
      <c r="BM205" s="17">
        <v>260</v>
      </c>
      <c r="BN205" s="17"/>
      <c r="BO205" s="17"/>
      <c r="BP205" s="17"/>
      <c r="BQ205" s="17"/>
      <c r="BR205" s="36">
        <v>0.01</v>
      </c>
      <c r="BS205" s="36">
        <v>1.57</v>
      </c>
      <c r="BT205" s="17"/>
      <c r="BU205" s="17">
        <v>6.06</v>
      </c>
      <c r="BV205" s="17"/>
      <c r="BW205" s="17"/>
      <c r="BX205" s="17">
        <v>29</v>
      </c>
      <c r="BY205" s="17">
        <v>5.96</v>
      </c>
      <c r="BZ205" s="17"/>
      <c r="CA205" s="17"/>
      <c r="CB205" s="17">
        <v>30</v>
      </c>
      <c r="CC205" s="17">
        <v>0</v>
      </c>
      <c r="CD205" s="37">
        <f>2*SQRT(BR205/CE205)</f>
        <v>2.6037782196164774E-2</v>
      </c>
      <c r="CE205" s="17">
        <v>59</v>
      </c>
      <c r="CF205" s="22">
        <f t="shared" si="32"/>
        <v>2.6037782196164774E-2</v>
      </c>
      <c r="CG205" s="22">
        <f t="shared" si="33"/>
        <v>2.7295012258107463E-2</v>
      </c>
      <c r="CI205" s="22">
        <f t="shared" si="31"/>
        <v>6.7821837429461088E-2</v>
      </c>
      <c r="CJ205" s="37">
        <f t="shared" si="34"/>
        <v>6.7820230941212825E-2</v>
      </c>
    </row>
    <row r="206" spans="1:88" s="150" customFormat="1" x14ac:dyDescent="0.35">
      <c r="A206" s="38" t="s">
        <v>750</v>
      </c>
      <c r="B206" s="185" t="s">
        <v>751</v>
      </c>
      <c r="C206" s="38" t="s">
        <v>353</v>
      </c>
      <c r="D206" s="186" t="s">
        <v>752</v>
      </c>
      <c r="E206" s="186" t="s">
        <v>216</v>
      </c>
      <c r="F206" s="18" t="s">
        <v>1109</v>
      </c>
      <c r="G206" s="28">
        <v>0</v>
      </c>
      <c r="H206" s="28">
        <v>1</v>
      </c>
      <c r="I206" s="28">
        <v>2</v>
      </c>
      <c r="J206" s="18" t="s">
        <v>1111</v>
      </c>
      <c r="K206" s="83">
        <v>0</v>
      </c>
      <c r="L206" s="45" t="s">
        <v>774</v>
      </c>
      <c r="M206" s="45">
        <v>3</v>
      </c>
      <c r="N206" s="45">
        <v>260</v>
      </c>
      <c r="O206" s="26">
        <v>149</v>
      </c>
      <c r="P206" s="26" t="s">
        <v>147</v>
      </c>
      <c r="Q206" s="26">
        <v>2</v>
      </c>
      <c r="R206" s="26">
        <v>1</v>
      </c>
      <c r="S206" s="46">
        <v>0</v>
      </c>
      <c r="T206" s="26">
        <v>0</v>
      </c>
      <c r="U206" s="26">
        <v>1</v>
      </c>
      <c r="V206" s="26">
        <v>0</v>
      </c>
      <c r="W206" s="26">
        <v>0</v>
      </c>
      <c r="X206" s="26">
        <v>0</v>
      </c>
      <c r="Y206" s="26">
        <v>0</v>
      </c>
      <c r="Z206" s="26">
        <v>1</v>
      </c>
      <c r="AA206" s="20">
        <v>0</v>
      </c>
      <c r="AB206" s="26">
        <v>0</v>
      </c>
      <c r="AC206" s="26" t="s">
        <v>90</v>
      </c>
      <c r="AD206" s="20">
        <v>2.5</v>
      </c>
      <c r="AE206" s="26">
        <v>2.5</v>
      </c>
      <c r="AF206" s="26" t="s">
        <v>772</v>
      </c>
      <c r="AG206" s="26">
        <v>0</v>
      </c>
      <c r="AH206" s="26" t="s">
        <v>35</v>
      </c>
      <c r="AI206" s="26">
        <v>46</v>
      </c>
      <c r="AJ206" s="26">
        <v>40</v>
      </c>
      <c r="AK206" s="26">
        <v>60</v>
      </c>
      <c r="AL206" s="26">
        <v>62</v>
      </c>
      <c r="AM206" s="26">
        <v>50</v>
      </c>
      <c r="AN206" s="26">
        <v>68</v>
      </c>
      <c r="AO206" s="47">
        <v>33.9</v>
      </c>
      <c r="AP206" s="26">
        <v>0</v>
      </c>
      <c r="AQ206" s="26">
        <v>1</v>
      </c>
      <c r="AR206" s="26">
        <v>0</v>
      </c>
      <c r="AS206" s="26">
        <v>1</v>
      </c>
      <c r="AT206" s="26">
        <v>0</v>
      </c>
      <c r="AU206" s="26">
        <v>0</v>
      </c>
      <c r="AV206" s="26">
        <v>0</v>
      </c>
      <c r="AW206" s="26">
        <v>1</v>
      </c>
      <c r="AX206" s="26">
        <v>1</v>
      </c>
      <c r="AY206" s="34" t="s">
        <v>775</v>
      </c>
      <c r="AZ206" s="25" t="s">
        <v>241</v>
      </c>
      <c r="BA206" s="17" t="s">
        <v>141</v>
      </c>
      <c r="BB206" s="150" t="s">
        <v>763</v>
      </c>
      <c r="BC206" s="150" t="s">
        <v>759</v>
      </c>
      <c r="BD206" s="17">
        <v>4</v>
      </c>
      <c r="BE206" s="17">
        <v>9</v>
      </c>
      <c r="BF206" s="17">
        <v>1</v>
      </c>
      <c r="BG206" s="17">
        <v>1</v>
      </c>
      <c r="BH206" s="17">
        <v>0</v>
      </c>
      <c r="BI206" s="17">
        <v>0</v>
      </c>
      <c r="BJ206" s="17">
        <v>0.93</v>
      </c>
      <c r="BK206" s="17">
        <v>0.93</v>
      </c>
      <c r="BL206" s="150" t="s">
        <v>41</v>
      </c>
      <c r="BM206" s="17">
        <v>260</v>
      </c>
      <c r="BN206" s="17"/>
      <c r="BO206" s="17"/>
      <c r="BP206" s="17"/>
      <c r="BQ206" s="17"/>
      <c r="BR206" s="36"/>
      <c r="BS206" s="36"/>
      <c r="BT206" s="17"/>
      <c r="BU206" s="17">
        <v>7.39</v>
      </c>
      <c r="BV206" s="17">
        <v>1.39</v>
      </c>
      <c r="BW206" s="17"/>
      <c r="BX206" s="17">
        <v>62</v>
      </c>
      <c r="BY206" s="17">
        <v>7.46</v>
      </c>
      <c r="BZ206" s="17">
        <v>1.4</v>
      </c>
      <c r="CA206" s="17"/>
      <c r="CB206" s="17">
        <v>87</v>
      </c>
      <c r="CC206" s="17">
        <v>0</v>
      </c>
      <c r="CD206" s="37">
        <f t="shared" ref="CD206:CD215" si="35">(BY206-BU206)/SQRT((((CB206-1)*BZ206^2)+((BX206-1)*BV206^2))/((CB206+BX206)-2))</f>
        <v>5.0148330299794583E-2</v>
      </c>
      <c r="CE206" s="17">
        <v>149</v>
      </c>
      <c r="CF206" s="22">
        <f t="shared" si="32"/>
        <v>5.0148330299794583E-2</v>
      </c>
      <c r="CG206" s="22">
        <f t="shared" si="33"/>
        <v>5.2001396092273125E-2</v>
      </c>
      <c r="CI206" s="22">
        <f t="shared" si="31"/>
        <v>2.7631724242472892E-2</v>
      </c>
      <c r="CJ206" s="37">
        <f t="shared" si="34"/>
        <v>2.7635357208393562E-2</v>
      </c>
    </row>
    <row r="207" spans="1:88" s="150" customFormat="1" ht="14.15" customHeight="1" x14ac:dyDescent="0.35">
      <c r="A207" s="29" t="s">
        <v>776</v>
      </c>
      <c r="B207" s="183" t="s">
        <v>777</v>
      </c>
      <c r="C207" s="29" t="s">
        <v>778</v>
      </c>
      <c r="D207" s="184" t="s">
        <v>779</v>
      </c>
      <c r="E207" s="184" t="s">
        <v>780</v>
      </c>
      <c r="F207" s="11" t="s">
        <v>1109</v>
      </c>
      <c r="G207" s="27">
        <v>0</v>
      </c>
      <c r="H207" s="27">
        <v>1</v>
      </c>
      <c r="I207" s="27">
        <v>1</v>
      </c>
      <c r="J207" s="11" t="s">
        <v>1107</v>
      </c>
      <c r="K207" s="82">
        <v>0</v>
      </c>
      <c r="L207" s="31" t="s">
        <v>781</v>
      </c>
      <c r="M207" s="31">
        <v>1</v>
      </c>
      <c r="N207" s="31">
        <v>103</v>
      </c>
      <c r="O207" s="27">
        <v>60</v>
      </c>
      <c r="P207" s="27" t="s">
        <v>31</v>
      </c>
      <c r="Q207" s="27">
        <v>3</v>
      </c>
      <c r="R207" s="27">
        <v>1</v>
      </c>
      <c r="S207" s="32">
        <v>0</v>
      </c>
      <c r="T207" s="27">
        <v>0</v>
      </c>
      <c r="U207" s="27">
        <v>0</v>
      </c>
      <c r="V207" s="27">
        <v>0</v>
      </c>
      <c r="W207" s="27">
        <v>1</v>
      </c>
      <c r="X207" s="27">
        <v>0</v>
      </c>
      <c r="Y207" s="27">
        <v>0</v>
      </c>
      <c r="Z207" s="27">
        <v>1</v>
      </c>
      <c r="AA207" s="97">
        <v>1</v>
      </c>
      <c r="AB207" s="27">
        <v>0</v>
      </c>
      <c r="AC207" s="27" t="s">
        <v>782</v>
      </c>
      <c r="AD207" s="11">
        <v>2</v>
      </c>
      <c r="AE207" s="27">
        <v>3.6</v>
      </c>
      <c r="AF207" s="27" t="s">
        <v>58</v>
      </c>
      <c r="AG207" s="27">
        <v>0</v>
      </c>
      <c r="AH207" s="27" t="s">
        <v>198</v>
      </c>
      <c r="AI207" s="27">
        <v>85</v>
      </c>
      <c r="AJ207" s="27">
        <v>60</v>
      </c>
      <c r="AK207" s="27">
        <v>58</v>
      </c>
      <c r="AL207" s="27">
        <v>39</v>
      </c>
      <c r="AM207" s="27">
        <v>86</v>
      </c>
      <c r="AN207" s="27">
        <v>29</v>
      </c>
      <c r="AO207" s="33">
        <v>22.9</v>
      </c>
      <c r="AP207" s="27">
        <v>0</v>
      </c>
      <c r="AQ207" s="27">
        <v>0</v>
      </c>
      <c r="AR207" s="27">
        <v>1</v>
      </c>
      <c r="AS207" s="27">
        <v>0</v>
      </c>
      <c r="AT207" s="27">
        <v>0</v>
      </c>
      <c r="AU207" s="27">
        <v>0</v>
      </c>
      <c r="AV207" s="27">
        <v>0</v>
      </c>
      <c r="AW207" s="27">
        <v>1</v>
      </c>
      <c r="AX207" s="27">
        <v>1</v>
      </c>
      <c r="AY207" s="34" t="s">
        <v>783</v>
      </c>
      <c r="AZ207" s="25" t="s">
        <v>784</v>
      </c>
      <c r="BA207" s="17" t="s">
        <v>183</v>
      </c>
      <c r="BB207" s="150" t="s">
        <v>201</v>
      </c>
      <c r="BC207" s="150" t="s">
        <v>785</v>
      </c>
      <c r="BD207" s="17">
        <v>6</v>
      </c>
      <c r="BE207" s="17">
        <v>7</v>
      </c>
      <c r="BF207" s="17">
        <v>1</v>
      </c>
      <c r="BG207" s="17">
        <v>1</v>
      </c>
      <c r="BH207" s="17">
        <v>0</v>
      </c>
      <c r="BI207" s="17">
        <v>0</v>
      </c>
      <c r="BJ207" s="17">
        <v>0.92</v>
      </c>
      <c r="BK207" s="17">
        <v>0.92</v>
      </c>
      <c r="BL207" s="150" t="s">
        <v>591</v>
      </c>
      <c r="BM207" s="17">
        <v>106</v>
      </c>
      <c r="BN207" s="17"/>
      <c r="BO207" s="17"/>
      <c r="BP207" s="17"/>
      <c r="BQ207" s="17"/>
      <c r="BR207" s="36"/>
      <c r="BS207" s="36"/>
      <c r="BT207" s="17"/>
      <c r="BU207" s="17">
        <v>4.37</v>
      </c>
      <c r="BV207" s="17">
        <v>0.79</v>
      </c>
      <c r="BW207" s="17"/>
      <c r="BX207" s="17">
        <v>20</v>
      </c>
      <c r="BY207" s="17">
        <v>5.01</v>
      </c>
      <c r="BZ207" s="17">
        <v>1.08</v>
      </c>
      <c r="CA207" s="17"/>
      <c r="CB207" s="17">
        <v>20</v>
      </c>
      <c r="CC207" s="17">
        <v>1</v>
      </c>
      <c r="CD207" s="37">
        <f t="shared" si="35"/>
        <v>0.67640655731115318</v>
      </c>
      <c r="CE207" s="17">
        <v>40</v>
      </c>
      <c r="CF207" s="22">
        <f t="shared" si="32"/>
        <v>0.67640655731115318</v>
      </c>
      <c r="CG207" s="22">
        <f t="shared" si="33"/>
        <v>0.70520258481049125</v>
      </c>
      <c r="CI207" s="22">
        <f t="shared" si="31"/>
        <v>0.10571907288466909</v>
      </c>
      <c r="CJ207" s="37">
        <f t="shared" si="34"/>
        <v>0.10552567428470443</v>
      </c>
    </row>
    <row r="208" spans="1:88" s="150" customFormat="1" ht="24" customHeight="1" x14ac:dyDescent="0.35">
      <c r="A208" s="29" t="s">
        <v>776</v>
      </c>
      <c r="B208" s="183" t="s">
        <v>777</v>
      </c>
      <c r="C208" s="29" t="s">
        <v>778</v>
      </c>
      <c r="D208" s="184" t="s">
        <v>779</v>
      </c>
      <c r="E208" s="184" t="s">
        <v>780</v>
      </c>
      <c r="F208" s="11" t="s">
        <v>1109</v>
      </c>
      <c r="G208" s="27">
        <v>0</v>
      </c>
      <c r="H208" s="27">
        <v>1</v>
      </c>
      <c r="I208" s="27">
        <v>1</v>
      </c>
      <c r="J208" s="11" t="s">
        <v>1107</v>
      </c>
      <c r="K208" s="82">
        <v>0</v>
      </c>
      <c r="L208" s="31" t="s">
        <v>781</v>
      </c>
      <c r="M208" s="31">
        <v>1</v>
      </c>
      <c r="N208" s="31">
        <v>103</v>
      </c>
      <c r="O208" s="27">
        <v>60</v>
      </c>
      <c r="P208" s="27" t="s">
        <v>31</v>
      </c>
      <c r="Q208" s="27">
        <v>3</v>
      </c>
      <c r="R208" s="27">
        <v>1</v>
      </c>
      <c r="S208" s="32">
        <v>0</v>
      </c>
      <c r="T208" s="27">
        <v>0</v>
      </c>
      <c r="U208" s="27">
        <v>0</v>
      </c>
      <c r="V208" s="27">
        <v>0</v>
      </c>
      <c r="W208" s="27">
        <v>1</v>
      </c>
      <c r="X208" s="27">
        <v>0</v>
      </c>
      <c r="Y208" s="27">
        <v>0</v>
      </c>
      <c r="Z208" s="27">
        <v>1</v>
      </c>
      <c r="AA208" s="97">
        <v>1</v>
      </c>
      <c r="AB208" s="27">
        <v>0</v>
      </c>
      <c r="AC208" s="27" t="s">
        <v>782</v>
      </c>
      <c r="AD208" s="11">
        <v>2</v>
      </c>
      <c r="AE208" s="27">
        <v>3.6</v>
      </c>
      <c r="AF208" s="27" t="s">
        <v>58</v>
      </c>
      <c r="AG208" s="27">
        <v>0</v>
      </c>
      <c r="AH208" s="27" t="s">
        <v>198</v>
      </c>
      <c r="AI208" s="27">
        <v>85</v>
      </c>
      <c r="AJ208" s="27">
        <v>60</v>
      </c>
      <c r="AK208" s="27">
        <v>58</v>
      </c>
      <c r="AL208" s="27">
        <v>39</v>
      </c>
      <c r="AM208" s="27">
        <v>86</v>
      </c>
      <c r="AN208" s="27">
        <v>29</v>
      </c>
      <c r="AO208" s="33">
        <v>22.9</v>
      </c>
      <c r="AP208" s="27">
        <v>0</v>
      </c>
      <c r="AQ208" s="27">
        <v>0</v>
      </c>
      <c r="AR208" s="27">
        <v>1</v>
      </c>
      <c r="AS208" s="27">
        <v>0</v>
      </c>
      <c r="AT208" s="27">
        <v>0</v>
      </c>
      <c r="AU208" s="27">
        <v>0</v>
      </c>
      <c r="AV208" s="27">
        <v>0</v>
      </c>
      <c r="AW208" s="27">
        <v>1</v>
      </c>
      <c r="AX208" s="27">
        <v>1</v>
      </c>
      <c r="AY208" s="34" t="s">
        <v>786</v>
      </c>
      <c r="AZ208" s="25" t="s">
        <v>784</v>
      </c>
      <c r="BA208" s="27" t="s">
        <v>183</v>
      </c>
      <c r="BB208" s="150" t="s">
        <v>620</v>
      </c>
      <c r="BC208" s="150" t="s">
        <v>787</v>
      </c>
      <c r="BD208" s="17">
        <v>4</v>
      </c>
      <c r="BE208" s="17">
        <v>7</v>
      </c>
      <c r="BF208" s="17">
        <v>0</v>
      </c>
      <c r="BG208" s="17">
        <v>0</v>
      </c>
      <c r="BH208" s="17">
        <v>1</v>
      </c>
      <c r="BI208" s="17">
        <v>0</v>
      </c>
      <c r="BJ208" s="17">
        <v>0.95</v>
      </c>
      <c r="BK208" s="17">
        <v>0.95</v>
      </c>
      <c r="BL208" s="150" t="s">
        <v>591</v>
      </c>
      <c r="BM208" s="17">
        <v>106</v>
      </c>
      <c r="BN208" s="17"/>
      <c r="BO208" s="17"/>
      <c r="BP208" s="17"/>
      <c r="BQ208" s="17"/>
      <c r="BR208" s="36"/>
      <c r="BS208" s="36"/>
      <c r="BT208" s="17"/>
      <c r="BU208" s="17">
        <v>3.4</v>
      </c>
      <c r="BV208" s="17">
        <v>1.06</v>
      </c>
      <c r="BW208" s="17"/>
      <c r="BX208" s="17">
        <v>20</v>
      </c>
      <c r="BY208" s="17">
        <v>4.4000000000000004</v>
      </c>
      <c r="BZ208" s="17">
        <v>1.25</v>
      </c>
      <c r="CA208" s="17"/>
      <c r="CB208" s="17">
        <v>20</v>
      </c>
      <c r="CC208" s="17">
        <v>1</v>
      </c>
      <c r="CD208" s="37">
        <f t="shared" si="35"/>
        <v>0.86288696685931476</v>
      </c>
      <c r="CE208" s="17">
        <v>40</v>
      </c>
      <c r="CF208" s="22">
        <f t="shared" si="32"/>
        <v>0.86288696685931476</v>
      </c>
      <c r="CG208" s="22">
        <f t="shared" si="33"/>
        <v>0.88530334829407675</v>
      </c>
      <c r="CI208" s="22">
        <f t="shared" ref="CI208:CI239" si="36">((BX208+CB208)/(BX208*CB208))+((CF208^2)/(2*(BX208+CB208)))</f>
        <v>0.10930717396969586</v>
      </c>
      <c r="CJ208" s="37">
        <f t="shared" si="34"/>
        <v>0.10870846687223004</v>
      </c>
    </row>
    <row r="209" spans="1:88" s="150" customFormat="1" ht="17.149999999999999" customHeight="1" x14ac:dyDescent="0.35">
      <c r="A209" s="29" t="s">
        <v>776</v>
      </c>
      <c r="B209" s="183" t="s">
        <v>777</v>
      </c>
      <c r="C209" s="29" t="s">
        <v>778</v>
      </c>
      <c r="D209" s="184" t="s">
        <v>779</v>
      </c>
      <c r="E209" s="184" t="s">
        <v>780</v>
      </c>
      <c r="F209" s="11" t="s">
        <v>1109</v>
      </c>
      <c r="G209" s="27">
        <v>0</v>
      </c>
      <c r="H209" s="27">
        <v>1</v>
      </c>
      <c r="I209" s="27">
        <v>1</v>
      </c>
      <c r="J209" s="11" t="s">
        <v>1107</v>
      </c>
      <c r="K209" s="82">
        <v>0</v>
      </c>
      <c r="L209" s="31" t="s">
        <v>781</v>
      </c>
      <c r="M209" s="31">
        <v>1</v>
      </c>
      <c r="N209" s="31">
        <v>103</v>
      </c>
      <c r="O209" s="27">
        <v>60</v>
      </c>
      <c r="P209" s="27" t="s">
        <v>31</v>
      </c>
      <c r="Q209" s="27">
        <v>3</v>
      </c>
      <c r="R209" s="27">
        <v>2</v>
      </c>
      <c r="S209" s="32">
        <v>0</v>
      </c>
      <c r="T209" s="27">
        <v>0</v>
      </c>
      <c r="U209" s="27">
        <v>0</v>
      </c>
      <c r="V209" s="27">
        <v>0</v>
      </c>
      <c r="W209" s="27">
        <v>1</v>
      </c>
      <c r="X209" s="27">
        <v>0</v>
      </c>
      <c r="Y209" s="27">
        <v>0</v>
      </c>
      <c r="Z209" s="27">
        <v>1</v>
      </c>
      <c r="AA209" s="97">
        <v>1</v>
      </c>
      <c r="AB209" s="27">
        <v>0</v>
      </c>
      <c r="AC209" s="27" t="s">
        <v>782</v>
      </c>
      <c r="AD209" s="11">
        <v>2</v>
      </c>
      <c r="AE209" s="27">
        <v>3.6</v>
      </c>
      <c r="AF209" s="27" t="s">
        <v>58</v>
      </c>
      <c r="AG209" s="27">
        <v>0</v>
      </c>
      <c r="AH209" s="27" t="s">
        <v>198</v>
      </c>
      <c r="AI209" s="27">
        <v>85</v>
      </c>
      <c r="AJ209" s="27">
        <v>60</v>
      </c>
      <c r="AK209" s="27">
        <v>58</v>
      </c>
      <c r="AL209" s="27">
        <v>39</v>
      </c>
      <c r="AM209" s="27">
        <v>86</v>
      </c>
      <c r="AN209" s="27">
        <v>29</v>
      </c>
      <c r="AO209" s="33">
        <v>22.9</v>
      </c>
      <c r="AP209" s="27">
        <v>0</v>
      </c>
      <c r="AQ209" s="27">
        <v>1</v>
      </c>
      <c r="AR209" s="27">
        <v>0</v>
      </c>
      <c r="AS209" s="27">
        <v>1</v>
      </c>
      <c r="AT209" s="27">
        <v>0</v>
      </c>
      <c r="AU209" s="27">
        <v>0</v>
      </c>
      <c r="AV209" s="27">
        <v>0</v>
      </c>
      <c r="AW209" s="27">
        <v>1</v>
      </c>
      <c r="AX209" s="27">
        <v>1</v>
      </c>
      <c r="AY209" s="34" t="s">
        <v>788</v>
      </c>
      <c r="AZ209" s="25" t="s">
        <v>784</v>
      </c>
      <c r="BA209" s="17" t="s">
        <v>517</v>
      </c>
      <c r="BB209" s="150" t="s">
        <v>201</v>
      </c>
      <c r="BC209" s="150" t="s">
        <v>785</v>
      </c>
      <c r="BD209" s="17">
        <v>6</v>
      </c>
      <c r="BE209" s="17">
        <v>7</v>
      </c>
      <c r="BF209" s="17">
        <v>1</v>
      </c>
      <c r="BG209" s="17">
        <v>1</v>
      </c>
      <c r="BH209" s="17">
        <v>0</v>
      </c>
      <c r="BI209" s="17">
        <v>0</v>
      </c>
      <c r="BJ209" s="17">
        <v>0.92</v>
      </c>
      <c r="BK209" s="17">
        <v>0.92</v>
      </c>
      <c r="BL209" s="150" t="s">
        <v>591</v>
      </c>
      <c r="BM209" s="17">
        <v>106</v>
      </c>
      <c r="BN209" s="17"/>
      <c r="BO209" s="17"/>
      <c r="BP209" s="17"/>
      <c r="BQ209" s="17"/>
      <c r="BR209" s="36"/>
      <c r="BS209" s="36"/>
      <c r="BT209" s="17"/>
      <c r="BU209" s="17">
        <v>4.37</v>
      </c>
      <c r="BV209" s="17">
        <v>0.83</v>
      </c>
      <c r="BW209" s="17"/>
      <c r="BX209" s="17">
        <v>20</v>
      </c>
      <c r="BY209" s="17">
        <v>5.01</v>
      </c>
      <c r="BZ209" s="17">
        <v>1.08</v>
      </c>
      <c r="CA209" s="17"/>
      <c r="CB209" s="17">
        <v>20</v>
      </c>
      <c r="CC209" s="17">
        <v>1</v>
      </c>
      <c r="CD209" s="37">
        <f t="shared" si="35"/>
        <v>0.66448915840881895</v>
      </c>
      <c r="CE209" s="17">
        <v>40</v>
      </c>
      <c r="CF209" s="22">
        <f t="shared" si="32"/>
        <v>0.66448915840881895</v>
      </c>
      <c r="CG209" s="22">
        <f t="shared" si="33"/>
        <v>0.69277783756446809</v>
      </c>
      <c r="CI209" s="22">
        <f t="shared" si="36"/>
        <v>0.10551932302053577</v>
      </c>
      <c r="CJ209" s="37">
        <f t="shared" si="34"/>
        <v>0.10333292452930903</v>
      </c>
    </row>
    <row r="210" spans="1:88" s="150" customFormat="1" x14ac:dyDescent="0.35">
      <c r="A210" s="38" t="s">
        <v>776</v>
      </c>
      <c r="B210" s="185" t="s">
        <v>777</v>
      </c>
      <c r="C210" s="38" t="s">
        <v>778</v>
      </c>
      <c r="D210" s="186" t="s">
        <v>779</v>
      </c>
      <c r="E210" s="186" t="s">
        <v>780</v>
      </c>
      <c r="F210" s="18" t="s">
        <v>1109</v>
      </c>
      <c r="G210" s="28">
        <v>0</v>
      </c>
      <c r="H210" s="28">
        <v>1</v>
      </c>
      <c r="I210" s="28">
        <v>1</v>
      </c>
      <c r="J210" s="18" t="s">
        <v>1107</v>
      </c>
      <c r="K210" s="83">
        <v>0</v>
      </c>
      <c r="L210" s="40" t="s">
        <v>781</v>
      </c>
      <c r="M210" s="40">
        <v>1</v>
      </c>
      <c r="N210" s="40">
        <v>103</v>
      </c>
      <c r="O210" s="28">
        <v>60</v>
      </c>
      <c r="P210" s="28" t="s">
        <v>31</v>
      </c>
      <c r="Q210" s="28">
        <v>3</v>
      </c>
      <c r="R210" s="28">
        <v>2</v>
      </c>
      <c r="S210" s="41">
        <v>0</v>
      </c>
      <c r="T210" s="28">
        <v>0</v>
      </c>
      <c r="U210" s="28">
        <v>0</v>
      </c>
      <c r="V210" s="28">
        <v>0</v>
      </c>
      <c r="W210" s="28">
        <v>1</v>
      </c>
      <c r="X210" s="28">
        <v>0</v>
      </c>
      <c r="Y210" s="28">
        <v>0</v>
      </c>
      <c r="Z210" s="28">
        <v>1</v>
      </c>
      <c r="AA210" s="92">
        <v>1</v>
      </c>
      <c r="AB210" s="28">
        <v>0</v>
      </c>
      <c r="AC210" s="28" t="s">
        <v>782</v>
      </c>
      <c r="AD210" s="18">
        <v>2</v>
      </c>
      <c r="AE210" s="28">
        <v>3.6</v>
      </c>
      <c r="AF210" s="28" t="s">
        <v>58</v>
      </c>
      <c r="AG210" s="28">
        <v>0</v>
      </c>
      <c r="AH210" s="28" t="s">
        <v>198</v>
      </c>
      <c r="AI210" s="28">
        <v>85</v>
      </c>
      <c r="AJ210" s="28">
        <v>60</v>
      </c>
      <c r="AK210" s="28">
        <v>58</v>
      </c>
      <c r="AL210" s="28">
        <v>39</v>
      </c>
      <c r="AM210" s="28">
        <v>86</v>
      </c>
      <c r="AN210" s="28">
        <v>29</v>
      </c>
      <c r="AO210" s="42">
        <v>22.9</v>
      </c>
      <c r="AP210" s="28">
        <v>0</v>
      </c>
      <c r="AQ210" s="28">
        <v>1</v>
      </c>
      <c r="AR210" s="28">
        <v>0</v>
      </c>
      <c r="AS210" s="28">
        <v>1</v>
      </c>
      <c r="AT210" s="28">
        <v>0</v>
      </c>
      <c r="AU210" s="28">
        <v>0</v>
      </c>
      <c r="AV210" s="28">
        <v>0</v>
      </c>
      <c r="AW210" s="28">
        <v>1</v>
      </c>
      <c r="AX210" s="28">
        <v>1</v>
      </c>
      <c r="AY210" s="34" t="s">
        <v>789</v>
      </c>
      <c r="AZ210" s="25" t="s">
        <v>784</v>
      </c>
      <c r="BA210" s="17" t="s">
        <v>517</v>
      </c>
      <c r="BB210" s="150" t="s">
        <v>620</v>
      </c>
      <c r="BC210" s="150" t="s">
        <v>787</v>
      </c>
      <c r="BD210" s="17">
        <v>4</v>
      </c>
      <c r="BE210" s="17">
        <v>7</v>
      </c>
      <c r="BF210" s="17">
        <v>0</v>
      </c>
      <c r="BG210" s="17">
        <v>0</v>
      </c>
      <c r="BH210" s="17">
        <v>1</v>
      </c>
      <c r="BI210" s="17">
        <v>0</v>
      </c>
      <c r="BJ210" s="17">
        <v>0.95</v>
      </c>
      <c r="BK210" s="17">
        <v>0.95</v>
      </c>
      <c r="BL210" s="150" t="s">
        <v>591</v>
      </c>
      <c r="BM210" s="17">
        <v>106</v>
      </c>
      <c r="BN210" s="17"/>
      <c r="BO210" s="17"/>
      <c r="BP210" s="17"/>
      <c r="BQ210" s="17"/>
      <c r="BR210" s="36"/>
      <c r="BS210" s="36"/>
      <c r="BT210" s="17"/>
      <c r="BU210" s="17">
        <v>4.08</v>
      </c>
      <c r="BV210" s="17">
        <v>1.0900000000000001</v>
      </c>
      <c r="BW210" s="17"/>
      <c r="BX210" s="17">
        <v>20</v>
      </c>
      <c r="BY210" s="17">
        <v>4.4000000000000004</v>
      </c>
      <c r="BZ210" s="17">
        <v>1.25</v>
      </c>
      <c r="CA210" s="17"/>
      <c r="CB210" s="17">
        <v>20</v>
      </c>
      <c r="CC210" s="17">
        <v>0</v>
      </c>
      <c r="CD210" s="37">
        <f t="shared" si="35"/>
        <v>0.27286715123308769</v>
      </c>
      <c r="CE210" s="17">
        <v>40</v>
      </c>
      <c r="CF210" s="22">
        <f t="shared" si="32"/>
        <v>0.27286715123308769</v>
      </c>
      <c r="CG210" s="22">
        <f t="shared" si="33"/>
        <v>0.27995579016029387</v>
      </c>
      <c r="CI210" s="22">
        <f t="shared" si="36"/>
        <v>0.10093070602777576</v>
      </c>
      <c r="CJ210" s="37">
        <f t="shared" si="34"/>
        <v>0.10054427253086302</v>
      </c>
    </row>
    <row r="211" spans="1:88" s="150" customFormat="1" x14ac:dyDescent="0.35">
      <c r="A211" s="29" t="s">
        <v>790</v>
      </c>
      <c r="B211" s="48" t="s">
        <v>791</v>
      </c>
      <c r="C211" s="29" t="s">
        <v>792</v>
      </c>
      <c r="D211" s="30" t="s">
        <v>793</v>
      </c>
      <c r="E211" s="30" t="s">
        <v>235</v>
      </c>
      <c r="F211" s="11" t="s">
        <v>1109</v>
      </c>
      <c r="G211" s="27">
        <v>0</v>
      </c>
      <c r="H211" s="27">
        <v>1</v>
      </c>
      <c r="I211" s="27">
        <v>1</v>
      </c>
      <c r="J211" s="11" t="s">
        <v>1107</v>
      </c>
      <c r="K211" s="82">
        <v>0</v>
      </c>
      <c r="L211" s="31" t="s">
        <v>236</v>
      </c>
      <c r="M211" s="31">
        <v>1</v>
      </c>
      <c r="N211" s="31">
        <v>8</v>
      </c>
      <c r="O211" s="27">
        <v>160</v>
      </c>
      <c r="P211" s="27" t="s">
        <v>31</v>
      </c>
      <c r="Q211" s="27">
        <v>2</v>
      </c>
      <c r="R211" s="27">
        <v>1</v>
      </c>
      <c r="S211" s="32">
        <v>0</v>
      </c>
      <c r="T211" s="27">
        <v>1</v>
      </c>
      <c r="U211" s="27">
        <v>0</v>
      </c>
      <c r="V211" s="27">
        <v>0</v>
      </c>
      <c r="W211" s="27">
        <v>0</v>
      </c>
      <c r="X211" s="27">
        <v>0</v>
      </c>
      <c r="Y211" s="27">
        <v>1</v>
      </c>
      <c r="Z211" s="27">
        <v>0</v>
      </c>
      <c r="AA211" s="11">
        <v>1</v>
      </c>
      <c r="AB211" s="27">
        <v>0</v>
      </c>
      <c r="AC211" s="27" t="s">
        <v>237</v>
      </c>
      <c r="AD211" s="11">
        <v>2.4</v>
      </c>
      <c r="AE211" s="27">
        <v>2.7</v>
      </c>
      <c r="AF211" s="27" t="s">
        <v>794</v>
      </c>
      <c r="AG211" s="27">
        <v>1</v>
      </c>
      <c r="AH211" s="27" t="s">
        <v>239</v>
      </c>
      <c r="AI211" s="27">
        <v>94</v>
      </c>
      <c r="AJ211" s="27">
        <v>65</v>
      </c>
      <c r="AK211" s="27">
        <v>81</v>
      </c>
      <c r="AL211" s="27">
        <v>54</v>
      </c>
      <c r="AM211" s="27">
        <v>61</v>
      </c>
      <c r="AN211" s="27">
        <v>57</v>
      </c>
      <c r="AO211" s="33">
        <v>22.6</v>
      </c>
      <c r="AP211" s="27">
        <v>1</v>
      </c>
      <c r="AQ211" s="27">
        <v>1</v>
      </c>
      <c r="AR211" s="27">
        <v>0</v>
      </c>
      <c r="AS211" s="27">
        <v>1</v>
      </c>
      <c r="AT211" s="27">
        <v>0</v>
      </c>
      <c r="AU211" s="27">
        <v>0</v>
      </c>
      <c r="AV211" s="27">
        <v>0</v>
      </c>
      <c r="AW211" s="27">
        <v>1</v>
      </c>
      <c r="AX211" s="27">
        <v>1</v>
      </c>
      <c r="AY211" s="34" t="s">
        <v>796</v>
      </c>
      <c r="AZ211" s="25" t="s">
        <v>241</v>
      </c>
      <c r="BA211" s="54" t="s">
        <v>141</v>
      </c>
      <c r="BB211" s="35" t="s">
        <v>795</v>
      </c>
      <c r="BC211" s="35" t="s">
        <v>797</v>
      </c>
      <c r="BD211" s="17">
        <v>3</v>
      </c>
      <c r="BE211" s="17">
        <v>7</v>
      </c>
      <c r="BF211" s="17">
        <v>1</v>
      </c>
      <c r="BG211" s="17">
        <v>1</v>
      </c>
      <c r="BH211" s="17">
        <v>0</v>
      </c>
      <c r="BI211" s="17">
        <v>0</v>
      </c>
      <c r="BJ211" s="17">
        <v>0.82</v>
      </c>
      <c r="BK211" s="17">
        <v>0.82</v>
      </c>
      <c r="BL211" s="35" t="s">
        <v>41</v>
      </c>
      <c r="BM211" s="17" t="s">
        <v>33</v>
      </c>
      <c r="BN211" s="17"/>
      <c r="BO211" s="17"/>
      <c r="BP211" s="17"/>
      <c r="BQ211" s="17"/>
      <c r="BR211" s="36"/>
      <c r="BS211" s="36"/>
      <c r="BT211" s="17"/>
      <c r="BU211" s="17">
        <v>5.16</v>
      </c>
      <c r="BV211" s="17">
        <v>1.0900000000000001</v>
      </c>
      <c r="BW211" s="17"/>
      <c r="BX211" s="17">
        <v>80</v>
      </c>
      <c r="BY211" s="17">
        <v>5.89</v>
      </c>
      <c r="BZ211" s="17">
        <v>0.78</v>
      </c>
      <c r="CA211" s="17"/>
      <c r="CB211" s="17">
        <v>80</v>
      </c>
      <c r="CC211" s="17">
        <v>1</v>
      </c>
      <c r="CD211" s="37">
        <f t="shared" si="35"/>
        <v>0.77023676965255139</v>
      </c>
      <c r="CE211" s="17">
        <v>160</v>
      </c>
      <c r="CF211" s="22">
        <f t="shared" si="32"/>
        <v>0.77023676965255139</v>
      </c>
      <c r="CG211" s="22">
        <f t="shared" si="33"/>
        <v>0.85058421911691307</v>
      </c>
      <c r="CH211" s="35"/>
      <c r="CI211" s="22">
        <f t="shared" si="36"/>
        <v>2.6853952129139994E-2</v>
      </c>
      <c r="CJ211" s="37">
        <f t="shared" si="34"/>
        <v>2.7740505734131549E-2</v>
      </c>
    </row>
    <row r="212" spans="1:88" s="150" customFormat="1" x14ac:dyDescent="0.35">
      <c r="A212" s="38" t="s">
        <v>790</v>
      </c>
      <c r="B212" s="49" t="s">
        <v>791</v>
      </c>
      <c r="C212" s="38" t="s">
        <v>792</v>
      </c>
      <c r="D212" s="39" t="s">
        <v>793</v>
      </c>
      <c r="E212" s="39" t="s">
        <v>235</v>
      </c>
      <c r="F212" s="18" t="s">
        <v>1109</v>
      </c>
      <c r="G212" s="28">
        <v>0</v>
      </c>
      <c r="H212" s="28">
        <v>1</v>
      </c>
      <c r="I212" s="28">
        <v>1</v>
      </c>
      <c r="J212" s="18" t="s">
        <v>1107</v>
      </c>
      <c r="K212" s="83">
        <v>0</v>
      </c>
      <c r="L212" s="40" t="s">
        <v>236</v>
      </c>
      <c r="M212" s="40">
        <v>1</v>
      </c>
      <c r="N212" s="40">
        <v>8</v>
      </c>
      <c r="O212" s="28">
        <v>160</v>
      </c>
      <c r="P212" s="28" t="s">
        <v>31</v>
      </c>
      <c r="Q212" s="28">
        <v>2</v>
      </c>
      <c r="R212" s="28">
        <v>1</v>
      </c>
      <c r="S212" s="41">
        <v>0</v>
      </c>
      <c r="T212" s="28">
        <v>1</v>
      </c>
      <c r="U212" s="28">
        <v>0</v>
      </c>
      <c r="V212" s="28">
        <v>0</v>
      </c>
      <c r="W212" s="28">
        <v>0</v>
      </c>
      <c r="X212" s="28">
        <v>0</v>
      </c>
      <c r="Y212" s="28">
        <v>1</v>
      </c>
      <c r="Z212" s="28">
        <v>0</v>
      </c>
      <c r="AA212" s="18">
        <v>1</v>
      </c>
      <c r="AB212" s="28">
        <v>0</v>
      </c>
      <c r="AC212" s="28" t="s">
        <v>237</v>
      </c>
      <c r="AD212" s="18">
        <v>2.4</v>
      </c>
      <c r="AE212" s="28">
        <v>2.7</v>
      </c>
      <c r="AF212" s="28" t="s">
        <v>794</v>
      </c>
      <c r="AG212" s="28">
        <v>1</v>
      </c>
      <c r="AH212" s="28" t="s">
        <v>239</v>
      </c>
      <c r="AI212" s="28">
        <v>94</v>
      </c>
      <c r="AJ212" s="28">
        <v>65</v>
      </c>
      <c r="AK212" s="28">
        <v>81</v>
      </c>
      <c r="AL212" s="28">
        <v>54</v>
      </c>
      <c r="AM212" s="28">
        <v>61</v>
      </c>
      <c r="AN212" s="28">
        <v>57</v>
      </c>
      <c r="AO212" s="42">
        <v>22.6</v>
      </c>
      <c r="AP212" s="28">
        <v>1</v>
      </c>
      <c r="AQ212" s="28">
        <v>1</v>
      </c>
      <c r="AR212" s="28">
        <v>0</v>
      </c>
      <c r="AS212" s="28">
        <v>1</v>
      </c>
      <c r="AT212" s="28">
        <v>0</v>
      </c>
      <c r="AU212" s="28">
        <v>0</v>
      </c>
      <c r="AV212" s="28">
        <v>0</v>
      </c>
      <c r="AW212" s="28">
        <v>1</v>
      </c>
      <c r="AX212" s="28">
        <v>1</v>
      </c>
      <c r="AY212" s="34" t="s">
        <v>798</v>
      </c>
      <c r="AZ212" s="25" t="s">
        <v>241</v>
      </c>
      <c r="BA212" s="25" t="s">
        <v>141</v>
      </c>
      <c r="BB212" s="35" t="s">
        <v>46</v>
      </c>
      <c r="BC212" s="35" t="s">
        <v>799</v>
      </c>
      <c r="BD212" s="17">
        <v>2</v>
      </c>
      <c r="BE212" s="17">
        <v>7</v>
      </c>
      <c r="BF212" s="17">
        <v>0</v>
      </c>
      <c r="BG212" s="17">
        <v>0</v>
      </c>
      <c r="BH212" s="17">
        <v>1</v>
      </c>
      <c r="BI212" s="17">
        <v>0</v>
      </c>
      <c r="BJ212" s="17">
        <v>0.93</v>
      </c>
      <c r="BK212" s="17">
        <v>0.93</v>
      </c>
      <c r="BL212" s="35" t="s">
        <v>18</v>
      </c>
      <c r="BM212" s="17" t="s">
        <v>33</v>
      </c>
      <c r="BN212" s="17"/>
      <c r="BO212" s="17"/>
      <c r="BP212" s="17"/>
      <c r="BQ212" s="17"/>
      <c r="BR212" s="36"/>
      <c r="BS212" s="36"/>
      <c r="BT212" s="17"/>
      <c r="BU212" s="17">
        <v>3.58</v>
      </c>
      <c r="BV212" s="17">
        <v>1.67</v>
      </c>
      <c r="BW212" s="17"/>
      <c r="BX212" s="17">
        <v>80</v>
      </c>
      <c r="BY212" s="17">
        <v>4.25</v>
      </c>
      <c r="BZ212" s="17">
        <v>1.35</v>
      </c>
      <c r="CA212" s="17"/>
      <c r="CB212" s="17">
        <v>80</v>
      </c>
      <c r="CC212" s="17">
        <v>1</v>
      </c>
      <c r="CD212" s="37">
        <f t="shared" si="35"/>
        <v>0.44123850344601279</v>
      </c>
      <c r="CE212" s="17">
        <v>160</v>
      </c>
      <c r="CF212" s="22">
        <f t="shared" si="32"/>
        <v>0.44123850344601279</v>
      </c>
      <c r="CG212" s="22">
        <f t="shared" si="33"/>
        <v>0.45754301392865954</v>
      </c>
      <c r="CH212" s="35"/>
      <c r="CI212" s="22">
        <f t="shared" si="36"/>
        <v>2.5608410677885243E-2</v>
      </c>
      <c r="CJ212" s="37">
        <f t="shared" si="34"/>
        <v>2.5792975793920158E-2</v>
      </c>
    </row>
    <row r="213" spans="1:88" s="150" customFormat="1" x14ac:dyDescent="0.35">
      <c r="A213" s="29" t="s">
        <v>800</v>
      </c>
      <c r="B213" s="48" t="s">
        <v>801</v>
      </c>
      <c r="C213" s="29" t="s">
        <v>802</v>
      </c>
      <c r="D213" s="30" t="s">
        <v>803</v>
      </c>
      <c r="E213" s="30" t="s">
        <v>804</v>
      </c>
      <c r="F213" s="11" t="s">
        <v>1109</v>
      </c>
      <c r="G213" s="27">
        <v>0</v>
      </c>
      <c r="H213" s="27">
        <v>1</v>
      </c>
      <c r="I213" s="27">
        <v>1</v>
      </c>
      <c r="J213" s="11" t="s">
        <v>1107</v>
      </c>
      <c r="K213" s="82">
        <v>0</v>
      </c>
      <c r="L213" s="31" t="s">
        <v>805</v>
      </c>
      <c r="M213" s="31">
        <v>1</v>
      </c>
      <c r="N213" s="31">
        <v>462</v>
      </c>
      <c r="O213" s="27">
        <v>366</v>
      </c>
      <c r="P213" s="27" t="s">
        <v>31</v>
      </c>
      <c r="Q213" s="27">
        <v>3</v>
      </c>
      <c r="R213" s="27">
        <v>1</v>
      </c>
      <c r="S213" s="32">
        <v>0</v>
      </c>
      <c r="T213" s="27">
        <v>0</v>
      </c>
      <c r="U213" s="27">
        <v>0</v>
      </c>
      <c r="V213" s="27">
        <v>1</v>
      </c>
      <c r="W213" s="27">
        <v>0</v>
      </c>
      <c r="X213" s="27">
        <v>0</v>
      </c>
      <c r="Y213" s="27">
        <v>0</v>
      </c>
      <c r="Z213" s="27">
        <v>1</v>
      </c>
      <c r="AA213" s="11">
        <v>1</v>
      </c>
      <c r="AB213" s="27">
        <v>0</v>
      </c>
      <c r="AC213" s="27" t="s">
        <v>806</v>
      </c>
      <c r="AD213" s="11">
        <v>3.7</v>
      </c>
      <c r="AE213" s="27">
        <v>2.9</v>
      </c>
      <c r="AF213" s="27" t="s">
        <v>650</v>
      </c>
      <c r="AG213" s="27">
        <v>1</v>
      </c>
      <c r="AH213" s="27" t="s">
        <v>723</v>
      </c>
      <c r="AI213" s="27">
        <v>53</v>
      </c>
      <c r="AJ213" s="27">
        <v>38</v>
      </c>
      <c r="AK213" s="27">
        <v>100</v>
      </c>
      <c r="AL213" s="27">
        <v>14</v>
      </c>
      <c r="AM213" s="27">
        <v>67</v>
      </c>
      <c r="AN213" s="27">
        <v>68</v>
      </c>
      <c r="AO213" s="33">
        <v>22.68</v>
      </c>
      <c r="AP213" s="27">
        <v>1</v>
      </c>
      <c r="AQ213" s="27">
        <v>0</v>
      </c>
      <c r="AR213" s="27">
        <v>0</v>
      </c>
      <c r="AS213" s="27">
        <v>0</v>
      </c>
      <c r="AT213" s="27">
        <v>0</v>
      </c>
      <c r="AU213" s="27">
        <v>1</v>
      </c>
      <c r="AV213" s="27">
        <v>0</v>
      </c>
      <c r="AW213" s="27">
        <v>1</v>
      </c>
      <c r="AX213" s="27">
        <v>1</v>
      </c>
      <c r="AY213" s="34" t="s">
        <v>807</v>
      </c>
      <c r="AZ213" s="35" t="s">
        <v>808</v>
      </c>
      <c r="BA213" s="25" t="s">
        <v>809</v>
      </c>
      <c r="BB213" s="35" t="s">
        <v>46</v>
      </c>
      <c r="BC213" s="35"/>
      <c r="BD213" s="17">
        <v>3</v>
      </c>
      <c r="BE213" s="17">
        <v>7</v>
      </c>
      <c r="BF213" s="17">
        <v>0</v>
      </c>
      <c r="BG213" s="17">
        <v>0</v>
      </c>
      <c r="BH213" s="17">
        <v>1</v>
      </c>
      <c r="BI213" s="17">
        <v>0</v>
      </c>
      <c r="BJ213" s="17">
        <v>0.7</v>
      </c>
      <c r="BK213" s="17">
        <v>0.7</v>
      </c>
      <c r="BL213" s="35" t="s">
        <v>41</v>
      </c>
      <c r="BM213" s="17">
        <v>462</v>
      </c>
      <c r="BN213" s="17"/>
      <c r="BO213" s="17"/>
      <c r="BP213" s="17"/>
      <c r="BQ213" s="17"/>
      <c r="BR213" s="36"/>
      <c r="BS213" s="36"/>
      <c r="BT213" s="17"/>
      <c r="BU213" s="17">
        <v>3.39</v>
      </c>
      <c r="BV213" s="17">
        <v>1.42</v>
      </c>
      <c r="BW213" s="17"/>
      <c r="BX213" s="17">
        <v>122</v>
      </c>
      <c r="BY213" s="17">
        <v>4.63</v>
      </c>
      <c r="BZ213" s="17">
        <v>1.17</v>
      </c>
      <c r="CA213" s="17"/>
      <c r="CB213" s="17">
        <v>122</v>
      </c>
      <c r="CC213" s="17">
        <v>1</v>
      </c>
      <c r="CD213" s="37">
        <f t="shared" si="35"/>
        <v>0.95309919422163802</v>
      </c>
      <c r="CE213" s="17">
        <v>244</v>
      </c>
      <c r="CF213" s="22">
        <f t="shared" si="32"/>
        <v>0.95309919422163802</v>
      </c>
      <c r="CG213" s="22">
        <f t="shared" si="33"/>
        <v>1.1391714244672595</v>
      </c>
      <c r="CH213" s="35"/>
      <c r="CI213" s="22">
        <f t="shared" si="36"/>
        <v>1.825491408611872E-2</v>
      </c>
      <c r="CJ213" s="37">
        <f t="shared" si="34"/>
        <v>1.9166330516802884E-2</v>
      </c>
    </row>
    <row r="214" spans="1:88" s="150" customFormat="1" x14ac:dyDescent="0.35">
      <c r="A214" s="38" t="s">
        <v>800</v>
      </c>
      <c r="B214" s="49" t="s">
        <v>801</v>
      </c>
      <c r="C214" s="38" t="s">
        <v>802</v>
      </c>
      <c r="D214" s="39" t="s">
        <v>803</v>
      </c>
      <c r="E214" s="39" t="s">
        <v>804</v>
      </c>
      <c r="F214" s="18" t="s">
        <v>1109</v>
      </c>
      <c r="G214" s="28">
        <v>0</v>
      </c>
      <c r="H214" s="28">
        <v>1</v>
      </c>
      <c r="I214" s="28">
        <v>1</v>
      </c>
      <c r="J214" s="18" t="s">
        <v>1107</v>
      </c>
      <c r="K214" s="83">
        <v>0</v>
      </c>
      <c r="L214" s="31" t="s">
        <v>805</v>
      </c>
      <c r="M214" s="31">
        <v>1</v>
      </c>
      <c r="N214" s="31">
        <v>462</v>
      </c>
      <c r="O214" s="27">
        <v>366</v>
      </c>
      <c r="P214" s="27" t="s">
        <v>31</v>
      </c>
      <c r="Q214" s="27">
        <v>3</v>
      </c>
      <c r="R214" s="27">
        <v>2</v>
      </c>
      <c r="S214" s="41">
        <v>0</v>
      </c>
      <c r="T214" s="27">
        <v>0</v>
      </c>
      <c r="U214" s="27">
        <v>0</v>
      </c>
      <c r="V214" s="27">
        <v>0</v>
      </c>
      <c r="W214" s="27">
        <v>1</v>
      </c>
      <c r="X214" s="27">
        <v>0</v>
      </c>
      <c r="Y214" s="27">
        <v>0</v>
      </c>
      <c r="Z214" s="27">
        <v>1</v>
      </c>
      <c r="AA214" s="12">
        <v>1</v>
      </c>
      <c r="AB214" s="17">
        <v>0</v>
      </c>
      <c r="AC214" s="27" t="s">
        <v>806</v>
      </c>
      <c r="AD214" s="12">
        <v>3.7</v>
      </c>
      <c r="AE214" s="27">
        <v>2.9</v>
      </c>
      <c r="AF214" s="27" t="s">
        <v>650</v>
      </c>
      <c r="AG214" s="27">
        <v>1</v>
      </c>
      <c r="AH214" s="27" t="s">
        <v>723</v>
      </c>
      <c r="AI214" s="27">
        <v>53</v>
      </c>
      <c r="AJ214" s="27">
        <v>38</v>
      </c>
      <c r="AK214" s="27">
        <v>100</v>
      </c>
      <c r="AL214" s="27">
        <v>14</v>
      </c>
      <c r="AM214" s="27">
        <v>67</v>
      </c>
      <c r="AN214" s="27">
        <v>68</v>
      </c>
      <c r="AO214" s="33">
        <v>22.68</v>
      </c>
      <c r="AP214" s="27">
        <v>1</v>
      </c>
      <c r="AQ214" s="27">
        <v>0</v>
      </c>
      <c r="AR214" s="27">
        <v>0</v>
      </c>
      <c r="AS214" s="27">
        <v>0</v>
      </c>
      <c r="AT214" s="27">
        <v>0</v>
      </c>
      <c r="AU214" s="27">
        <v>1</v>
      </c>
      <c r="AV214" s="27">
        <v>0</v>
      </c>
      <c r="AW214" s="27">
        <v>1</v>
      </c>
      <c r="AX214" s="27">
        <v>1</v>
      </c>
      <c r="AY214" s="34" t="s">
        <v>810</v>
      </c>
      <c r="AZ214" s="35" t="s">
        <v>91</v>
      </c>
      <c r="BA214" s="25" t="s">
        <v>811</v>
      </c>
      <c r="BB214" s="35" t="s">
        <v>46</v>
      </c>
      <c r="BC214" s="35"/>
      <c r="BD214" s="17">
        <v>3</v>
      </c>
      <c r="BE214" s="17">
        <v>7</v>
      </c>
      <c r="BF214" s="17">
        <v>0</v>
      </c>
      <c r="BG214" s="17">
        <v>0</v>
      </c>
      <c r="BH214" s="17">
        <v>1</v>
      </c>
      <c r="BI214" s="17">
        <v>0</v>
      </c>
      <c r="BJ214" s="17">
        <v>0.7</v>
      </c>
      <c r="BK214" s="17">
        <v>0.7</v>
      </c>
      <c r="BL214" s="35" t="s">
        <v>41</v>
      </c>
      <c r="BM214" s="17">
        <v>462</v>
      </c>
      <c r="BN214" s="17"/>
      <c r="BO214" s="17"/>
      <c r="BP214" s="17"/>
      <c r="BQ214" s="17"/>
      <c r="BR214" s="36"/>
      <c r="BS214" s="36"/>
      <c r="BT214" s="17"/>
      <c r="BU214" s="17">
        <v>3.39</v>
      </c>
      <c r="BV214" s="17">
        <v>1.42</v>
      </c>
      <c r="BW214" s="17"/>
      <c r="BX214" s="17">
        <v>122</v>
      </c>
      <c r="BY214" s="17">
        <v>3.93</v>
      </c>
      <c r="BZ214" s="17">
        <v>1.35</v>
      </c>
      <c r="CA214" s="17"/>
      <c r="CB214" s="17">
        <v>122</v>
      </c>
      <c r="CC214" s="17">
        <v>1</v>
      </c>
      <c r="CD214" s="37">
        <f t="shared" si="35"/>
        <v>0.38976726174162196</v>
      </c>
      <c r="CE214" s="17">
        <v>244</v>
      </c>
      <c r="CF214" s="22">
        <f t="shared" si="32"/>
        <v>0.38976726174162196</v>
      </c>
      <c r="CG214" s="22">
        <f t="shared" si="33"/>
        <v>0.46586098221551342</v>
      </c>
      <c r="CH214" s="35"/>
      <c r="CI214" s="22">
        <f t="shared" si="36"/>
        <v>1.6704751062142545E-2</v>
      </c>
      <c r="CJ214" s="37">
        <f t="shared" si="34"/>
        <v>1.6820660053562638E-2</v>
      </c>
    </row>
    <row r="215" spans="1:88" s="150" customFormat="1" ht="14.5" customHeight="1" x14ac:dyDescent="0.35">
      <c r="A215" s="50" t="s">
        <v>812</v>
      </c>
      <c r="B215" s="51" t="s">
        <v>813</v>
      </c>
      <c r="C215" s="50" t="s">
        <v>353</v>
      </c>
      <c r="D215" s="52" t="s">
        <v>814</v>
      </c>
      <c r="E215" s="52" t="s">
        <v>815</v>
      </c>
      <c r="F215" s="20" t="s">
        <v>1109</v>
      </c>
      <c r="G215" s="26">
        <v>0</v>
      </c>
      <c r="H215" s="26">
        <v>1</v>
      </c>
      <c r="I215" s="26">
        <v>1</v>
      </c>
      <c r="J215" s="20" t="s">
        <v>1106</v>
      </c>
      <c r="K215" s="84">
        <v>1</v>
      </c>
      <c r="L215" s="45" t="s">
        <v>816</v>
      </c>
      <c r="M215" s="45">
        <v>1</v>
      </c>
      <c r="N215" s="45">
        <v>441</v>
      </c>
      <c r="O215" s="26">
        <v>162</v>
      </c>
      <c r="P215" s="26" t="s">
        <v>31</v>
      </c>
      <c r="Q215" s="26">
        <v>2</v>
      </c>
      <c r="R215" s="26">
        <v>1</v>
      </c>
      <c r="S215" s="46">
        <v>0</v>
      </c>
      <c r="T215" s="26">
        <v>0</v>
      </c>
      <c r="U215" s="26">
        <v>0</v>
      </c>
      <c r="V215" s="26">
        <v>1</v>
      </c>
      <c r="W215" s="26">
        <v>0</v>
      </c>
      <c r="X215" s="26">
        <v>1</v>
      </c>
      <c r="Y215" s="26">
        <v>0</v>
      </c>
      <c r="Z215" s="26">
        <v>0</v>
      </c>
      <c r="AA215" s="20">
        <v>1</v>
      </c>
      <c r="AB215" s="26">
        <v>0</v>
      </c>
      <c r="AC215" s="26" t="s">
        <v>721</v>
      </c>
      <c r="AD215" s="20">
        <v>4.2</v>
      </c>
      <c r="AE215" s="26">
        <v>2.8</v>
      </c>
      <c r="AF215" s="26" t="s">
        <v>817</v>
      </c>
      <c r="AG215" s="26">
        <v>1</v>
      </c>
      <c r="AH215" s="26" t="s">
        <v>818</v>
      </c>
      <c r="AI215" s="26">
        <v>58</v>
      </c>
      <c r="AJ215" s="26">
        <v>34</v>
      </c>
      <c r="AK215" s="26">
        <v>79</v>
      </c>
      <c r="AL215" s="26">
        <v>70</v>
      </c>
      <c r="AM215" s="26">
        <v>42</v>
      </c>
      <c r="AN215" s="26">
        <v>66</v>
      </c>
      <c r="AO215" s="47">
        <v>23.5</v>
      </c>
      <c r="AP215" s="26">
        <v>1</v>
      </c>
      <c r="AQ215" s="26">
        <v>0</v>
      </c>
      <c r="AR215" s="26">
        <v>0</v>
      </c>
      <c r="AS215" s="26">
        <v>0</v>
      </c>
      <c r="AT215" s="26">
        <v>0</v>
      </c>
      <c r="AU215" s="26">
        <v>1</v>
      </c>
      <c r="AV215" s="26">
        <v>0</v>
      </c>
      <c r="AW215" s="26">
        <v>1</v>
      </c>
      <c r="AX215" s="26">
        <v>1</v>
      </c>
      <c r="AY215" s="34" t="s">
        <v>819</v>
      </c>
      <c r="AZ215" s="25" t="s">
        <v>820</v>
      </c>
      <c r="BA215" s="17" t="s">
        <v>83</v>
      </c>
      <c r="BB215" s="35" t="s">
        <v>620</v>
      </c>
      <c r="BC215" s="35" t="s">
        <v>821</v>
      </c>
      <c r="BD215" s="17">
        <v>4</v>
      </c>
      <c r="BE215" s="17">
        <v>7</v>
      </c>
      <c r="BF215" s="17">
        <v>0</v>
      </c>
      <c r="BG215" s="17">
        <v>0</v>
      </c>
      <c r="BH215" s="17">
        <v>1</v>
      </c>
      <c r="BI215" s="17">
        <v>0</v>
      </c>
      <c r="BJ215" s="17">
        <v>0.91</v>
      </c>
      <c r="BK215" s="17">
        <v>0.91</v>
      </c>
      <c r="BL215" s="35" t="s">
        <v>41</v>
      </c>
      <c r="BM215" s="17">
        <v>443</v>
      </c>
      <c r="BN215" s="17"/>
      <c r="BO215" s="17"/>
      <c r="BP215" s="17"/>
      <c r="BQ215" s="17"/>
      <c r="BR215" s="36"/>
      <c r="BS215" s="36"/>
      <c r="BT215" s="17"/>
      <c r="BU215" s="17">
        <v>3.3</v>
      </c>
      <c r="BV215" s="17">
        <v>1.21</v>
      </c>
      <c r="BW215" s="17"/>
      <c r="BX215" s="17">
        <v>92</v>
      </c>
      <c r="BY215" s="17">
        <v>3.95</v>
      </c>
      <c r="BZ215" s="17">
        <v>1.04</v>
      </c>
      <c r="CA215" s="17"/>
      <c r="CB215" s="17">
        <v>70</v>
      </c>
      <c r="CC215" s="17">
        <v>1</v>
      </c>
      <c r="CD215" s="37">
        <f t="shared" si="35"/>
        <v>0.57027486469923738</v>
      </c>
      <c r="CE215" s="17">
        <v>162</v>
      </c>
      <c r="CF215" s="22">
        <f t="shared" si="32"/>
        <v>0.57027486469923738</v>
      </c>
      <c r="CG215" s="22">
        <f t="shared" si="33"/>
        <v>0.59781049342785408</v>
      </c>
      <c r="CH215" s="35"/>
      <c r="CI215" s="37">
        <f t="shared" si="36"/>
        <v>2.6159024630598597E-2</v>
      </c>
      <c r="CJ215" s="37">
        <f t="shared" si="34"/>
        <v>2.6286220598208294E-2</v>
      </c>
    </row>
    <row r="216" spans="1:88" s="150" customFormat="1" x14ac:dyDescent="0.35">
      <c r="A216" s="29" t="s">
        <v>822</v>
      </c>
      <c r="B216" s="48" t="s">
        <v>823</v>
      </c>
      <c r="C216" s="29" t="s">
        <v>133</v>
      </c>
      <c r="D216" s="30" t="s">
        <v>824</v>
      </c>
      <c r="E216" s="30" t="s">
        <v>216</v>
      </c>
      <c r="F216" s="11" t="s">
        <v>1109</v>
      </c>
      <c r="G216" s="27">
        <v>0</v>
      </c>
      <c r="H216" s="27">
        <v>1</v>
      </c>
      <c r="I216" s="27">
        <v>3</v>
      </c>
      <c r="J216" s="11" t="s">
        <v>1111</v>
      </c>
      <c r="K216" s="82">
        <v>0</v>
      </c>
      <c r="L216" s="45" t="s">
        <v>825</v>
      </c>
      <c r="M216" s="45" t="s">
        <v>754</v>
      </c>
      <c r="N216" s="45">
        <v>277</v>
      </c>
      <c r="O216" s="26">
        <v>106</v>
      </c>
      <c r="P216" s="26" t="s">
        <v>31</v>
      </c>
      <c r="Q216" s="26">
        <v>2</v>
      </c>
      <c r="R216" s="26">
        <v>1</v>
      </c>
      <c r="S216" s="46">
        <v>0</v>
      </c>
      <c r="T216" s="26">
        <v>0</v>
      </c>
      <c r="U216" s="26">
        <v>0</v>
      </c>
      <c r="V216" s="26">
        <v>1</v>
      </c>
      <c r="W216" s="26">
        <v>0</v>
      </c>
      <c r="X216" s="26">
        <v>1</v>
      </c>
      <c r="Y216" s="26">
        <v>0</v>
      </c>
      <c r="Z216" s="26">
        <v>0</v>
      </c>
      <c r="AA216" s="18">
        <v>1</v>
      </c>
      <c r="AB216" s="26">
        <v>1</v>
      </c>
      <c r="AC216" s="26" t="s">
        <v>826</v>
      </c>
      <c r="AD216" s="20">
        <v>4.3</v>
      </c>
      <c r="AE216" s="26">
        <v>2.6</v>
      </c>
      <c r="AF216" s="26" t="s">
        <v>827</v>
      </c>
      <c r="AG216" s="26">
        <v>1</v>
      </c>
      <c r="AH216" s="26" t="s">
        <v>198</v>
      </c>
      <c r="AI216" s="26">
        <v>85</v>
      </c>
      <c r="AJ216" s="26">
        <v>60</v>
      </c>
      <c r="AK216" s="26">
        <v>58</v>
      </c>
      <c r="AL216" s="26">
        <v>39</v>
      </c>
      <c r="AM216" s="26">
        <v>86</v>
      </c>
      <c r="AN216" s="26">
        <v>29</v>
      </c>
      <c r="AO216" s="47">
        <v>23.6</v>
      </c>
      <c r="AP216" s="28">
        <v>0</v>
      </c>
      <c r="AQ216" s="26">
        <v>0</v>
      </c>
      <c r="AR216" s="26">
        <v>0</v>
      </c>
      <c r="AS216" s="26">
        <v>0</v>
      </c>
      <c r="AT216" s="26">
        <v>0</v>
      </c>
      <c r="AU216" s="26">
        <v>1</v>
      </c>
      <c r="AV216" s="26">
        <v>0</v>
      </c>
      <c r="AW216" s="26">
        <v>0</v>
      </c>
      <c r="AX216" s="26">
        <v>1</v>
      </c>
      <c r="AY216" s="34" t="s">
        <v>828</v>
      </c>
      <c r="AZ216" s="25" t="s">
        <v>435</v>
      </c>
      <c r="BA216" s="17" t="s">
        <v>83</v>
      </c>
      <c r="BB216" s="35" t="s">
        <v>46</v>
      </c>
      <c r="BC216" s="35" t="s">
        <v>829</v>
      </c>
      <c r="BD216" s="17">
        <v>3</v>
      </c>
      <c r="BE216" s="17">
        <v>7</v>
      </c>
      <c r="BF216" s="17">
        <v>0</v>
      </c>
      <c r="BG216" s="17">
        <v>0</v>
      </c>
      <c r="BH216" s="17">
        <v>1</v>
      </c>
      <c r="BI216" s="17">
        <v>0</v>
      </c>
      <c r="BJ216" s="17">
        <v>0.87</v>
      </c>
      <c r="BK216" s="17">
        <v>0.87</v>
      </c>
      <c r="BL216" s="35" t="s">
        <v>41</v>
      </c>
      <c r="BM216" s="17">
        <v>278</v>
      </c>
      <c r="BN216" s="17"/>
      <c r="BO216" s="17"/>
      <c r="BP216" s="17"/>
      <c r="BQ216" s="17"/>
      <c r="BR216" s="36">
        <v>128.28</v>
      </c>
      <c r="BS216" s="36"/>
      <c r="BT216" s="17"/>
      <c r="BU216" s="17">
        <v>2.88</v>
      </c>
      <c r="BV216" s="17"/>
      <c r="BW216" s="17"/>
      <c r="BX216" s="17">
        <v>53</v>
      </c>
      <c r="BY216" s="17">
        <v>5.09</v>
      </c>
      <c r="BZ216" s="17"/>
      <c r="CA216" s="17"/>
      <c r="CB216" s="17">
        <v>53</v>
      </c>
      <c r="CC216" s="17">
        <v>1</v>
      </c>
      <c r="CD216" s="37">
        <f>2*SQRT(BR216/CE216)</f>
        <v>2.2001715199004672</v>
      </c>
      <c r="CE216" s="17">
        <v>106</v>
      </c>
      <c r="CF216" s="22">
        <f t="shared" si="32"/>
        <v>2.2001715199004672</v>
      </c>
      <c r="CG216" s="22">
        <f t="shared" si="33"/>
        <v>2.3588314652784139</v>
      </c>
      <c r="CH216" s="35"/>
      <c r="CI216" s="22">
        <f t="shared" si="36"/>
        <v>6.0569597721609109E-2</v>
      </c>
      <c r="CJ216" s="37">
        <f t="shared" si="34"/>
        <v>6.2575518170833719E-2</v>
      </c>
    </row>
    <row r="217" spans="1:88" s="150" customFormat="1" ht="17.5" customHeight="1" x14ac:dyDescent="0.35">
      <c r="A217" s="38" t="s">
        <v>822</v>
      </c>
      <c r="B217" s="49" t="s">
        <v>823</v>
      </c>
      <c r="C217" s="38" t="s">
        <v>133</v>
      </c>
      <c r="D217" s="39" t="s">
        <v>824</v>
      </c>
      <c r="E217" s="39" t="s">
        <v>216</v>
      </c>
      <c r="F217" s="18" t="s">
        <v>1109</v>
      </c>
      <c r="G217" s="28">
        <v>0</v>
      </c>
      <c r="H217" s="28">
        <v>1</v>
      </c>
      <c r="I217" s="28">
        <v>3</v>
      </c>
      <c r="J217" s="18" t="s">
        <v>1111</v>
      </c>
      <c r="K217" s="83">
        <v>0</v>
      </c>
      <c r="L217" s="45" t="s">
        <v>830</v>
      </c>
      <c r="M217" s="45">
        <v>2</v>
      </c>
      <c r="N217" s="45">
        <v>279</v>
      </c>
      <c r="O217" s="26">
        <v>120</v>
      </c>
      <c r="P217" s="26" t="s">
        <v>147</v>
      </c>
      <c r="Q217" s="26">
        <v>2</v>
      </c>
      <c r="R217" s="26">
        <v>1</v>
      </c>
      <c r="S217" s="46">
        <v>0</v>
      </c>
      <c r="T217" s="26">
        <v>0</v>
      </c>
      <c r="U217" s="26">
        <v>0</v>
      </c>
      <c r="V217" s="26">
        <v>1</v>
      </c>
      <c r="W217" s="26">
        <v>0</v>
      </c>
      <c r="X217" s="26">
        <v>1</v>
      </c>
      <c r="Y217" s="26">
        <v>0</v>
      </c>
      <c r="Z217" s="26">
        <v>0</v>
      </c>
      <c r="AA217" s="20">
        <v>1</v>
      </c>
      <c r="AB217" s="26">
        <v>1</v>
      </c>
      <c r="AC217" s="26" t="s">
        <v>826</v>
      </c>
      <c r="AD217" s="20">
        <v>4.3</v>
      </c>
      <c r="AE217" s="26">
        <v>2.6</v>
      </c>
      <c r="AF217" s="26" t="s">
        <v>827</v>
      </c>
      <c r="AG217" s="26">
        <v>1</v>
      </c>
      <c r="AH217" s="26" t="s">
        <v>198</v>
      </c>
      <c r="AI217" s="26">
        <v>85</v>
      </c>
      <c r="AJ217" s="26">
        <v>60</v>
      </c>
      <c r="AK217" s="26">
        <v>58</v>
      </c>
      <c r="AL217" s="26">
        <v>39</v>
      </c>
      <c r="AM217" s="26">
        <v>86</v>
      </c>
      <c r="AN217" s="26">
        <v>29</v>
      </c>
      <c r="AO217" s="47">
        <v>21.67</v>
      </c>
      <c r="AP217" s="26">
        <v>1</v>
      </c>
      <c r="AQ217" s="26">
        <v>0</v>
      </c>
      <c r="AR217" s="26">
        <v>0</v>
      </c>
      <c r="AS217" s="26">
        <v>0</v>
      </c>
      <c r="AT217" s="26">
        <v>0</v>
      </c>
      <c r="AU217" s="26">
        <v>1</v>
      </c>
      <c r="AV217" s="26">
        <v>0</v>
      </c>
      <c r="AW217" s="26">
        <v>0</v>
      </c>
      <c r="AX217" s="26">
        <v>1</v>
      </c>
      <c r="AY217" s="31" t="s">
        <v>831</v>
      </c>
      <c r="AZ217" s="54" t="s">
        <v>435</v>
      </c>
      <c r="BA217" s="27" t="s">
        <v>83</v>
      </c>
      <c r="BB217" s="30" t="s">
        <v>46</v>
      </c>
      <c r="BC217" s="30" t="s">
        <v>832</v>
      </c>
      <c r="BD217" s="27">
        <v>3</v>
      </c>
      <c r="BE217" s="27">
        <v>7</v>
      </c>
      <c r="BF217" s="27">
        <v>0</v>
      </c>
      <c r="BG217" s="27">
        <v>0</v>
      </c>
      <c r="BH217" s="27">
        <v>1</v>
      </c>
      <c r="BI217" s="27">
        <v>0</v>
      </c>
      <c r="BJ217" s="27">
        <v>0.87</v>
      </c>
      <c r="BK217" s="27">
        <v>0.87</v>
      </c>
      <c r="BL217" s="30" t="s">
        <v>41</v>
      </c>
      <c r="BM217" s="27">
        <v>280</v>
      </c>
      <c r="BN217" s="27"/>
      <c r="BO217" s="27"/>
      <c r="BP217" s="27"/>
      <c r="BQ217" s="27"/>
      <c r="BR217" s="55">
        <v>6.9</v>
      </c>
      <c r="BS217" s="55"/>
      <c r="BT217" s="27"/>
      <c r="BU217" s="27">
        <v>4.2699999999999996</v>
      </c>
      <c r="BV217" s="27"/>
      <c r="BW217" s="27"/>
      <c r="BX217" s="27">
        <v>60</v>
      </c>
      <c r="BY217" s="27">
        <v>4.95</v>
      </c>
      <c r="BZ217" s="27"/>
      <c r="CA217" s="27"/>
      <c r="CB217" s="27">
        <v>60</v>
      </c>
      <c r="CC217" s="27">
        <v>1</v>
      </c>
      <c r="CD217" s="33">
        <f>2*SQRT(BR217/CE217)</f>
        <v>0.47958315233127197</v>
      </c>
      <c r="CE217" s="27">
        <v>120</v>
      </c>
      <c r="CF217" s="56">
        <f t="shared" si="32"/>
        <v>0.47958315233127197</v>
      </c>
      <c r="CG217" s="22">
        <f t="shared" si="33"/>
        <v>0.5141671091113803</v>
      </c>
      <c r="CH217" s="30"/>
      <c r="CI217" s="56">
        <f t="shared" si="36"/>
        <v>3.4291666666666665E-2</v>
      </c>
      <c r="CJ217" s="37">
        <f t="shared" si="34"/>
        <v>3.3837852066333246E-2</v>
      </c>
    </row>
    <row r="218" spans="1:88" s="150" customFormat="1" x14ac:dyDescent="0.35">
      <c r="A218" s="29" t="s">
        <v>833</v>
      </c>
      <c r="B218" s="48" t="s">
        <v>834</v>
      </c>
      <c r="C218" s="29" t="s">
        <v>192</v>
      </c>
      <c r="D218" s="30" t="s">
        <v>835</v>
      </c>
      <c r="E218" s="30" t="s">
        <v>54</v>
      </c>
      <c r="F218" s="11" t="s">
        <v>1109</v>
      </c>
      <c r="G218" s="27">
        <v>0</v>
      </c>
      <c r="H218" s="27">
        <v>1</v>
      </c>
      <c r="I218" s="27">
        <v>3</v>
      </c>
      <c r="J218" s="11" t="s">
        <v>1106</v>
      </c>
      <c r="K218" s="82">
        <v>1</v>
      </c>
      <c r="L218" s="31" t="s">
        <v>836</v>
      </c>
      <c r="M218" s="31">
        <v>1</v>
      </c>
      <c r="N218" s="31">
        <v>4</v>
      </c>
      <c r="O218" s="27">
        <v>432</v>
      </c>
      <c r="P218" s="27" t="s">
        <v>31</v>
      </c>
      <c r="Q218" s="27">
        <v>2</v>
      </c>
      <c r="R218" s="27">
        <v>1</v>
      </c>
      <c r="S218" s="32">
        <v>0</v>
      </c>
      <c r="T218" s="27">
        <v>0</v>
      </c>
      <c r="U218" s="27">
        <v>0</v>
      </c>
      <c r="V218" s="27">
        <v>1</v>
      </c>
      <c r="W218" s="27">
        <v>0</v>
      </c>
      <c r="X218" s="27">
        <v>1</v>
      </c>
      <c r="Y218" s="27">
        <v>0</v>
      </c>
      <c r="Z218" s="27">
        <v>0</v>
      </c>
      <c r="AA218" s="27">
        <v>0</v>
      </c>
      <c r="AB218" s="27">
        <v>0</v>
      </c>
      <c r="AC218" s="27" t="s">
        <v>837</v>
      </c>
      <c r="AD218" s="11">
        <v>2.2999999999999998</v>
      </c>
      <c r="AE218" s="27">
        <v>2.7</v>
      </c>
      <c r="AF218" s="27" t="s">
        <v>838</v>
      </c>
      <c r="AG218" s="27">
        <v>0</v>
      </c>
      <c r="AH218" s="27" t="s">
        <v>465</v>
      </c>
      <c r="AI218" s="27">
        <v>30</v>
      </c>
      <c r="AJ218" s="27">
        <v>80</v>
      </c>
      <c r="AK218" s="27">
        <v>43</v>
      </c>
      <c r="AL218" s="27">
        <v>66</v>
      </c>
      <c r="AM218" s="27">
        <v>77</v>
      </c>
      <c r="AN218" s="27">
        <v>24</v>
      </c>
      <c r="AO218" s="33">
        <v>26.5</v>
      </c>
      <c r="AP218" s="27">
        <v>0</v>
      </c>
      <c r="AQ218" s="27">
        <v>0</v>
      </c>
      <c r="AR218" s="27">
        <v>0</v>
      </c>
      <c r="AS218" s="27">
        <v>0</v>
      </c>
      <c r="AT218" s="27">
        <v>0</v>
      </c>
      <c r="AU218" s="27">
        <v>1</v>
      </c>
      <c r="AV218" s="27">
        <v>0</v>
      </c>
      <c r="AW218" s="27">
        <v>1</v>
      </c>
      <c r="AX218" s="27">
        <v>1</v>
      </c>
      <c r="AY218" s="34" t="s">
        <v>839</v>
      </c>
      <c r="AZ218" s="25" t="s">
        <v>840</v>
      </c>
      <c r="BA218" s="17" t="s">
        <v>83</v>
      </c>
      <c r="BB218" s="35" t="s">
        <v>46</v>
      </c>
      <c r="BC218" s="35" t="s">
        <v>841</v>
      </c>
      <c r="BD218" s="17">
        <v>3</v>
      </c>
      <c r="BE218" s="17">
        <v>7</v>
      </c>
      <c r="BF218" s="17">
        <v>0</v>
      </c>
      <c r="BG218" s="17">
        <v>0</v>
      </c>
      <c r="BH218" s="17">
        <v>1</v>
      </c>
      <c r="BI218" s="17">
        <v>0</v>
      </c>
      <c r="BJ218" s="17">
        <v>0.95</v>
      </c>
      <c r="BK218" s="17">
        <v>0.95</v>
      </c>
      <c r="BL218" s="35" t="s">
        <v>41</v>
      </c>
      <c r="BM218" s="17">
        <v>5</v>
      </c>
      <c r="BN218" s="17"/>
      <c r="BO218" s="17"/>
      <c r="BP218" s="17">
        <v>5.25</v>
      </c>
      <c r="BQ218" s="17"/>
      <c r="BR218" s="36"/>
      <c r="BS218" s="36"/>
      <c r="BT218" s="17"/>
      <c r="BU218" s="17">
        <v>3.13</v>
      </c>
      <c r="BV218" s="17"/>
      <c r="BW218" s="17"/>
      <c r="BX218" s="17">
        <v>213</v>
      </c>
      <c r="BY218" s="17">
        <v>3.82</v>
      </c>
      <c r="BZ218" s="17"/>
      <c r="CA218" s="17"/>
      <c r="CB218" s="17">
        <v>219</v>
      </c>
      <c r="CC218" s="17">
        <v>1</v>
      </c>
      <c r="CD218" s="37">
        <f>(BP218*SQRT((CB218+BX218)/(CB218*BX218)))</f>
        <v>0.50523021765752085</v>
      </c>
      <c r="CE218" s="17">
        <v>432</v>
      </c>
      <c r="CF218" s="22">
        <f t="shared" si="32"/>
        <v>0.50523021765752085</v>
      </c>
      <c r="CG218" s="22">
        <f t="shared" si="33"/>
        <v>0.51835526613588701</v>
      </c>
      <c r="CH218" s="35"/>
      <c r="CI218" s="22">
        <f t="shared" si="36"/>
        <v>9.5564827320084884E-3</v>
      </c>
      <c r="CJ218" s="37">
        <f t="shared" si="34"/>
        <v>9.756787759495943E-3</v>
      </c>
    </row>
    <row r="219" spans="1:88" s="150" customFormat="1" ht="17.149999999999999" customHeight="1" x14ac:dyDescent="0.35">
      <c r="A219" s="38" t="s">
        <v>833</v>
      </c>
      <c r="B219" s="49" t="s">
        <v>834</v>
      </c>
      <c r="C219" s="38" t="s">
        <v>192</v>
      </c>
      <c r="D219" s="39" t="s">
        <v>835</v>
      </c>
      <c r="E219" s="39" t="s">
        <v>54</v>
      </c>
      <c r="F219" s="18" t="s">
        <v>1109</v>
      </c>
      <c r="G219" s="28">
        <v>0</v>
      </c>
      <c r="H219" s="28">
        <v>1</v>
      </c>
      <c r="I219" s="28">
        <v>3</v>
      </c>
      <c r="J219" s="18" t="s">
        <v>1106</v>
      </c>
      <c r="K219" s="83">
        <v>1</v>
      </c>
      <c r="L219" s="40" t="s">
        <v>836</v>
      </c>
      <c r="M219" s="40">
        <v>1</v>
      </c>
      <c r="N219" s="40">
        <v>4</v>
      </c>
      <c r="O219" s="28">
        <v>432</v>
      </c>
      <c r="P219" s="28" t="s">
        <v>31</v>
      </c>
      <c r="Q219" s="28">
        <v>2</v>
      </c>
      <c r="R219" s="28">
        <v>1</v>
      </c>
      <c r="S219" s="41">
        <v>0</v>
      </c>
      <c r="T219" s="28">
        <v>0</v>
      </c>
      <c r="U219" s="28">
        <v>0</v>
      </c>
      <c r="V219" s="28">
        <v>1</v>
      </c>
      <c r="W219" s="28">
        <v>0</v>
      </c>
      <c r="X219" s="28">
        <v>1</v>
      </c>
      <c r="Y219" s="28">
        <v>0</v>
      </c>
      <c r="Z219" s="28">
        <v>0</v>
      </c>
      <c r="AA219" s="28">
        <v>0</v>
      </c>
      <c r="AB219" s="28">
        <v>0</v>
      </c>
      <c r="AC219" s="28" t="s">
        <v>837</v>
      </c>
      <c r="AD219" s="18">
        <v>2.2999999999999998</v>
      </c>
      <c r="AE219" s="28">
        <v>2.7</v>
      </c>
      <c r="AF219" s="28" t="s">
        <v>838</v>
      </c>
      <c r="AG219" s="28">
        <v>0</v>
      </c>
      <c r="AH219" s="28" t="s">
        <v>465</v>
      </c>
      <c r="AI219" s="28">
        <v>30</v>
      </c>
      <c r="AJ219" s="28">
        <v>80</v>
      </c>
      <c r="AK219" s="28">
        <v>43</v>
      </c>
      <c r="AL219" s="28">
        <v>66</v>
      </c>
      <c r="AM219" s="28">
        <v>77</v>
      </c>
      <c r="AN219" s="28">
        <v>24</v>
      </c>
      <c r="AO219" s="42">
        <v>26.5</v>
      </c>
      <c r="AP219" s="28">
        <v>0</v>
      </c>
      <c r="AQ219" s="28">
        <v>0</v>
      </c>
      <c r="AR219" s="28">
        <v>0</v>
      </c>
      <c r="AS219" s="28">
        <v>0</v>
      </c>
      <c r="AT219" s="28">
        <v>0</v>
      </c>
      <c r="AU219" s="28">
        <v>1</v>
      </c>
      <c r="AV219" s="28">
        <v>0</v>
      </c>
      <c r="AW219" s="28">
        <v>1</v>
      </c>
      <c r="AX219" s="28">
        <v>1</v>
      </c>
      <c r="AY219" s="34" t="s">
        <v>842</v>
      </c>
      <c r="AZ219" s="25" t="s">
        <v>840</v>
      </c>
      <c r="BA219" s="17" t="s">
        <v>83</v>
      </c>
      <c r="BB219" s="35" t="s">
        <v>795</v>
      </c>
      <c r="BC219" s="35" t="s">
        <v>843</v>
      </c>
      <c r="BD219" s="17">
        <v>4</v>
      </c>
      <c r="BE219" s="17">
        <v>7</v>
      </c>
      <c r="BF219" s="17">
        <v>1</v>
      </c>
      <c r="BG219" s="17">
        <v>1</v>
      </c>
      <c r="BH219" s="17">
        <v>0</v>
      </c>
      <c r="BI219" s="17">
        <v>0</v>
      </c>
      <c r="BJ219" s="17">
        <v>0.96</v>
      </c>
      <c r="BK219" s="17">
        <v>0.96</v>
      </c>
      <c r="BL219" s="35" t="s">
        <v>41</v>
      </c>
      <c r="BM219" s="17">
        <v>5</v>
      </c>
      <c r="BN219" s="17"/>
      <c r="BO219" s="17"/>
      <c r="BP219" s="17">
        <v>9.26</v>
      </c>
      <c r="BQ219" s="17"/>
      <c r="BR219" s="36"/>
      <c r="BS219" s="36"/>
      <c r="BT219" s="17"/>
      <c r="BU219" s="17">
        <v>4.04</v>
      </c>
      <c r="BV219" s="17"/>
      <c r="BW219" s="17"/>
      <c r="BX219" s="17">
        <v>213</v>
      </c>
      <c r="BY219" s="17">
        <v>5.23</v>
      </c>
      <c r="BZ219" s="17">
        <v>1.18</v>
      </c>
      <c r="CA219" s="17"/>
      <c r="CB219" s="17">
        <v>219</v>
      </c>
      <c r="CC219" s="17">
        <v>1</v>
      </c>
      <c r="CD219" s="37">
        <f>(BP219*SQRT((CB219+BX219)/(CB219*BX219)))</f>
        <v>0.89112986962069385</v>
      </c>
      <c r="CE219" s="17">
        <v>432</v>
      </c>
      <c r="CF219" s="22">
        <f t="shared" si="32"/>
        <v>0.89112986962069385</v>
      </c>
      <c r="CG219" s="22">
        <f t="shared" si="33"/>
        <v>0.90950561463483359</v>
      </c>
      <c r="CH219" s="35"/>
      <c r="CI219" s="22">
        <f t="shared" si="36"/>
        <v>1.0180157352026925E-2</v>
      </c>
      <c r="CJ219" s="37">
        <f t="shared" si="34"/>
        <v>1.0549519967927738E-2</v>
      </c>
    </row>
    <row r="220" spans="1:88" s="150" customFormat="1" ht="16.5" customHeight="1" x14ac:dyDescent="0.35">
      <c r="A220" s="29" t="s">
        <v>844</v>
      </c>
      <c r="B220" s="48" t="s">
        <v>845</v>
      </c>
      <c r="C220" s="29" t="s">
        <v>792</v>
      </c>
      <c r="D220" s="30" t="s">
        <v>846</v>
      </c>
      <c r="E220" s="30" t="s">
        <v>847</v>
      </c>
      <c r="F220" s="11" t="s">
        <v>1109</v>
      </c>
      <c r="G220" s="27">
        <v>0</v>
      </c>
      <c r="H220" s="27">
        <v>1</v>
      </c>
      <c r="I220" s="27">
        <v>1</v>
      </c>
      <c r="J220" s="11" t="s">
        <v>1106</v>
      </c>
      <c r="K220" s="82">
        <v>1</v>
      </c>
      <c r="L220" s="31" t="s">
        <v>848</v>
      </c>
      <c r="M220" s="31">
        <v>1</v>
      </c>
      <c r="N220" s="31">
        <v>5</v>
      </c>
      <c r="O220" s="27">
        <v>184</v>
      </c>
      <c r="P220" s="27" t="s">
        <v>31</v>
      </c>
      <c r="Q220" s="27">
        <v>2</v>
      </c>
      <c r="R220" s="27">
        <v>1</v>
      </c>
      <c r="S220" s="32">
        <v>0</v>
      </c>
      <c r="T220" s="27">
        <v>0</v>
      </c>
      <c r="U220" s="27">
        <v>1</v>
      </c>
      <c r="V220" s="27">
        <v>0</v>
      </c>
      <c r="W220" s="27">
        <v>0</v>
      </c>
      <c r="X220" s="27">
        <v>0</v>
      </c>
      <c r="Y220" s="27">
        <v>0</v>
      </c>
      <c r="Z220" s="27">
        <v>1</v>
      </c>
      <c r="AA220" s="11">
        <v>0</v>
      </c>
      <c r="AB220" s="27">
        <v>0</v>
      </c>
      <c r="AC220" s="27" t="s">
        <v>755</v>
      </c>
      <c r="AD220" s="11">
        <v>4.3</v>
      </c>
      <c r="AE220" s="27">
        <v>2.9</v>
      </c>
      <c r="AF220" s="27" t="s">
        <v>58</v>
      </c>
      <c r="AG220" s="27">
        <v>0</v>
      </c>
      <c r="AH220" s="27" t="s">
        <v>180</v>
      </c>
      <c r="AI220" s="27">
        <v>69</v>
      </c>
      <c r="AJ220" s="27">
        <v>58</v>
      </c>
      <c r="AK220" s="27">
        <v>40</v>
      </c>
      <c r="AL220" s="27">
        <v>45</v>
      </c>
      <c r="AM220" s="27">
        <v>87</v>
      </c>
      <c r="AN220" s="27">
        <v>49</v>
      </c>
      <c r="AO220" s="33">
        <v>26.9</v>
      </c>
      <c r="AP220" s="27">
        <v>1</v>
      </c>
      <c r="AQ220" s="27">
        <v>0</v>
      </c>
      <c r="AR220" s="27">
        <v>1</v>
      </c>
      <c r="AS220" s="27">
        <v>0</v>
      </c>
      <c r="AT220" s="27">
        <v>0</v>
      </c>
      <c r="AU220" s="27">
        <v>0</v>
      </c>
      <c r="AV220" s="27">
        <v>0</v>
      </c>
      <c r="AW220" s="27">
        <v>1</v>
      </c>
      <c r="AX220" s="27">
        <v>1</v>
      </c>
      <c r="AY220" s="34" t="s">
        <v>849</v>
      </c>
      <c r="AZ220" s="35" t="s">
        <v>457</v>
      </c>
      <c r="BA220" s="25" t="s">
        <v>61</v>
      </c>
      <c r="BB220" s="35" t="s">
        <v>850</v>
      </c>
      <c r="BC220" s="35" t="s">
        <v>851</v>
      </c>
      <c r="BD220" s="17">
        <v>2</v>
      </c>
      <c r="BE220" s="17">
        <v>7</v>
      </c>
      <c r="BF220" s="17">
        <v>0</v>
      </c>
      <c r="BG220" s="17">
        <v>0</v>
      </c>
      <c r="BH220" s="17">
        <v>1</v>
      </c>
      <c r="BI220" s="17">
        <v>0</v>
      </c>
      <c r="BJ220" s="17">
        <v>0.9</v>
      </c>
      <c r="BK220" s="17">
        <v>0.9</v>
      </c>
      <c r="BL220" s="35" t="s">
        <v>41</v>
      </c>
      <c r="BM220" s="17">
        <v>9</v>
      </c>
      <c r="BN220" s="17"/>
      <c r="BO220" s="17"/>
      <c r="BP220" s="17"/>
      <c r="BQ220" s="17"/>
      <c r="BR220" s="36">
        <v>59.59</v>
      </c>
      <c r="BS220" s="36"/>
      <c r="BT220" s="17"/>
      <c r="BU220" s="17">
        <v>4.7</v>
      </c>
      <c r="BV220" s="17"/>
      <c r="BW220" s="17"/>
      <c r="BX220" s="17">
        <v>91</v>
      </c>
      <c r="BY220" s="17">
        <v>5.85</v>
      </c>
      <c r="BZ220" s="17"/>
      <c r="CA220" s="17"/>
      <c r="CB220" s="17">
        <v>93</v>
      </c>
      <c r="CC220" s="17">
        <v>1</v>
      </c>
      <c r="CD220" s="37">
        <f>2*SQRT(BR220/CE220)</f>
        <v>1.1381716841534479</v>
      </c>
      <c r="CE220" s="17">
        <v>184</v>
      </c>
      <c r="CF220" s="22">
        <f t="shared" si="32"/>
        <v>1.1381716841534479</v>
      </c>
      <c r="CG220" s="22">
        <f t="shared" si="33"/>
        <v>1.1997382967448897</v>
      </c>
      <c r="CH220" s="35"/>
      <c r="CI220" s="22">
        <f t="shared" si="36"/>
        <v>2.5261902374664587E-2</v>
      </c>
      <c r="CJ220" s="37">
        <f t="shared" si="34"/>
        <v>2.5590287344680548E-2</v>
      </c>
    </row>
    <row r="221" spans="1:88" s="150" customFormat="1" x14ac:dyDescent="0.35">
      <c r="A221" s="38" t="s">
        <v>844</v>
      </c>
      <c r="B221" s="49" t="s">
        <v>845</v>
      </c>
      <c r="C221" s="38" t="s">
        <v>792</v>
      </c>
      <c r="D221" s="39" t="s">
        <v>846</v>
      </c>
      <c r="E221" s="39" t="s">
        <v>847</v>
      </c>
      <c r="F221" s="18" t="s">
        <v>1109</v>
      </c>
      <c r="G221" s="28">
        <v>0</v>
      </c>
      <c r="H221" s="28">
        <v>1</v>
      </c>
      <c r="I221" s="28">
        <v>1</v>
      </c>
      <c r="J221" s="18" t="s">
        <v>1106</v>
      </c>
      <c r="K221" s="83">
        <v>1</v>
      </c>
      <c r="L221" s="40" t="s">
        <v>848</v>
      </c>
      <c r="M221" s="40">
        <v>1</v>
      </c>
      <c r="N221" s="40">
        <v>5</v>
      </c>
      <c r="O221" s="28">
        <v>184</v>
      </c>
      <c r="P221" s="28" t="s">
        <v>31</v>
      </c>
      <c r="Q221" s="28">
        <v>2</v>
      </c>
      <c r="R221" s="28">
        <v>1</v>
      </c>
      <c r="S221" s="41">
        <v>0</v>
      </c>
      <c r="T221" s="28">
        <v>0</v>
      </c>
      <c r="U221" s="28">
        <v>1</v>
      </c>
      <c r="V221" s="28">
        <v>0</v>
      </c>
      <c r="W221" s="28">
        <v>0</v>
      </c>
      <c r="X221" s="28">
        <v>0</v>
      </c>
      <c r="Y221" s="28">
        <v>0</v>
      </c>
      <c r="Z221" s="28">
        <v>1</v>
      </c>
      <c r="AA221" s="18">
        <v>0</v>
      </c>
      <c r="AB221" s="28">
        <v>0</v>
      </c>
      <c r="AC221" s="28" t="s">
        <v>579</v>
      </c>
      <c r="AD221" s="18">
        <v>4.3</v>
      </c>
      <c r="AE221" s="28">
        <v>2.9</v>
      </c>
      <c r="AF221" s="28" t="s">
        <v>58</v>
      </c>
      <c r="AG221" s="28">
        <v>0</v>
      </c>
      <c r="AH221" s="28" t="s">
        <v>180</v>
      </c>
      <c r="AI221" s="28">
        <v>69</v>
      </c>
      <c r="AJ221" s="28">
        <v>58</v>
      </c>
      <c r="AK221" s="28">
        <v>40</v>
      </c>
      <c r="AL221" s="28">
        <v>45</v>
      </c>
      <c r="AM221" s="28">
        <v>87</v>
      </c>
      <c r="AN221" s="28">
        <v>49</v>
      </c>
      <c r="AO221" s="42">
        <v>26.9</v>
      </c>
      <c r="AP221" s="28">
        <v>1</v>
      </c>
      <c r="AQ221" s="28">
        <v>0</v>
      </c>
      <c r="AR221" s="28">
        <v>1</v>
      </c>
      <c r="AS221" s="28">
        <v>0</v>
      </c>
      <c r="AT221" s="28">
        <v>0</v>
      </c>
      <c r="AU221" s="28">
        <v>0</v>
      </c>
      <c r="AV221" s="28">
        <v>0</v>
      </c>
      <c r="AW221" s="28">
        <v>1</v>
      </c>
      <c r="AX221" s="28">
        <v>1</v>
      </c>
      <c r="AY221" s="34" t="s">
        <v>852</v>
      </c>
      <c r="AZ221" s="35" t="s">
        <v>457</v>
      </c>
      <c r="BA221" s="25" t="s">
        <v>61</v>
      </c>
      <c r="BB221" s="35" t="s">
        <v>853</v>
      </c>
      <c r="BC221" s="35" t="s">
        <v>854</v>
      </c>
      <c r="BD221" s="17">
        <v>2</v>
      </c>
      <c r="BE221" s="17">
        <v>7</v>
      </c>
      <c r="BF221" s="17">
        <v>0</v>
      </c>
      <c r="BG221" s="17">
        <v>0</v>
      </c>
      <c r="BH221" s="17">
        <v>1</v>
      </c>
      <c r="BI221" s="17">
        <v>0</v>
      </c>
      <c r="BJ221" s="17">
        <v>0.92</v>
      </c>
      <c r="BK221" s="17">
        <v>0.92</v>
      </c>
      <c r="BL221" s="35" t="s">
        <v>41</v>
      </c>
      <c r="BM221" s="17">
        <v>9</v>
      </c>
      <c r="BN221" s="17"/>
      <c r="BO221" s="17"/>
      <c r="BP221" s="17"/>
      <c r="BQ221" s="17"/>
      <c r="BR221" s="36">
        <v>41.43</v>
      </c>
      <c r="BS221" s="36"/>
      <c r="BT221" s="17"/>
      <c r="BU221" s="17">
        <v>5.0199999999999996</v>
      </c>
      <c r="BV221" s="17"/>
      <c r="BW221" s="17"/>
      <c r="BX221" s="17">
        <v>91</v>
      </c>
      <c r="BY221" s="17">
        <v>5.94</v>
      </c>
      <c r="BZ221" s="17"/>
      <c r="CA221" s="17"/>
      <c r="CB221" s="17">
        <v>93</v>
      </c>
      <c r="CC221" s="17">
        <v>1</v>
      </c>
      <c r="CD221" s="37">
        <f>2*SQRT(BR221/CE221)</f>
        <v>0.94902696163651923</v>
      </c>
      <c r="CE221" s="17">
        <v>184</v>
      </c>
      <c r="CF221" s="22">
        <f t="shared" si="32"/>
        <v>0.94902696163651923</v>
      </c>
      <c r="CG221" s="22">
        <f t="shared" si="33"/>
        <v>0.98942900415002388</v>
      </c>
      <c r="CH221" s="35"/>
      <c r="CI221" s="22">
        <f t="shared" si="36"/>
        <v>2.4189123546687268E-2</v>
      </c>
      <c r="CJ221" s="37">
        <f t="shared" si="34"/>
        <v>2.4018373008154716E-2</v>
      </c>
    </row>
    <row r="222" spans="1:88" s="150" customFormat="1" x14ac:dyDescent="0.35">
      <c r="A222" s="43" t="s">
        <v>855</v>
      </c>
      <c r="B222" s="44" t="s">
        <v>856</v>
      </c>
      <c r="C222" s="43" t="s">
        <v>857</v>
      </c>
      <c r="D222" s="35" t="s">
        <v>858</v>
      </c>
      <c r="E222" s="35" t="s">
        <v>859</v>
      </c>
      <c r="F222" s="12" t="s">
        <v>1109</v>
      </c>
      <c r="G222" s="17">
        <v>1</v>
      </c>
      <c r="H222" s="17">
        <v>1</v>
      </c>
      <c r="I222" s="17">
        <v>1</v>
      </c>
      <c r="J222" s="11" t="s">
        <v>1107</v>
      </c>
      <c r="K222" s="82">
        <v>0</v>
      </c>
      <c r="L222" s="31" t="s">
        <v>860</v>
      </c>
      <c r="M222" s="31">
        <v>1</v>
      </c>
      <c r="N222" s="31">
        <v>225</v>
      </c>
      <c r="O222" s="27">
        <v>170</v>
      </c>
      <c r="P222" s="27" t="s">
        <v>31</v>
      </c>
      <c r="Q222" s="27">
        <v>3</v>
      </c>
      <c r="R222" s="27">
        <v>1</v>
      </c>
      <c r="S222" s="32">
        <v>0</v>
      </c>
      <c r="T222" s="27">
        <v>0</v>
      </c>
      <c r="U222" s="27">
        <v>0</v>
      </c>
      <c r="V222" s="27">
        <v>0</v>
      </c>
      <c r="W222" s="27">
        <v>1</v>
      </c>
      <c r="X222" s="27">
        <v>0</v>
      </c>
      <c r="Y222" s="27">
        <v>0</v>
      </c>
      <c r="Z222" s="27">
        <v>1</v>
      </c>
      <c r="AA222" s="12">
        <v>0</v>
      </c>
      <c r="AB222" s="27">
        <v>1</v>
      </c>
      <c r="AC222" s="27" t="s">
        <v>861</v>
      </c>
      <c r="AD222" s="12">
        <v>2.5</v>
      </c>
      <c r="AE222" s="27">
        <v>3.8</v>
      </c>
      <c r="AF222" s="27" t="s">
        <v>220</v>
      </c>
      <c r="AG222" s="27">
        <v>0</v>
      </c>
      <c r="AH222" s="27" t="s">
        <v>465</v>
      </c>
      <c r="AI222" s="27">
        <v>30</v>
      </c>
      <c r="AJ222" s="27">
        <v>80</v>
      </c>
      <c r="AK222" s="27">
        <v>43</v>
      </c>
      <c r="AL222" s="27">
        <v>66</v>
      </c>
      <c r="AM222" s="27">
        <v>77</v>
      </c>
      <c r="AN222" s="27">
        <v>24</v>
      </c>
      <c r="AO222" s="33"/>
      <c r="AP222" s="27">
        <v>0</v>
      </c>
      <c r="AQ222" s="27">
        <v>1</v>
      </c>
      <c r="AR222" s="27">
        <v>0</v>
      </c>
      <c r="AS222" s="27">
        <v>1</v>
      </c>
      <c r="AT222" s="27">
        <v>0</v>
      </c>
      <c r="AU222" s="27">
        <v>0</v>
      </c>
      <c r="AV222" s="27">
        <v>1</v>
      </c>
      <c r="AW222" s="27">
        <v>1</v>
      </c>
      <c r="AX222" s="27">
        <v>1</v>
      </c>
      <c r="AY222" s="34" t="s">
        <v>864</v>
      </c>
      <c r="AZ222" s="35" t="s">
        <v>91</v>
      </c>
      <c r="BA222" s="25" t="s">
        <v>863</v>
      </c>
      <c r="BB222" s="35" t="s">
        <v>862</v>
      </c>
      <c r="BC222" s="35" t="s">
        <v>865</v>
      </c>
      <c r="BD222" s="17">
        <v>4</v>
      </c>
      <c r="BE222" s="17">
        <v>7</v>
      </c>
      <c r="BF222" s="17">
        <v>0</v>
      </c>
      <c r="BG222" s="17">
        <v>0</v>
      </c>
      <c r="BH222" s="17">
        <v>1</v>
      </c>
      <c r="BI222" s="17">
        <v>0</v>
      </c>
      <c r="BJ222" s="17"/>
      <c r="BK222" s="17">
        <v>0.8</v>
      </c>
      <c r="BL222" s="35"/>
      <c r="BM222" s="17">
        <v>229</v>
      </c>
      <c r="BN222" s="17"/>
      <c r="BO222" s="17"/>
      <c r="BP222" s="17"/>
      <c r="BQ222" s="17"/>
      <c r="BR222" s="36"/>
      <c r="BS222" s="36"/>
      <c r="BT222" s="17"/>
      <c r="BU222" s="17">
        <v>4.5199999999999996</v>
      </c>
      <c r="BV222" s="17">
        <v>1.1399999999999999</v>
      </c>
      <c r="BW222" s="17"/>
      <c r="BX222" s="17">
        <v>55</v>
      </c>
      <c r="BY222" s="17">
        <v>4.76</v>
      </c>
      <c r="BZ222" s="17">
        <v>1.32</v>
      </c>
      <c r="CA222" s="17"/>
      <c r="CB222" s="17">
        <v>58</v>
      </c>
      <c r="CC222" s="17">
        <v>0</v>
      </c>
      <c r="CD222" s="37">
        <f t="shared" ref="CD222:CD232" si="37">(BY222-BU222)/SQRT((((CB222-1)*BZ222^2)+((BX222-1)*BV222^2))/((CB222+BX222)-2))</f>
        <v>0.19422003552560374</v>
      </c>
      <c r="CE222" s="17">
        <v>113</v>
      </c>
      <c r="CF222" s="22">
        <f t="shared" si="32"/>
        <v>0.19422003552560374</v>
      </c>
      <c r="CG222" s="22">
        <f t="shared" si="33"/>
        <v>0.21714460101383704</v>
      </c>
      <c r="CH222" s="35"/>
      <c r="CI222" s="22">
        <f t="shared" si="36"/>
        <v>3.5590106439948699E-2</v>
      </c>
      <c r="CJ222" s="37">
        <f t="shared" si="34"/>
        <v>3.5554174652578173E-2</v>
      </c>
    </row>
    <row r="223" spans="1:88" s="150" customFormat="1" x14ac:dyDescent="0.35">
      <c r="A223" s="38" t="s">
        <v>855</v>
      </c>
      <c r="B223" s="49" t="s">
        <v>856</v>
      </c>
      <c r="C223" s="38" t="s">
        <v>857</v>
      </c>
      <c r="D223" s="39" t="s">
        <v>858</v>
      </c>
      <c r="E223" s="39" t="s">
        <v>859</v>
      </c>
      <c r="F223" s="18" t="s">
        <v>1109</v>
      </c>
      <c r="G223" s="28">
        <v>1</v>
      </c>
      <c r="H223" s="28">
        <v>1</v>
      </c>
      <c r="I223" s="28">
        <v>1</v>
      </c>
      <c r="J223" s="18" t="s">
        <v>1107</v>
      </c>
      <c r="K223" s="83">
        <v>0</v>
      </c>
      <c r="L223" s="40" t="s">
        <v>860</v>
      </c>
      <c r="M223" s="40">
        <v>1</v>
      </c>
      <c r="N223" s="40">
        <v>225</v>
      </c>
      <c r="O223" s="28">
        <v>170</v>
      </c>
      <c r="P223" s="28" t="s">
        <v>31</v>
      </c>
      <c r="Q223" s="28">
        <v>3</v>
      </c>
      <c r="R223" s="28">
        <v>2</v>
      </c>
      <c r="S223" s="41">
        <v>0</v>
      </c>
      <c r="T223" s="28">
        <v>0</v>
      </c>
      <c r="U223" s="28">
        <v>0</v>
      </c>
      <c r="V223" s="28">
        <v>0</v>
      </c>
      <c r="W223" s="28">
        <v>1</v>
      </c>
      <c r="X223" s="28">
        <v>0</v>
      </c>
      <c r="Y223" s="28">
        <v>0</v>
      </c>
      <c r="Z223" s="28">
        <v>1</v>
      </c>
      <c r="AA223" s="18">
        <v>0</v>
      </c>
      <c r="AB223" s="28">
        <v>1</v>
      </c>
      <c r="AC223" s="28" t="s">
        <v>861</v>
      </c>
      <c r="AD223" s="18">
        <v>2.5</v>
      </c>
      <c r="AE223" s="28">
        <v>3.8</v>
      </c>
      <c r="AF223" s="28" t="s">
        <v>220</v>
      </c>
      <c r="AG223" s="28">
        <v>0</v>
      </c>
      <c r="AH223" s="28" t="s">
        <v>465</v>
      </c>
      <c r="AI223" s="28">
        <v>30</v>
      </c>
      <c r="AJ223" s="28">
        <v>80</v>
      </c>
      <c r="AK223" s="28">
        <v>43</v>
      </c>
      <c r="AL223" s="28">
        <v>66</v>
      </c>
      <c r="AM223" s="28">
        <v>77</v>
      </c>
      <c r="AN223" s="28">
        <v>24</v>
      </c>
      <c r="AO223" s="42"/>
      <c r="AP223" s="28">
        <v>0</v>
      </c>
      <c r="AQ223" s="28">
        <v>1</v>
      </c>
      <c r="AR223" s="28">
        <v>0</v>
      </c>
      <c r="AS223" s="28">
        <v>1</v>
      </c>
      <c r="AT223" s="28">
        <v>0</v>
      </c>
      <c r="AU223" s="28">
        <v>0</v>
      </c>
      <c r="AV223" s="28">
        <v>1</v>
      </c>
      <c r="AW223" s="28">
        <v>1</v>
      </c>
      <c r="AX223" s="28">
        <v>1</v>
      </c>
      <c r="AY223" s="34" t="s">
        <v>867</v>
      </c>
      <c r="AZ223" s="35" t="s">
        <v>91</v>
      </c>
      <c r="BA223" s="209" t="s">
        <v>866</v>
      </c>
      <c r="BB223" s="35" t="s">
        <v>862</v>
      </c>
      <c r="BC223" s="35" t="s">
        <v>865</v>
      </c>
      <c r="BD223" s="17">
        <v>4</v>
      </c>
      <c r="BE223" s="17">
        <v>7</v>
      </c>
      <c r="BF223" s="17">
        <v>0</v>
      </c>
      <c r="BG223" s="17">
        <v>0</v>
      </c>
      <c r="BH223" s="17">
        <v>1</v>
      </c>
      <c r="BI223" s="17">
        <v>0</v>
      </c>
      <c r="BJ223" s="17"/>
      <c r="BK223" s="17">
        <v>0.8</v>
      </c>
      <c r="BL223" s="35"/>
      <c r="BM223" s="17">
        <v>229</v>
      </c>
      <c r="BN223" s="17"/>
      <c r="BO223" s="17"/>
      <c r="BP223" s="17"/>
      <c r="BQ223" s="17"/>
      <c r="BR223" s="36"/>
      <c r="BS223" s="36"/>
      <c r="BT223" s="17"/>
      <c r="BU223" s="37">
        <v>4.53</v>
      </c>
      <c r="BV223" s="17">
        <v>1.1399999999999999</v>
      </c>
      <c r="BW223" s="17"/>
      <c r="BX223" s="17">
        <v>55</v>
      </c>
      <c r="BY223" s="37">
        <v>5.18</v>
      </c>
      <c r="BZ223" s="17">
        <v>1.22</v>
      </c>
      <c r="CA223" s="17"/>
      <c r="CB223" s="17">
        <v>57</v>
      </c>
      <c r="CC223" s="17">
        <v>1</v>
      </c>
      <c r="CD223" s="37">
        <f t="shared" si="37"/>
        <v>0.55019263370007188</v>
      </c>
      <c r="CE223" s="17">
        <v>112</v>
      </c>
      <c r="CF223" s="22">
        <f t="shared" si="32"/>
        <v>0.55019263370007188</v>
      </c>
      <c r="CG223" s="22">
        <f t="shared" si="33"/>
        <v>0.61513406483650124</v>
      </c>
      <c r="CH223" s="35"/>
      <c r="CI223" s="22">
        <f t="shared" si="36"/>
        <v>3.7077070394234836E-2</v>
      </c>
      <c r="CJ223" s="37">
        <f t="shared" si="34"/>
        <v>3.6782632908377515E-2</v>
      </c>
    </row>
    <row r="224" spans="1:88" s="150" customFormat="1" x14ac:dyDescent="0.35">
      <c r="A224" s="29" t="s">
        <v>868</v>
      </c>
      <c r="B224" s="48" t="s">
        <v>869</v>
      </c>
      <c r="C224" s="29" t="s">
        <v>792</v>
      </c>
      <c r="D224" s="30" t="s">
        <v>870</v>
      </c>
      <c r="E224" s="30" t="s">
        <v>871</v>
      </c>
      <c r="F224" s="11" t="s">
        <v>1109</v>
      </c>
      <c r="G224" s="27">
        <v>0</v>
      </c>
      <c r="H224" s="27">
        <v>1</v>
      </c>
      <c r="I224" s="27">
        <v>2</v>
      </c>
      <c r="J224" s="11" t="s">
        <v>1106</v>
      </c>
      <c r="K224" s="82">
        <v>1</v>
      </c>
      <c r="L224" s="31" t="s">
        <v>872</v>
      </c>
      <c r="M224" s="31">
        <v>1</v>
      </c>
      <c r="N224" s="31">
        <v>94</v>
      </c>
      <c r="O224" s="27">
        <v>258</v>
      </c>
      <c r="P224" s="27" t="s">
        <v>147</v>
      </c>
      <c r="Q224" s="27">
        <v>2</v>
      </c>
      <c r="R224" s="27">
        <v>1</v>
      </c>
      <c r="S224" s="32">
        <v>0</v>
      </c>
      <c r="T224" s="27">
        <v>0</v>
      </c>
      <c r="U224" s="27">
        <v>0</v>
      </c>
      <c r="V224" s="27">
        <v>1</v>
      </c>
      <c r="W224" s="27">
        <v>0</v>
      </c>
      <c r="X224" s="27">
        <v>0</v>
      </c>
      <c r="Y224" s="27">
        <v>0</v>
      </c>
      <c r="Z224" s="27">
        <v>1</v>
      </c>
      <c r="AA224" s="12">
        <v>1</v>
      </c>
      <c r="AB224" s="17">
        <v>1</v>
      </c>
      <c r="AC224" s="27" t="s">
        <v>806</v>
      </c>
      <c r="AD224" s="11">
        <v>3.7</v>
      </c>
      <c r="AE224" s="27">
        <v>2.9</v>
      </c>
      <c r="AF224" s="27" t="s">
        <v>650</v>
      </c>
      <c r="AG224" s="27">
        <v>1</v>
      </c>
      <c r="AH224" s="27" t="s">
        <v>35</v>
      </c>
      <c r="AI224" s="27">
        <v>46</v>
      </c>
      <c r="AJ224" s="27">
        <v>40</v>
      </c>
      <c r="AK224" s="27">
        <v>60</v>
      </c>
      <c r="AL224" s="27">
        <v>62</v>
      </c>
      <c r="AM224" s="27">
        <v>50</v>
      </c>
      <c r="AN224" s="27">
        <v>68</v>
      </c>
      <c r="AO224" s="33">
        <v>21.07</v>
      </c>
      <c r="AP224" s="27">
        <v>0</v>
      </c>
      <c r="AQ224" s="27">
        <v>0</v>
      </c>
      <c r="AR224" s="27">
        <v>0</v>
      </c>
      <c r="AS224" s="27">
        <v>0</v>
      </c>
      <c r="AT224" s="27">
        <v>0</v>
      </c>
      <c r="AU224" s="27">
        <v>1</v>
      </c>
      <c r="AV224" s="27">
        <v>1</v>
      </c>
      <c r="AW224" s="27">
        <v>1</v>
      </c>
      <c r="AX224" s="27">
        <v>1</v>
      </c>
      <c r="AY224" s="34" t="s">
        <v>873</v>
      </c>
      <c r="AZ224" s="35" t="s">
        <v>91</v>
      </c>
      <c r="BA224" s="25" t="s">
        <v>83</v>
      </c>
      <c r="BB224" s="35" t="s">
        <v>46</v>
      </c>
      <c r="BC224" s="35" t="s">
        <v>874</v>
      </c>
      <c r="BD224" s="17">
        <v>4</v>
      </c>
      <c r="BE224" s="17">
        <v>7</v>
      </c>
      <c r="BF224" s="17">
        <v>0</v>
      </c>
      <c r="BG224" s="17">
        <v>0</v>
      </c>
      <c r="BH224" s="17">
        <v>1</v>
      </c>
      <c r="BI224" s="17">
        <v>0</v>
      </c>
      <c r="BJ224" s="17">
        <v>0.94</v>
      </c>
      <c r="BK224" s="17">
        <v>0.94</v>
      </c>
      <c r="BL224" s="35" t="s">
        <v>41</v>
      </c>
      <c r="BM224" s="17">
        <v>96</v>
      </c>
      <c r="BN224" s="17"/>
      <c r="BO224" s="17"/>
      <c r="BP224" s="17"/>
      <c r="BQ224" s="17"/>
      <c r="BR224" s="36"/>
      <c r="BS224" s="36"/>
      <c r="BT224" s="17"/>
      <c r="BU224" s="37">
        <f>(4.35+4)/2</f>
        <v>4.1749999999999998</v>
      </c>
      <c r="BV224" s="22">
        <f>(BW224*(SQRT(BX224-1)))</f>
        <v>2.9686360504447156</v>
      </c>
      <c r="BW224" s="17">
        <v>0.36</v>
      </c>
      <c r="BX224" s="17">
        <v>69</v>
      </c>
      <c r="BY224" s="37">
        <f>(4.91+4.39)/2</f>
        <v>4.6500000000000004</v>
      </c>
      <c r="BZ224" s="22">
        <f>(CA224*(SQRT(CB224-1)))</f>
        <v>2.2264770378335368</v>
      </c>
      <c r="CA224" s="17">
        <v>0.27</v>
      </c>
      <c r="CB224" s="17">
        <v>69</v>
      </c>
      <c r="CC224" s="17">
        <v>0</v>
      </c>
      <c r="CD224" s="37">
        <f t="shared" si="37"/>
        <v>0.18102628431709286</v>
      </c>
      <c r="CE224" s="17">
        <v>138</v>
      </c>
      <c r="CF224" s="22">
        <f t="shared" si="32"/>
        <v>0.18102628431709286</v>
      </c>
      <c r="CG224" s="22">
        <f t="shared" si="33"/>
        <v>0.18671435577593459</v>
      </c>
      <c r="CH224" s="35"/>
      <c r="CI224" s="22">
        <f t="shared" si="36"/>
        <v>2.9104240998600192E-2</v>
      </c>
      <c r="CJ224" s="37">
        <f t="shared" si="34"/>
        <v>2.9076769682640745E-2</v>
      </c>
    </row>
    <row r="225" spans="1:88" s="150" customFormat="1" x14ac:dyDescent="0.35">
      <c r="A225" s="38" t="s">
        <v>868</v>
      </c>
      <c r="B225" s="49" t="s">
        <v>869</v>
      </c>
      <c r="C225" s="38" t="s">
        <v>792</v>
      </c>
      <c r="D225" s="39" t="s">
        <v>870</v>
      </c>
      <c r="E225" s="39" t="s">
        <v>871</v>
      </c>
      <c r="F225" s="18" t="s">
        <v>1109</v>
      </c>
      <c r="G225" s="28">
        <v>0</v>
      </c>
      <c r="H225" s="28">
        <v>1</v>
      </c>
      <c r="I225" s="28">
        <v>2</v>
      </c>
      <c r="J225" s="18" t="s">
        <v>1106</v>
      </c>
      <c r="K225" s="83">
        <v>1</v>
      </c>
      <c r="L225" s="40" t="s">
        <v>872</v>
      </c>
      <c r="M225" s="40">
        <v>1</v>
      </c>
      <c r="N225" s="40">
        <v>94</v>
      </c>
      <c r="O225" s="28">
        <v>258</v>
      </c>
      <c r="P225" s="28" t="s">
        <v>147</v>
      </c>
      <c r="Q225" s="28">
        <v>2</v>
      </c>
      <c r="R225" s="28">
        <v>2</v>
      </c>
      <c r="S225" s="41">
        <v>0</v>
      </c>
      <c r="T225" s="28">
        <v>0</v>
      </c>
      <c r="U225" s="28">
        <v>0</v>
      </c>
      <c r="V225" s="28">
        <v>1</v>
      </c>
      <c r="W225" s="28">
        <v>0</v>
      </c>
      <c r="X225" s="28">
        <v>0</v>
      </c>
      <c r="Y225" s="28">
        <v>0</v>
      </c>
      <c r="Z225" s="28">
        <v>1</v>
      </c>
      <c r="AA225" s="18">
        <v>1</v>
      </c>
      <c r="AB225" s="28">
        <v>1</v>
      </c>
      <c r="AC225" s="28" t="s">
        <v>219</v>
      </c>
      <c r="AD225" s="18">
        <v>3.7</v>
      </c>
      <c r="AE225" s="28">
        <v>2.6</v>
      </c>
      <c r="AF225" s="28" t="s">
        <v>875</v>
      </c>
      <c r="AG225" s="28">
        <v>1</v>
      </c>
      <c r="AH225" s="28" t="s">
        <v>35</v>
      </c>
      <c r="AI225" s="28">
        <v>46</v>
      </c>
      <c r="AJ225" s="28">
        <v>40</v>
      </c>
      <c r="AK225" s="28">
        <v>60</v>
      </c>
      <c r="AL225" s="28">
        <v>62</v>
      </c>
      <c r="AM225" s="28">
        <v>50</v>
      </c>
      <c r="AN225" s="28">
        <v>68</v>
      </c>
      <c r="AO225" s="42">
        <v>21.07</v>
      </c>
      <c r="AP225" s="28">
        <v>0</v>
      </c>
      <c r="AQ225" s="28">
        <v>0</v>
      </c>
      <c r="AR225" s="28">
        <v>0</v>
      </c>
      <c r="AS225" s="28">
        <v>0</v>
      </c>
      <c r="AT225" s="28">
        <v>0</v>
      </c>
      <c r="AU225" s="28">
        <v>1</v>
      </c>
      <c r="AV225" s="28">
        <v>1</v>
      </c>
      <c r="AW225" s="28">
        <v>1</v>
      </c>
      <c r="AX225" s="28">
        <v>1</v>
      </c>
      <c r="AY225" s="34" t="s">
        <v>876</v>
      </c>
      <c r="AZ225" s="35" t="s">
        <v>91</v>
      </c>
      <c r="BA225" s="25" t="s">
        <v>83</v>
      </c>
      <c r="BB225" s="35" t="s">
        <v>46</v>
      </c>
      <c r="BC225" s="35" t="s">
        <v>874</v>
      </c>
      <c r="BD225" s="17">
        <v>4</v>
      </c>
      <c r="BE225" s="17">
        <v>7</v>
      </c>
      <c r="BF225" s="17">
        <v>0</v>
      </c>
      <c r="BG225" s="17">
        <v>0</v>
      </c>
      <c r="BH225" s="17">
        <v>1</v>
      </c>
      <c r="BI225" s="17">
        <v>0</v>
      </c>
      <c r="BJ225" s="17">
        <v>0.94</v>
      </c>
      <c r="BK225" s="17">
        <v>0.94</v>
      </c>
      <c r="BL225" s="35" t="s">
        <v>41</v>
      </c>
      <c r="BM225" s="17">
        <v>96</v>
      </c>
      <c r="BN225" s="17"/>
      <c r="BO225" s="17"/>
      <c r="BP225" s="17"/>
      <c r="BQ225" s="17"/>
      <c r="BR225" s="36"/>
      <c r="BS225" s="36"/>
      <c r="BT225" s="17"/>
      <c r="BU225" s="37">
        <f>(3.16+2.76)/2</f>
        <v>2.96</v>
      </c>
      <c r="BV225" s="22">
        <f>(BW225*(SQRT(BX225-1)))</f>
        <v>2.3043437243605824</v>
      </c>
      <c r="BW225" s="37">
        <v>0.3</v>
      </c>
      <c r="BX225" s="17">
        <v>60</v>
      </c>
      <c r="BY225" s="37">
        <f>(5.46+4.81)/2</f>
        <v>5.1349999999999998</v>
      </c>
      <c r="BZ225" s="22">
        <f>(CA225*(SQRT(CB225-1)))</f>
        <v>2.2275322668818962</v>
      </c>
      <c r="CA225" s="17">
        <v>0.28999999999999998</v>
      </c>
      <c r="CB225" s="17">
        <v>60</v>
      </c>
      <c r="CC225" s="17">
        <v>1</v>
      </c>
      <c r="CD225" s="37">
        <f t="shared" si="37"/>
        <v>0.95972955185438358</v>
      </c>
      <c r="CE225" s="17">
        <v>120</v>
      </c>
      <c r="CF225" s="22">
        <f t="shared" si="32"/>
        <v>0.95972955185438358</v>
      </c>
      <c r="CG225" s="22">
        <f t="shared" si="33"/>
        <v>0.98988545044504161</v>
      </c>
      <c r="CH225" s="35"/>
      <c r="CI225" s="22">
        <f t="shared" si="36"/>
        <v>3.7171170052927568E-2</v>
      </c>
      <c r="CJ225" s="37">
        <f t="shared" si="34"/>
        <v>3.6232366484229138E-2</v>
      </c>
    </row>
    <row r="226" spans="1:88" s="150" customFormat="1" x14ac:dyDescent="0.35">
      <c r="A226" s="29" t="s">
        <v>877</v>
      </c>
      <c r="B226" s="48" t="s">
        <v>878</v>
      </c>
      <c r="C226" s="29" t="s">
        <v>102</v>
      </c>
      <c r="D226" s="30" t="s">
        <v>879</v>
      </c>
      <c r="E226" s="30" t="s">
        <v>880</v>
      </c>
      <c r="F226" s="11" t="s">
        <v>1109</v>
      </c>
      <c r="G226" s="27">
        <v>0</v>
      </c>
      <c r="H226" s="27">
        <v>1</v>
      </c>
      <c r="I226" s="27">
        <v>1</v>
      </c>
      <c r="J226" s="11" t="s">
        <v>1107</v>
      </c>
      <c r="K226" s="82">
        <v>0</v>
      </c>
      <c r="L226" s="31" t="s">
        <v>881</v>
      </c>
      <c r="M226" s="31">
        <v>1</v>
      </c>
      <c r="N226" s="31">
        <v>1240</v>
      </c>
      <c r="O226" s="27">
        <v>225</v>
      </c>
      <c r="P226" s="27" t="s">
        <v>882</v>
      </c>
      <c r="Q226" s="27">
        <v>3</v>
      </c>
      <c r="R226" s="27">
        <v>1</v>
      </c>
      <c r="S226" s="32">
        <v>0</v>
      </c>
      <c r="T226" s="27">
        <v>0</v>
      </c>
      <c r="U226" s="27">
        <v>0</v>
      </c>
      <c r="V226" s="27">
        <v>0</v>
      </c>
      <c r="W226" s="27">
        <v>1</v>
      </c>
      <c r="X226" s="27">
        <v>0</v>
      </c>
      <c r="Y226" s="27">
        <v>0</v>
      </c>
      <c r="Z226" s="27">
        <v>1</v>
      </c>
      <c r="AA226" s="97">
        <v>1</v>
      </c>
      <c r="AB226" s="27">
        <v>0</v>
      </c>
      <c r="AC226" s="27" t="s">
        <v>883</v>
      </c>
      <c r="AD226" s="11">
        <v>3.2</v>
      </c>
      <c r="AE226" s="27">
        <v>2.4</v>
      </c>
      <c r="AF226" s="27" t="s">
        <v>220</v>
      </c>
      <c r="AG226" s="27">
        <v>0</v>
      </c>
      <c r="AH226" s="27" t="s">
        <v>180</v>
      </c>
      <c r="AI226" s="27">
        <v>69</v>
      </c>
      <c r="AJ226" s="27">
        <v>58</v>
      </c>
      <c r="AK226" s="27">
        <v>40</v>
      </c>
      <c r="AL226" s="27">
        <v>45</v>
      </c>
      <c r="AM226" s="27">
        <v>87</v>
      </c>
      <c r="AN226" s="27">
        <v>49</v>
      </c>
      <c r="AO226" s="33">
        <v>22</v>
      </c>
      <c r="AP226" s="27">
        <v>1</v>
      </c>
      <c r="AQ226" s="27">
        <v>0</v>
      </c>
      <c r="AR226" s="27">
        <v>0</v>
      </c>
      <c r="AS226" s="27">
        <v>0</v>
      </c>
      <c r="AT226" s="27">
        <v>0</v>
      </c>
      <c r="AU226" s="27">
        <v>1</v>
      </c>
      <c r="AV226" s="27">
        <v>0</v>
      </c>
      <c r="AW226" s="27">
        <v>1</v>
      </c>
      <c r="AX226" s="27">
        <v>1</v>
      </c>
      <c r="AY226" s="34" t="s">
        <v>884</v>
      </c>
      <c r="AZ226" s="35" t="s">
        <v>457</v>
      </c>
      <c r="BA226" s="25" t="s">
        <v>183</v>
      </c>
      <c r="BB226" s="35" t="s">
        <v>46</v>
      </c>
      <c r="BC226" s="35" t="s">
        <v>885</v>
      </c>
      <c r="BD226" s="17">
        <v>3</v>
      </c>
      <c r="BE226" s="17">
        <v>5</v>
      </c>
      <c r="BF226" s="17">
        <v>0</v>
      </c>
      <c r="BG226" s="17">
        <v>0</v>
      </c>
      <c r="BH226" s="17">
        <v>1</v>
      </c>
      <c r="BI226" s="17">
        <v>0</v>
      </c>
      <c r="BJ226" s="17">
        <v>0.86</v>
      </c>
      <c r="BK226" s="17">
        <v>0.86</v>
      </c>
      <c r="BL226" s="35" t="s">
        <v>41</v>
      </c>
      <c r="BM226" s="17">
        <v>1247</v>
      </c>
      <c r="BN226" s="17"/>
      <c r="BO226" s="17"/>
      <c r="BP226" s="17"/>
      <c r="BQ226" s="17"/>
      <c r="BR226" s="36"/>
      <c r="BS226" s="36"/>
      <c r="BT226" s="17"/>
      <c r="BU226" s="37">
        <v>2.6</v>
      </c>
      <c r="BV226" s="17">
        <v>1.04</v>
      </c>
      <c r="BW226" s="17"/>
      <c r="BX226" s="17">
        <v>25</v>
      </c>
      <c r="BY226" s="37">
        <f>(3.01+3.39)/2</f>
        <v>3.2</v>
      </c>
      <c r="BZ226" s="37">
        <f>(0.88+0.79)/2</f>
        <v>0.83499999999999996</v>
      </c>
      <c r="CA226" s="17"/>
      <c r="CB226" s="17">
        <v>50</v>
      </c>
      <c r="CC226" s="17">
        <v>1</v>
      </c>
      <c r="CD226" s="37">
        <f t="shared" si="37"/>
        <v>0.66114152593245934</v>
      </c>
      <c r="CE226" s="17">
        <v>75</v>
      </c>
      <c r="CF226" s="22">
        <f t="shared" si="32"/>
        <v>0.66114152593245934</v>
      </c>
      <c r="CG226" s="22">
        <f t="shared" si="33"/>
        <v>0.71292724221250092</v>
      </c>
      <c r="CH226" s="35"/>
      <c r="CI226" s="22">
        <f t="shared" si="36"/>
        <v>6.2914054115415341E-2</v>
      </c>
      <c r="CJ226" s="37">
        <f t="shared" si="34"/>
        <v>6.2541326263443608E-2</v>
      </c>
    </row>
    <row r="227" spans="1:88" s="150" customFormat="1" x14ac:dyDescent="0.35">
      <c r="A227" s="29" t="s">
        <v>877</v>
      </c>
      <c r="B227" s="48" t="s">
        <v>878</v>
      </c>
      <c r="C227" s="29" t="s">
        <v>102</v>
      </c>
      <c r="D227" s="30" t="s">
        <v>879</v>
      </c>
      <c r="E227" s="30" t="s">
        <v>880</v>
      </c>
      <c r="F227" s="12" t="s">
        <v>1109</v>
      </c>
      <c r="G227" s="27">
        <v>0</v>
      </c>
      <c r="H227" s="27">
        <v>1</v>
      </c>
      <c r="I227" s="27">
        <v>1</v>
      </c>
      <c r="J227" s="11" t="s">
        <v>1107</v>
      </c>
      <c r="K227" s="82">
        <v>0</v>
      </c>
      <c r="L227" s="31" t="s">
        <v>881</v>
      </c>
      <c r="M227" s="31">
        <v>1</v>
      </c>
      <c r="N227" s="31">
        <v>1240</v>
      </c>
      <c r="O227" s="27">
        <v>225</v>
      </c>
      <c r="P227" s="27" t="s">
        <v>882</v>
      </c>
      <c r="Q227" s="27">
        <v>3</v>
      </c>
      <c r="R227" s="27">
        <v>2</v>
      </c>
      <c r="S227" s="32">
        <v>0</v>
      </c>
      <c r="T227" s="27">
        <v>0</v>
      </c>
      <c r="U227" s="27">
        <v>0</v>
      </c>
      <c r="V227" s="27">
        <v>0</v>
      </c>
      <c r="W227" s="27">
        <v>1</v>
      </c>
      <c r="X227" s="27">
        <v>0</v>
      </c>
      <c r="Y227" s="27">
        <v>0</v>
      </c>
      <c r="Z227" s="27">
        <v>1</v>
      </c>
      <c r="AA227" s="2">
        <v>1</v>
      </c>
      <c r="AB227" s="27">
        <v>0</v>
      </c>
      <c r="AC227" s="27" t="s">
        <v>886</v>
      </c>
      <c r="AD227" s="12">
        <v>4.3</v>
      </c>
      <c r="AE227" s="27">
        <v>2.5</v>
      </c>
      <c r="AF227" s="27" t="s">
        <v>220</v>
      </c>
      <c r="AG227" s="27">
        <v>0</v>
      </c>
      <c r="AH227" s="27" t="s">
        <v>180</v>
      </c>
      <c r="AI227" s="27">
        <v>69</v>
      </c>
      <c r="AJ227" s="27">
        <v>58</v>
      </c>
      <c r="AK227" s="27">
        <v>40</v>
      </c>
      <c r="AL227" s="27">
        <v>45</v>
      </c>
      <c r="AM227" s="27">
        <v>87</v>
      </c>
      <c r="AN227" s="27">
        <v>49</v>
      </c>
      <c r="AO227" s="33">
        <v>22</v>
      </c>
      <c r="AP227" s="27">
        <v>1</v>
      </c>
      <c r="AQ227" s="27">
        <v>0</v>
      </c>
      <c r="AR227" s="27">
        <v>0</v>
      </c>
      <c r="AS227" s="27">
        <v>0</v>
      </c>
      <c r="AT227" s="27">
        <v>0</v>
      </c>
      <c r="AU227" s="27">
        <v>1</v>
      </c>
      <c r="AV227" s="27">
        <v>0</v>
      </c>
      <c r="AW227" s="27">
        <v>1</v>
      </c>
      <c r="AX227" s="27">
        <v>1</v>
      </c>
      <c r="AY227" s="34" t="s">
        <v>887</v>
      </c>
      <c r="AZ227" s="35" t="s">
        <v>457</v>
      </c>
      <c r="BA227" s="25" t="s">
        <v>183</v>
      </c>
      <c r="BB227" s="35" t="s">
        <v>46</v>
      </c>
      <c r="BC227" s="35" t="s">
        <v>885</v>
      </c>
      <c r="BD227" s="17">
        <v>3</v>
      </c>
      <c r="BE227" s="17">
        <v>5</v>
      </c>
      <c r="BF227" s="17">
        <v>0</v>
      </c>
      <c r="BG227" s="17">
        <v>0</v>
      </c>
      <c r="BH227" s="17">
        <v>1</v>
      </c>
      <c r="BI227" s="17">
        <v>0</v>
      </c>
      <c r="BJ227" s="17">
        <v>0.86</v>
      </c>
      <c r="BK227" s="17">
        <v>0.86</v>
      </c>
      <c r="BL227" s="35" t="s">
        <v>41</v>
      </c>
      <c r="BM227" s="17">
        <v>1247</v>
      </c>
      <c r="BN227" s="17"/>
      <c r="BO227" s="17"/>
      <c r="BP227" s="17"/>
      <c r="BQ227" s="17"/>
      <c r="BR227" s="36"/>
      <c r="BS227" s="36"/>
      <c r="BT227" s="17"/>
      <c r="BU227" s="37">
        <v>2.67</v>
      </c>
      <c r="BV227" s="17">
        <v>0.76</v>
      </c>
      <c r="BW227" s="17"/>
      <c r="BX227" s="17">
        <v>25</v>
      </c>
      <c r="BY227" s="37">
        <f>(2.96+3.11)/2</f>
        <v>3.0350000000000001</v>
      </c>
      <c r="BZ227" s="37">
        <f>(0.67+0.91)/2</f>
        <v>0.79</v>
      </c>
      <c r="CA227" s="17"/>
      <c r="CB227" s="17">
        <v>50</v>
      </c>
      <c r="CC227" s="17">
        <v>1</v>
      </c>
      <c r="CD227" s="37">
        <f t="shared" si="37"/>
        <v>0.46779022789409147</v>
      </c>
      <c r="CE227" s="17">
        <v>75</v>
      </c>
      <c r="CF227" s="22">
        <f t="shared" si="32"/>
        <v>0.46779022789409147</v>
      </c>
      <c r="CG227" s="22">
        <f t="shared" si="33"/>
        <v>0.50443117551288341</v>
      </c>
      <c r="CH227" s="35"/>
      <c r="CI227" s="22">
        <f t="shared" si="36"/>
        <v>6.1458851315421371E-2</v>
      </c>
      <c r="CJ227" s="37">
        <f t="shared" si="34"/>
        <v>6.1272254054146547E-2</v>
      </c>
    </row>
    <row r="228" spans="1:88" s="150" customFormat="1" x14ac:dyDescent="0.35">
      <c r="A228" s="38" t="s">
        <v>877</v>
      </c>
      <c r="B228" s="49" t="s">
        <v>878</v>
      </c>
      <c r="C228" s="38" t="s">
        <v>102</v>
      </c>
      <c r="D228" s="39" t="s">
        <v>879</v>
      </c>
      <c r="E228" s="39" t="s">
        <v>880</v>
      </c>
      <c r="F228" s="18" t="s">
        <v>1109</v>
      </c>
      <c r="G228" s="28">
        <v>0</v>
      </c>
      <c r="H228" s="28">
        <v>1</v>
      </c>
      <c r="I228" s="28">
        <v>1</v>
      </c>
      <c r="J228" s="18" t="s">
        <v>1107</v>
      </c>
      <c r="K228" s="83">
        <v>0</v>
      </c>
      <c r="L228" s="40" t="s">
        <v>881</v>
      </c>
      <c r="M228" s="40">
        <v>1</v>
      </c>
      <c r="N228" s="40">
        <v>1240</v>
      </c>
      <c r="O228" s="28">
        <v>225</v>
      </c>
      <c r="P228" s="28" t="s">
        <v>882</v>
      </c>
      <c r="Q228" s="28">
        <v>3</v>
      </c>
      <c r="R228" s="28">
        <v>3</v>
      </c>
      <c r="S228" s="41">
        <v>0</v>
      </c>
      <c r="T228" s="28">
        <v>0</v>
      </c>
      <c r="U228" s="28">
        <v>0</v>
      </c>
      <c r="V228" s="28">
        <v>0</v>
      </c>
      <c r="W228" s="28">
        <v>1</v>
      </c>
      <c r="X228" s="28">
        <v>0</v>
      </c>
      <c r="Y228" s="28">
        <v>0</v>
      </c>
      <c r="Z228" s="28">
        <v>1</v>
      </c>
      <c r="AA228" s="18">
        <v>1</v>
      </c>
      <c r="AB228" s="28">
        <v>0</v>
      </c>
      <c r="AC228" s="28" t="s">
        <v>888</v>
      </c>
      <c r="AD228" s="18">
        <v>2.2999999999999998</v>
      </c>
      <c r="AE228" s="28">
        <v>2.5</v>
      </c>
      <c r="AF228" s="28" t="s">
        <v>220</v>
      </c>
      <c r="AG228" s="28">
        <v>0</v>
      </c>
      <c r="AH228" s="28" t="s">
        <v>180</v>
      </c>
      <c r="AI228" s="28">
        <v>69</v>
      </c>
      <c r="AJ228" s="28">
        <v>58</v>
      </c>
      <c r="AK228" s="28">
        <v>40</v>
      </c>
      <c r="AL228" s="28">
        <v>45</v>
      </c>
      <c r="AM228" s="28">
        <v>87</v>
      </c>
      <c r="AN228" s="28">
        <v>49</v>
      </c>
      <c r="AO228" s="42">
        <v>22</v>
      </c>
      <c r="AP228" s="28">
        <v>1</v>
      </c>
      <c r="AQ228" s="28">
        <v>0</v>
      </c>
      <c r="AR228" s="28">
        <v>0</v>
      </c>
      <c r="AS228" s="28">
        <v>0</v>
      </c>
      <c r="AT228" s="28">
        <v>0</v>
      </c>
      <c r="AU228" s="28">
        <v>1</v>
      </c>
      <c r="AV228" s="28">
        <v>0</v>
      </c>
      <c r="AW228" s="28">
        <v>1</v>
      </c>
      <c r="AX228" s="28">
        <v>1</v>
      </c>
      <c r="AY228" s="34" t="s">
        <v>889</v>
      </c>
      <c r="AZ228" s="35" t="s">
        <v>457</v>
      </c>
      <c r="BA228" s="25" t="s">
        <v>183</v>
      </c>
      <c r="BB228" s="35" t="s">
        <v>46</v>
      </c>
      <c r="BC228" s="35" t="s">
        <v>885</v>
      </c>
      <c r="BD228" s="17">
        <v>3</v>
      </c>
      <c r="BE228" s="17">
        <v>5</v>
      </c>
      <c r="BF228" s="17">
        <v>0</v>
      </c>
      <c r="BG228" s="17">
        <v>0</v>
      </c>
      <c r="BH228" s="17">
        <v>1</v>
      </c>
      <c r="BI228" s="17">
        <v>0</v>
      </c>
      <c r="BJ228" s="17">
        <v>0.86</v>
      </c>
      <c r="BK228" s="17">
        <v>0.86</v>
      </c>
      <c r="BL228" s="35" t="s">
        <v>41</v>
      </c>
      <c r="BM228" s="17">
        <v>1247</v>
      </c>
      <c r="BN228" s="17"/>
      <c r="BO228" s="17"/>
      <c r="BP228" s="17"/>
      <c r="BQ228" s="17"/>
      <c r="BR228" s="36"/>
      <c r="BS228" s="36"/>
      <c r="BT228" s="17"/>
      <c r="BU228" s="37">
        <v>2.67</v>
      </c>
      <c r="BV228" s="17">
        <v>0.88</v>
      </c>
      <c r="BW228" s="17"/>
      <c r="BX228" s="17">
        <v>25</v>
      </c>
      <c r="BY228" s="37">
        <f>(3+3.12)/2</f>
        <v>3.06</v>
      </c>
      <c r="BZ228" s="37">
        <f>(1.03+0.87)/2</f>
        <v>0.95</v>
      </c>
      <c r="CA228" s="17"/>
      <c r="CB228" s="17">
        <v>50</v>
      </c>
      <c r="CC228" s="17">
        <v>1</v>
      </c>
      <c r="CD228" s="37">
        <f t="shared" si="37"/>
        <v>0.42045372957399496</v>
      </c>
      <c r="CE228" s="17">
        <v>75</v>
      </c>
      <c r="CF228" s="22">
        <f t="shared" si="32"/>
        <v>0.42045372957399496</v>
      </c>
      <c r="CG228" s="22">
        <f t="shared" si="33"/>
        <v>0.45338691663692426</v>
      </c>
      <c r="CH228" s="35"/>
      <c r="CI228" s="22">
        <f t="shared" si="36"/>
        <v>6.1178542258084542E-2</v>
      </c>
      <c r="CJ228" s="37">
        <f t="shared" si="34"/>
        <v>6.0893737809467552E-2</v>
      </c>
    </row>
    <row r="229" spans="1:88" s="150" customFormat="1" x14ac:dyDescent="0.35">
      <c r="A229" s="29" t="s">
        <v>890</v>
      </c>
      <c r="B229" s="48" t="s">
        <v>891</v>
      </c>
      <c r="C229" s="29" t="s">
        <v>102</v>
      </c>
      <c r="D229" s="30" t="s">
        <v>892</v>
      </c>
      <c r="E229" s="30" t="s">
        <v>76</v>
      </c>
      <c r="F229" s="12" t="s">
        <v>1109</v>
      </c>
      <c r="G229" s="27">
        <v>0</v>
      </c>
      <c r="H229" s="27">
        <v>1</v>
      </c>
      <c r="I229" s="27">
        <v>1</v>
      </c>
      <c r="J229" s="11" t="s">
        <v>1107</v>
      </c>
      <c r="K229" s="82">
        <v>0</v>
      </c>
      <c r="L229" s="31" t="s">
        <v>893</v>
      </c>
      <c r="M229" s="31">
        <v>1</v>
      </c>
      <c r="N229" s="31">
        <v>4</v>
      </c>
      <c r="O229" s="27">
        <v>132</v>
      </c>
      <c r="P229" s="27" t="s">
        <v>31</v>
      </c>
      <c r="Q229" s="27">
        <v>3</v>
      </c>
      <c r="R229" s="27">
        <v>1</v>
      </c>
      <c r="S229" s="32">
        <v>0</v>
      </c>
      <c r="T229" s="27">
        <v>0</v>
      </c>
      <c r="U229" s="27">
        <v>0</v>
      </c>
      <c r="V229" s="27">
        <v>1</v>
      </c>
      <c r="W229" s="27">
        <v>0</v>
      </c>
      <c r="X229" s="27">
        <v>0</v>
      </c>
      <c r="Y229" s="27">
        <v>0</v>
      </c>
      <c r="Z229" s="27">
        <v>1</v>
      </c>
      <c r="AA229" s="2">
        <v>1</v>
      </c>
      <c r="AB229" s="27">
        <v>0</v>
      </c>
      <c r="AC229" s="27" t="s">
        <v>721</v>
      </c>
      <c r="AD229" s="12">
        <v>4.2</v>
      </c>
      <c r="AE229" s="27">
        <v>2.8</v>
      </c>
      <c r="AF229" s="27" t="s">
        <v>894</v>
      </c>
      <c r="AG229" s="27">
        <v>1</v>
      </c>
      <c r="AH229" s="27" t="s">
        <v>723</v>
      </c>
      <c r="AI229" s="27">
        <v>53</v>
      </c>
      <c r="AJ229" s="27">
        <v>38</v>
      </c>
      <c r="AK229" s="27">
        <v>100</v>
      </c>
      <c r="AL229" s="27">
        <v>14</v>
      </c>
      <c r="AM229" s="27">
        <v>67</v>
      </c>
      <c r="AN229" s="27">
        <v>68</v>
      </c>
      <c r="AO229" s="33">
        <v>23.57</v>
      </c>
      <c r="AP229" s="27">
        <v>1</v>
      </c>
      <c r="AQ229" s="27">
        <v>0</v>
      </c>
      <c r="AR229" s="27">
        <v>0</v>
      </c>
      <c r="AS229" s="27">
        <v>0</v>
      </c>
      <c r="AT229" s="27">
        <v>0</v>
      </c>
      <c r="AU229" s="27">
        <v>1</v>
      </c>
      <c r="AV229" s="27">
        <v>0</v>
      </c>
      <c r="AW229" s="27">
        <v>1</v>
      </c>
      <c r="AX229" s="27">
        <v>1</v>
      </c>
      <c r="AY229" s="34" t="s">
        <v>895</v>
      </c>
      <c r="AZ229" s="25" t="s">
        <v>896</v>
      </c>
      <c r="BA229" s="25" t="s">
        <v>83</v>
      </c>
      <c r="BB229" s="35" t="s">
        <v>897</v>
      </c>
      <c r="BC229" s="35" t="s">
        <v>898</v>
      </c>
      <c r="BD229" s="17">
        <v>3</v>
      </c>
      <c r="BE229" s="17">
        <v>7</v>
      </c>
      <c r="BF229" s="17">
        <v>1</v>
      </c>
      <c r="BG229" s="17">
        <v>1</v>
      </c>
      <c r="BH229" s="17">
        <v>0</v>
      </c>
      <c r="BI229" s="17">
        <v>0</v>
      </c>
      <c r="BJ229" s="17">
        <v>0.92</v>
      </c>
      <c r="BK229" s="17">
        <v>0.92</v>
      </c>
      <c r="BL229" s="35" t="s">
        <v>41</v>
      </c>
      <c r="BM229" s="17">
        <v>6</v>
      </c>
      <c r="BN229" s="17"/>
      <c r="BO229" s="17"/>
      <c r="BP229" s="17"/>
      <c r="BQ229" s="17"/>
      <c r="BR229" s="36"/>
      <c r="BS229" s="36"/>
      <c r="BT229" s="17"/>
      <c r="BU229" s="17">
        <v>5.1100000000000003</v>
      </c>
      <c r="BV229" s="17">
        <v>1.03</v>
      </c>
      <c r="BW229" s="17"/>
      <c r="BX229" s="17">
        <v>52</v>
      </c>
      <c r="BY229" s="17">
        <v>5.29</v>
      </c>
      <c r="BZ229" s="17">
        <v>0.68</v>
      </c>
      <c r="CA229" s="17"/>
      <c r="CB229" s="17">
        <v>38</v>
      </c>
      <c r="CC229" s="17">
        <v>0</v>
      </c>
      <c r="CD229" s="37">
        <f t="shared" si="37"/>
        <v>0.20009167354173116</v>
      </c>
      <c r="CE229" s="17">
        <v>90</v>
      </c>
      <c r="CF229" s="22">
        <f t="shared" si="32"/>
        <v>0.20009167354173116</v>
      </c>
      <c r="CG229" s="22">
        <f t="shared" si="33"/>
        <v>0.20860999033126781</v>
      </c>
      <c r="CH229" s="35"/>
      <c r="CI229" s="22">
        <f t="shared" si="36"/>
        <v>4.5768984692346387E-2</v>
      </c>
      <c r="CJ229" s="37">
        <f t="shared" si="34"/>
        <v>4.5785669298222732E-2</v>
      </c>
    </row>
    <row r="230" spans="1:88" s="150" customFormat="1" x14ac:dyDescent="0.35">
      <c r="A230" s="29" t="s">
        <v>890</v>
      </c>
      <c r="B230" s="48" t="s">
        <v>891</v>
      </c>
      <c r="C230" s="29" t="s">
        <v>102</v>
      </c>
      <c r="D230" s="30" t="s">
        <v>892</v>
      </c>
      <c r="E230" s="30" t="s">
        <v>76</v>
      </c>
      <c r="F230" s="11" t="s">
        <v>1109</v>
      </c>
      <c r="G230" s="27">
        <v>0</v>
      </c>
      <c r="H230" s="27">
        <v>1</v>
      </c>
      <c r="I230" s="27">
        <v>1</v>
      </c>
      <c r="J230" s="11" t="s">
        <v>1107</v>
      </c>
      <c r="K230" s="82">
        <v>0</v>
      </c>
      <c r="L230" s="31" t="s">
        <v>893</v>
      </c>
      <c r="M230" s="31">
        <v>1</v>
      </c>
      <c r="N230" s="31">
        <v>4</v>
      </c>
      <c r="O230" s="27">
        <v>132</v>
      </c>
      <c r="P230" s="27" t="s">
        <v>31</v>
      </c>
      <c r="Q230" s="27">
        <v>3</v>
      </c>
      <c r="R230" s="27">
        <v>1</v>
      </c>
      <c r="S230" s="32">
        <v>0</v>
      </c>
      <c r="T230" s="27">
        <v>0</v>
      </c>
      <c r="U230" s="27">
        <v>0</v>
      </c>
      <c r="V230" s="27">
        <v>1</v>
      </c>
      <c r="W230" s="27">
        <v>0</v>
      </c>
      <c r="X230" s="27">
        <v>0</v>
      </c>
      <c r="Y230" s="27">
        <v>0</v>
      </c>
      <c r="Z230" s="27">
        <v>1</v>
      </c>
      <c r="AA230" s="97">
        <v>1</v>
      </c>
      <c r="AB230" s="27">
        <v>0</v>
      </c>
      <c r="AC230" s="27" t="s">
        <v>721</v>
      </c>
      <c r="AD230" s="11">
        <v>4.2</v>
      </c>
      <c r="AE230" s="27">
        <v>2.8</v>
      </c>
      <c r="AF230" s="27" t="s">
        <v>894</v>
      </c>
      <c r="AG230" s="27">
        <v>1</v>
      </c>
      <c r="AH230" s="27" t="s">
        <v>723</v>
      </c>
      <c r="AI230" s="27">
        <v>53</v>
      </c>
      <c r="AJ230" s="27">
        <v>38</v>
      </c>
      <c r="AK230" s="27">
        <v>100</v>
      </c>
      <c r="AL230" s="27">
        <v>14</v>
      </c>
      <c r="AM230" s="27">
        <v>67</v>
      </c>
      <c r="AN230" s="27">
        <v>68</v>
      </c>
      <c r="AO230" s="33">
        <v>23.57</v>
      </c>
      <c r="AP230" s="27">
        <v>1</v>
      </c>
      <c r="AQ230" s="27">
        <v>0</v>
      </c>
      <c r="AR230" s="27">
        <v>0</v>
      </c>
      <c r="AS230" s="27">
        <v>0</v>
      </c>
      <c r="AT230" s="27">
        <v>0</v>
      </c>
      <c r="AU230" s="27">
        <v>1</v>
      </c>
      <c r="AV230" s="27">
        <v>0</v>
      </c>
      <c r="AW230" s="27">
        <v>1</v>
      </c>
      <c r="AX230" s="27">
        <v>1</v>
      </c>
      <c r="AY230" s="34" t="s">
        <v>899</v>
      </c>
      <c r="AZ230" s="25" t="s">
        <v>896</v>
      </c>
      <c r="BA230" s="25" t="s">
        <v>83</v>
      </c>
      <c r="BB230" s="35" t="s">
        <v>620</v>
      </c>
      <c r="BC230" s="35" t="s">
        <v>900</v>
      </c>
      <c r="BD230" s="17">
        <v>3</v>
      </c>
      <c r="BE230" s="17">
        <v>7</v>
      </c>
      <c r="BF230" s="17">
        <v>0</v>
      </c>
      <c r="BG230" s="17">
        <v>0</v>
      </c>
      <c r="BH230" s="17">
        <v>1</v>
      </c>
      <c r="BI230" s="17">
        <v>0</v>
      </c>
      <c r="BJ230" s="17">
        <v>0.99</v>
      </c>
      <c r="BK230" s="17">
        <v>0.99</v>
      </c>
      <c r="BL230" s="35" t="s">
        <v>901</v>
      </c>
      <c r="BM230" s="17">
        <v>6</v>
      </c>
      <c r="BN230" s="17"/>
      <c r="BO230" s="17"/>
      <c r="BP230" s="17"/>
      <c r="BQ230" s="17"/>
      <c r="BR230" s="36"/>
      <c r="BS230" s="36"/>
      <c r="BT230" s="17"/>
      <c r="BU230" s="17">
        <v>3.48</v>
      </c>
      <c r="BV230" s="17">
        <v>1.48</v>
      </c>
      <c r="BW230" s="17"/>
      <c r="BX230" s="17">
        <v>52</v>
      </c>
      <c r="BY230" s="17">
        <v>4.87</v>
      </c>
      <c r="BZ230" s="17">
        <v>1.99</v>
      </c>
      <c r="CA230" s="17"/>
      <c r="CB230" s="17">
        <v>38</v>
      </c>
      <c r="CC230" s="17">
        <v>1</v>
      </c>
      <c r="CD230" s="37">
        <f t="shared" si="37"/>
        <v>0.81142678772852461</v>
      </c>
      <c r="CE230" s="17">
        <v>90</v>
      </c>
      <c r="CF230" s="22">
        <f t="shared" si="32"/>
        <v>0.81142678772852461</v>
      </c>
      <c r="CG230" s="22">
        <f t="shared" si="33"/>
        <v>0.81551460598147685</v>
      </c>
      <c r="CH230" s="35"/>
      <c r="CI230" s="22">
        <f t="shared" si="36"/>
        <v>4.9204411103583617E-2</v>
      </c>
      <c r="CJ230" s="37">
        <f t="shared" si="34"/>
        <v>4.9200756905382691E-2</v>
      </c>
    </row>
    <row r="231" spans="1:88" s="150" customFormat="1" x14ac:dyDescent="0.35">
      <c r="A231" s="29" t="s">
        <v>890</v>
      </c>
      <c r="B231" s="48" t="s">
        <v>891</v>
      </c>
      <c r="C231" s="29" t="s">
        <v>102</v>
      </c>
      <c r="D231" s="30" t="s">
        <v>892</v>
      </c>
      <c r="E231" s="30" t="s">
        <v>76</v>
      </c>
      <c r="F231" s="12" t="s">
        <v>1109</v>
      </c>
      <c r="G231" s="27">
        <v>0</v>
      </c>
      <c r="H231" s="27">
        <v>1</v>
      </c>
      <c r="I231" s="27">
        <v>1</v>
      </c>
      <c r="J231" s="11" t="s">
        <v>1107</v>
      </c>
      <c r="K231" s="82">
        <v>0</v>
      </c>
      <c r="L231" s="31" t="s">
        <v>893</v>
      </c>
      <c r="M231" s="31">
        <v>1</v>
      </c>
      <c r="N231" s="31">
        <v>4</v>
      </c>
      <c r="O231" s="27">
        <v>132</v>
      </c>
      <c r="P231" s="27" t="s">
        <v>31</v>
      </c>
      <c r="Q231" s="27">
        <v>3</v>
      </c>
      <c r="R231" s="27">
        <v>2</v>
      </c>
      <c r="S231" s="32">
        <v>0</v>
      </c>
      <c r="T231" s="27">
        <v>0</v>
      </c>
      <c r="U231" s="27">
        <v>0</v>
      </c>
      <c r="V231" s="27">
        <v>1</v>
      </c>
      <c r="W231" s="27">
        <v>0</v>
      </c>
      <c r="X231" s="27">
        <v>0</v>
      </c>
      <c r="Y231" s="27">
        <v>0</v>
      </c>
      <c r="Z231" s="27">
        <v>1</v>
      </c>
      <c r="AA231" s="2">
        <v>1</v>
      </c>
      <c r="AB231" s="27">
        <v>0</v>
      </c>
      <c r="AC231" s="27" t="s">
        <v>721</v>
      </c>
      <c r="AD231" s="12">
        <v>4.2</v>
      </c>
      <c r="AE231" s="27">
        <v>2.8</v>
      </c>
      <c r="AF231" s="27" t="s">
        <v>894</v>
      </c>
      <c r="AG231" s="27">
        <v>1</v>
      </c>
      <c r="AH231" s="27" t="s">
        <v>723</v>
      </c>
      <c r="AI231" s="27">
        <v>53</v>
      </c>
      <c r="AJ231" s="27">
        <v>38</v>
      </c>
      <c r="AK231" s="27">
        <v>100</v>
      </c>
      <c r="AL231" s="27">
        <v>14</v>
      </c>
      <c r="AM231" s="27">
        <v>67</v>
      </c>
      <c r="AN231" s="27">
        <v>68</v>
      </c>
      <c r="AO231" s="33">
        <v>23.57</v>
      </c>
      <c r="AP231" s="27">
        <v>1</v>
      </c>
      <c r="AQ231" s="27">
        <v>0</v>
      </c>
      <c r="AR231" s="27">
        <v>0</v>
      </c>
      <c r="AS231" s="27">
        <v>0</v>
      </c>
      <c r="AT231" s="27">
        <v>0</v>
      </c>
      <c r="AU231" s="27">
        <v>1</v>
      </c>
      <c r="AV231" s="27">
        <v>0</v>
      </c>
      <c r="AW231" s="27">
        <v>1</v>
      </c>
      <c r="AX231" s="27">
        <v>1</v>
      </c>
      <c r="AY231" s="34" t="s">
        <v>902</v>
      </c>
      <c r="AZ231" s="25" t="s">
        <v>896</v>
      </c>
      <c r="BA231" s="54" t="s">
        <v>83</v>
      </c>
      <c r="BB231" s="35" t="s">
        <v>897</v>
      </c>
      <c r="BC231" s="35" t="s">
        <v>898</v>
      </c>
      <c r="BD231" s="17">
        <v>3</v>
      </c>
      <c r="BE231" s="17">
        <v>7</v>
      </c>
      <c r="BF231" s="17">
        <v>1</v>
      </c>
      <c r="BG231" s="17">
        <v>1</v>
      </c>
      <c r="BH231" s="17">
        <v>0</v>
      </c>
      <c r="BI231" s="17">
        <v>0</v>
      </c>
      <c r="BJ231" s="17">
        <v>0.92</v>
      </c>
      <c r="BK231" s="17">
        <v>0.92</v>
      </c>
      <c r="BL231" s="35" t="s">
        <v>41</v>
      </c>
      <c r="BM231" s="17">
        <v>6</v>
      </c>
      <c r="BN231" s="17"/>
      <c r="BO231" s="17"/>
      <c r="BP231" s="17"/>
      <c r="BQ231" s="17"/>
      <c r="BR231" s="36"/>
      <c r="BS231" s="36"/>
      <c r="BT231" s="17"/>
      <c r="BU231" s="17">
        <v>5.1100000000000003</v>
      </c>
      <c r="BV231" s="17">
        <v>1.03</v>
      </c>
      <c r="BW231" s="17"/>
      <c r="BX231" s="17">
        <v>52</v>
      </c>
      <c r="BY231" s="17">
        <v>5.0199999999999996</v>
      </c>
      <c r="BZ231" s="17">
        <v>0.89</v>
      </c>
      <c r="CA231" s="17"/>
      <c r="CB231" s="17">
        <v>42</v>
      </c>
      <c r="CC231" s="17">
        <v>0</v>
      </c>
      <c r="CD231" s="37">
        <f t="shared" si="37"/>
        <v>-9.2773216976548917E-2</v>
      </c>
      <c r="CE231" s="17">
        <v>94</v>
      </c>
      <c r="CF231" s="22">
        <f t="shared" si="32"/>
        <v>-9.2773216976548917E-2</v>
      </c>
      <c r="CG231" s="22">
        <f t="shared" si="33"/>
        <v>-9.6722764890274787E-2</v>
      </c>
      <c r="CH231" s="35"/>
      <c r="CI231" s="22">
        <f t="shared" si="36"/>
        <v>4.3086074262570578E-2</v>
      </c>
      <c r="CJ231" s="37">
        <f t="shared" si="34"/>
        <v>4.3092266891670929E-2</v>
      </c>
    </row>
    <row r="232" spans="1:88" s="150" customFormat="1" x14ac:dyDescent="0.35">
      <c r="A232" s="38" t="s">
        <v>890</v>
      </c>
      <c r="B232" s="49" t="s">
        <v>891</v>
      </c>
      <c r="C232" s="38" t="s">
        <v>102</v>
      </c>
      <c r="D232" s="39" t="s">
        <v>892</v>
      </c>
      <c r="E232" s="39" t="s">
        <v>76</v>
      </c>
      <c r="F232" s="18" t="s">
        <v>1109</v>
      </c>
      <c r="G232" s="28">
        <v>0</v>
      </c>
      <c r="H232" s="28">
        <v>1</v>
      </c>
      <c r="I232" s="28">
        <v>1</v>
      </c>
      <c r="J232" s="18" t="s">
        <v>1107</v>
      </c>
      <c r="K232" s="83">
        <v>0</v>
      </c>
      <c r="L232" s="31" t="s">
        <v>893</v>
      </c>
      <c r="M232" s="40">
        <v>1</v>
      </c>
      <c r="N232" s="40">
        <v>4</v>
      </c>
      <c r="O232" s="28">
        <v>132</v>
      </c>
      <c r="P232" s="28" t="s">
        <v>31</v>
      </c>
      <c r="Q232" s="28">
        <v>3</v>
      </c>
      <c r="R232" s="28">
        <v>2</v>
      </c>
      <c r="S232" s="41">
        <v>0</v>
      </c>
      <c r="T232" s="28">
        <v>0</v>
      </c>
      <c r="U232" s="28">
        <v>0</v>
      </c>
      <c r="V232" s="28">
        <v>1</v>
      </c>
      <c r="W232" s="28">
        <v>0</v>
      </c>
      <c r="X232" s="28">
        <v>0</v>
      </c>
      <c r="Y232" s="28">
        <v>0</v>
      </c>
      <c r="Z232" s="27">
        <v>1</v>
      </c>
      <c r="AA232" s="92">
        <v>1</v>
      </c>
      <c r="AB232" s="28">
        <v>0</v>
      </c>
      <c r="AC232" s="28" t="s">
        <v>721</v>
      </c>
      <c r="AD232" s="18">
        <v>4.2</v>
      </c>
      <c r="AE232" s="28">
        <v>2.8</v>
      </c>
      <c r="AF232" s="28" t="s">
        <v>894</v>
      </c>
      <c r="AG232" s="28">
        <v>1</v>
      </c>
      <c r="AH232" s="28" t="s">
        <v>723</v>
      </c>
      <c r="AI232" s="28">
        <v>53</v>
      </c>
      <c r="AJ232" s="27">
        <v>38</v>
      </c>
      <c r="AK232" s="27">
        <v>100</v>
      </c>
      <c r="AL232" s="27">
        <v>14</v>
      </c>
      <c r="AM232" s="27">
        <v>67</v>
      </c>
      <c r="AN232" s="27">
        <v>68</v>
      </c>
      <c r="AO232" s="42">
        <v>23.57</v>
      </c>
      <c r="AP232" s="28">
        <v>1</v>
      </c>
      <c r="AQ232" s="28">
        <v>0</v>
      </c>
      <c r="AR232" s="28">
        <v>0</v>
      </c>
      <c r="AS232" s="28">
        <v>0</v>
      </c>
      <c r="AT232" s="28">
        <v>0</v>
      </c>
      <c r="AU232" s="28">
        <v>1</v>
      </c>
      <c r="AV232" s="28">
        <v>0</v>
      </c>
      <c r="AW232" s="28">
        <v>1</v>
      </c>
      <c r="AX232" s="28">
        <v>1</v>
      </c>
      <c r="AY232" s="34" t="s">
        <v>903</v>
      </c>
      <c r="AZ232" s="25" t="s">
        <v>896</v>
      </c>
      <c r="BA232" s="25" t="s">
        <v>83</v>
      </c>
      <c r="BB232" s="35" t="s">
        <v>620</v>
      </c>
      <c r="BC232" s="35" t="s">
        <v>900</v>
      </c>
      <c r="BD232" s="17">
        <v>3</v>
      </c>
      <c r="BE232" s="17">
        <v>7</v>
      </c>
      <c r="BF232" s="17">
        <v>0</v>
      </c>
      <c r="BG232" s="17">
        <v>0</v>
      </c>
      <c r="BH232" s="17">
        <v>1</v>
      </c>
      <c r="BI232" s="17">
        <v>0</v>
      </c>
      <c r="BJ232" s="17">
        <v>0.99</v>
      </c>
      <c r="BK232" s="17">
        <v>0.99</v>
      </c>
      <c r="BL232" s="35" t="s">
        <v>901</v>
      </c>
      <c r="BM232" s="17">
        <v>6</v>
      </c>
      <c r="BN232" s="17"/>
      <c r="BO232" s="17"/>
      <c r="BP232" s="17"/>
      <c r="BQ232" s="17"/>
      <c r="BR232" s="36"/>
      <c r="BS232" s="36"/>
      <c r="BT232" s="17"/>
      <c r="BU232" s="17">
        <v>3.48</v>
      </c>
      <c r="BV232" s="17">
        <v>1.48</v>
      </c>
      <c r="BW232" s="17"/>
      <c r="BX232" s="17">
        <v>52</v>
      </c>
      <c r="BY232" s="17">
        <v>3.87</v>
      </c>
      <c r="BZ232" s="17">
        <v>1.26</v>
      </c>
      <c r="CA232" s="17"/>
      <c r="CB232" s="17">
        <v>42</v>
      </c>
      <c r="CC232" s="17">
        <v>0</v>
      </c>
      <c r="CD232" s="37">
        <f t="shared" si="37"/>
        <v>0.28132927950168607</v>
      </c>
      <c r="CE232" s="17">
        <v>94</v>
      </c>
      <c r="CF232" s="22">
        <f t="shared" si="32"/>
        <v>0.28132927950168607</v>
      </c>
      <c r="CG232" s="22">
        <f t="shared" si="33"/>
        <v>0.28274656443882279</v>
      </c>
      <c r="CH232" s="35"/>
      <c r="CI232" s="22">
        <f t="shared" si="36"/>
        <v>4.3461283271702282E-2</v>
      </c>
      <c r="CJ232" s="37">
        <f t="shared" si="34"/>
        <v>4.3321791701215424E-2</v>
      </c>
    </row>
    <row r="233" spans="1:88" s="150" customFormat="1" x14ac:dyDescent="0.35">
      <c r="A233" s="43" t="s">
        <v>904</v>
      </c>
      <c r="B233" s="48" t="s">
        <v>905</v>
      </c>
      <c r="C233" s="29" t="s">
        <v>192</v>
      </c>
      <c r="D233" s="30" t="s">
        <v>906</v>
      </c>
      <c r="E233" s="30" t="s">
        <v>907</v>
      </c>
      <c r="F233" s="12" t="s">
        <v>1109</v>
      </c>
      <c r="G233" s="27">
        <v>1</v>
      </c>
      <c r="H233" s="27">
        <v>1</v>
      </c>
      <c r="I233" s="27">
        <v>2</v>
      </c>
      <c r="J233" s="11" t="s">
        <v>1111</v>
      </c>
      <c r="K233" s="82">
        <v>0</v>
      </c>
      <c r="L233" s="45" t="s">
        <v>908</v>
      </c>
      <c r="M233" s="45">
        <v>1</v>
      </c>
      <c r="N233" s="45">
        <v>5</v>
      </c>
      <c r="O233" s="26">
        <v>224</v>
      </c>
      <c r="P233" s="26" t="s">
        <v>147</v>
      </c>
      <c r="Q233" s="26">
        <v>2</v>
      </c>
      <c r="R233" s="26">
        <v>1</v>
      </c>
      <c r="S233" s="46">
        <v>0</v>
      </c>
      <c r="T233" s="26">
        <v>1</v>
      </c>
      <c r="U233" s="26">
        <v>0</v>
      </c>
      <c r="V233" s="26">
        <v>0</v>
      </c>
      <c r="W233" s="26">
        <v>0</v>
      </c>
      <c r="X233" s="26">
        <v>0</v>
      </c>
      <c r="Y233" s="26">
        <v>1</v>
      </c>
      <c r="Z233" s="26">
        <v>0</v>
      </c>
      <c r="AA233" s="109">
        <v>0</v>
      </c>
      <c r="AB233" s="26">
        <v>1</v>
      </c>
      <c r="AC233" s="26" t="s">
        <v>90</v>
      </c>
      <c r="AD233" s="20">
        <v>2.5</v>
      </c>
      <c r="AE233" s="26">
        <v>2.5</v>
      </c>
      <c r="AF233" s="26" t="s">
        <v>220</v>
      </c>
      <c r="AG233" s="26">
        <v>0</v>
      </c>
      <c r="AH233" s="26" t="s">
        <v>465</v>
      </c>
      <c r="AI233" s="26">
        <v>30</v>
      </c>
      <c r="AJ233" s="26">
        <v>80</v>
      </c>
      <c r="AK233" s="26">
        <v>43</v>
      </c>
      <c r="AL233" s="26">
        <v>66</v>
      </c>
      <c r="AM233" s="26">
        <v>77</v>
      </c>
      <c r="AN233" s="26">
        <v>24</v>
      </c>
      <c r="AO233" s="47">
        <v>21.5</v>
      </c>
      <c r="AP233" s="26">
        <v>0</v>
      </c>
      <c r="AQ233" s="26">
        <v>0</v>
      </c>
      <c r="AR233" s="26">
        <v>0</v>
      </c>
      <c r="AS233" s="26">
        <v>0</v>
      </c>
      <c r="AT233" s="26">
        <v>0</v>
      </c>
      <c r="AU233" s="26">
        <v>1</v>
      </c>
      <c r="AV233" s="26">
        <v>1</v>
      </c>
      <c r="AW233" s="26">
        <v>1</v>
      </c>
      <c r="AX233" s="26">
        <v>1</v>
      </c>
      <c r="AY233" s="34" t="s">
        <v>909</v>
      </c>
      <c r="AZ233" s="25" t="s">
        <v>910</v>
      </c>
      <c r="BA233" s="25" t="s">
        <v>61</v>
      </c>
      <c r="BB233" s="35" t="s">
        <v>634</v>
      </c>
      <c r="BC233" s="35" t="s">
        <v>911</v>
      </c>
      <c r="BD233" s="17">
        <v>3</v>
      </c>
      <c r="BE233" s="17">
        <v>5</v>
      </c>
      <c r="BF233" s="17">
        <v>0</v>
      </c>
      <c r="BG233" s="17">
        <v>0</v>
      </c>
      <c r="BH233" s="17">
        <v>1</v>
      </c>
      <c r="BI233" s="17">
        <v>0</v>
      </c>
      <c r="BJ233" s="17">
        <v>0.76</v>
      </c>
      <c r="BK233" s="17">
        <v>0.76</v>
      </c>
      <c r="BL233" s="35" t="s">
        <v>41</v>
      </c>
      <c r="BM233" s="17">
        <v>7</v>
      </c>
      <c r="BN233" s="17"/>
      <c r="BO233" s="17"/>
      <c r="BP233" s="76">
        <v>3.4729999999999999</v>
      </c>
      <c r="BQ233" s="17"/>
      <c r="BR233" s="36"/>
      <c r="BS233" s="36"/>
      <c r="BT233" s="17"/>
      <c r="BU233" s="17">
        <v>3.57</v>
      </c>
      <c r="BV233" s="17"/>
      <c r="BW233" s="17"/>
      <c r="BX233" s="17">
        <v>112</v>
      </c>
      <c r="BY233" s="17">
        <v>3.85</v>
      </c>
      <c r="BZ233" s="17"/>
      <c r="CA233" s="17"/>
      <c r="CB233" s="17">
        <v>112</v>
      </c>
      <c r="CC233" s="17">
        <v>1</v>
      </c>
      <c r="CD233" s="37">
        <f>(BP233*SQRT((CB233+BX233)/(CB233*BX233)))</f>
        <v>0.46409914658092494</v>
      </c>
      <c r="CE233" s="17">
        <v>224</v>
      </c>
      <c r="CF233" s="22">
        <f t="shared" si="32"/>
        <v>0.46409914658092494</v>
      </c>
      <c r="CG233" s="22">
        <f t="shared" si="33"/>
        <v>0.53235823150782158</v>
      </c>
      <c r="CH233" s="35"/>
      <c r="CI233" s="22">
        <f t="shared" si="36"/>
        <v>1.8337919682716836E-2</v>
      </c>
      <c r="CJ233" s="37">
        <f t="shared" si="34"/>
        <v>1.8426229778135097E-2</v>
      </c>
    </row>
    <row r="234" spans="1:88" s="150" customFormat="1" x14ac:dyDescent="0.35">
      <c r="A234" s="38" t="s">
        <v>904</v>
      </c>
      <c r="B234" s="49" t="s">
        <v>905</v>
      </c>
      <c r="C234" s="38" t="s">
        <v>192</v>
      </c>
      <c r="D234" s="39" t="s">
        <v>906</v>
      </c>
      <c r="E234" s="39" t="s">
        <v>907</v>
      </c>
      <c r="F234" s="18" t="s">
        <v>1109</v>
      </c>
      <c r="G234" s="28">
        <v>1</v>
      </c>
      <c r="H234" s="28">
        <v>1</v>
      </c>
      <c r="I234" s="28">
        <v>2</v>
      </c>
      <c r="J234" s="18" t="s">
        <v>1111</v>
      </c>
      <c r="K234" s="83">
        <v>0</v>
      </c>
      <c r="L234" s="45" t="s">
        <v>912</v>
      </c>
      <c r="M234" s="45">
        <v>2</v>
      </c>
      <c r="N234" s="45">
        <v>8</v>
      </c>
      <c r="O234" s="26">
        <v>264</v>
      </c>
      <c r="P234" s="26" t="s">
        <v>147</v>
      </c>
      <c r="Q234" s="26">
        <v>2</v>
      </c>
      <c r="R234" s="26">
        <v>1</v>
      </c>
      <c r="S234" s="46">
        <v>0</v>
      </c>
      <c r="T234" s="26">
        <v>1</v>
      </c>
      <c r="U234" s="26">
        <v>0</v>
      </c>
      <c r="V234" s="26">
        <v>0</v>
      </c>
      <c r="W234" s="26">
        <v>0</v>
      </c>
      <c r="X234" s="26">
        <v>0</v>
      </c>
      <c r="Y234" s="26">
        <v>1</v>
      </c>
      <c r="Z234" s="26">
        <v>0</v>
      </c>
      <c r="AA234" s="109">
        <v>0</v>
      </c>
      <c r="AB234" s="26">
        <v>1</v>
      </c>
      <c r="AC234" s="26" t="s">
        <v>90</v>
      </c>
      <c r="AD234" s="20">
        <v>2.5</v>
      </c>
      <c r="AE234" s="26">
        <v>2.5</v>
      </c>
      <c r="AF234" s="26" t="s">
        <v>220</v>
      </c>
      <c r="AG234" s="26">
        <v>0</v>
      </c>
      <c r="AH234" s="26" t="s">
        <v>465</v>
      </c>
      <c r="AI234" s="26">
        <v>30</v>
      </c>
      <c r="AJ234" s="26">
        <v>80</v>
      </c>
      <c r="AK234" s="26">
        <v>43</v>
      </c>
      <c r="AL234" s="26">
        <v>66</v>
      </c>
      <c r="AM234" s="26">
        <v>77</v>
      </c>
      <c r="AN234" s="26">
        <v>24</v>
      </c>
      <c r="AO234" s="47"/>
      <c r="AP234" s="26">
        <v>0</v>
      </c>
      <c r="AQ234" s="26">
        <v>0</v>
      </c>
      <c r="AR234" s="26">
        <v>0</v>
      </c>
      <c r="AS234" s="26">
        <v>0</v>
      </c>
      <c r="AT234" s="26">
        <v>0</v>
      </c>
      <c r="AU234" s="26">
        <v>1</v>
      </c>
      <c r="AV234" s="26">
        <v>1</v>
      </c>
      <c r="AW234" s="26">
        <v>1</v>
      </c>
      <c r="AX234" s="26">
        <v>1</v>
      </c>
      <c r="AY234" s="34" t="s">
        <v>913</v>
      </c>
      <c r="AZ234" s="25" t="s">
        <v>910</v>
      </c>
      <c r="BA234" s="25" t="s">
        <v>61</v>
      </c>
      <c r="BB234" s="35" t="s">
        <v>634</v>
      </c>
      <c r="BC234" s="35" t="s">
        <v>911</v>
      </c>
      <c r="BD234" s="17">
        <v>3</v>
      </c>
      <c r="BE234" s="17">
        <v>5</v>
      </c>
      <c r="BF234" s="17">
        <v>0</v>
      </c>
      <c r="BG234" s="17">
        <v>0</v>
      </c>
      <c r="BH234" s="17">
        <v>1</v>
      </c>
      <c r="BI234" s="17">
        <v>0</v>
      </c>
      <c r="BJ234" s="17">
        <v>0.76</v>
      </c>
      <c r="BK234" s="17">
        <v>0.76</v>
      </c>
      <c r="BL234" s="35" t="s">
        <v>41</v>
      </c>
      <c r="BM234" s="17">
        <v>9</v>
      </c>
      <c r="BN234" s="17"/>
      <c r="BO234" s="17"/>
      <c r="BP234" s="17">
        <v>6.7830000000000004</v>
      </c>
      <c r="BQ234" s="17"/>
      <c r="BR234" s="36"/>
      <c r="BS234" s="36"/>
      <c r="BT234" s="17"/>
      <c r="BU234" s="17">
        <v>3.39</v>
      </c>
      <c r="BV234" s="17"/>
      <c r="BW234" s="17"/>
      <c r="BX234" s="17">
        <v>132</v>
      </c>
      <c r="BY234" s="17">
        <v>3.85</v>
      </c>
      <c r="BZ234" s="17"/>
      <c r="CA234" s="17"/>
      <c r="CB234" s="17">
        <v>132</v>
      </c>
      <c r="CC234" s="17">
        <v>1</v>
      </c>
      <c r="CD234" s="37">
        <f>(BP234*SQRT((CB234+BX234)/(CB234*BX234)))</f>
        <v>0.83492958331281397</v>
      </c>
      <c r="CE234" s="17">
        <v>264</v>
      </c>
      <c r="CF234" s="22">
        <f t="shared" si="32"/>
        <v>0.83492958331281397</v>
      </c>
      <c r="CG234" s="22">
        <f t="shared" si="33"/>
        <v>0.95772991542975783</v>
      </c>
      <c r="CH234" s="35"/>
      <c r="CI234" s="37">
        <f t="shared" si="36"/>
        <v>1.6471794335399449E-2</v>
      </c>
      <c r="CJ234" s="37">
        <f t="shared" si="34"/>
        <v>1.7515552756950954E-2</v>
      </c>
    </row>
    <row r="235" spans="1:88" s="150" customFormat="1" x14ac:dyDescent="0.35">
      <c r="A235" s="50" t="s">
        <v>914</v>
      </c>
      <c r="B235" s="51" t="s">
        <v>915</v>
      </c>
      <c r="C235" s="50" t="s">
        <v>916</v>
      </c>
      <c r="D235" s="52" t="s">
        <v>917</v>
      </c>
      <c r="E235" s="52" t="s">
        <v>918</v>
      </c>
      <c r="F235" s="20" t="s">
        <v>1109</v>
      </c>
      <c r="G235" s="26">
        <v>0</v>
      </c>
      <c r="H235" s="26">
        <v>1</v>
      </c>
      <c r="I235" s="26">
        <v>1</v>
      </c>
      <c r="J235" s="20" t="s">
        <v>1107</v>
      </c>
      <c r="K235" s="84">
        <v>0</v>
      </c>
      <c r="L235" s="45" t="s">
        <v>919</v>
      </c>
      <c r="M235" s="45">
        <v>1</v>
      </c>
      <c r="N235" s="45">
        <v>23</v>
      </c>
      <c r="O235" s="26">
        <v>176</v>
      </c>
      <c r="P235" s="26" t="s">
        <v>218</v>
      </c>
      <c r="Q235" s="26">
        <v>2</v>
      </c>
      <c r="R235" s="26">
        <v>1</v>
      </c>
      <c r="S235" s="46">
        <v>0</v>
      </c>
      <c r="T235" s="26">
        <v>0</v>
      </c>
      <c r="U235" s="26">
        <v>0</v>
      </c>
      <c r="V235" s="26">
        <v>0</v>
      </c>
      <c r="W235" s="26">
        <v>1</v>
      </c>
      <c r="X235" s="26">
        <v>0</v>
      </c>
      <c r="Y235" s="26">
        <v>0</v>
      </c>
      <c r="Z235" s="26">
        <v>1</v>
      </c>
      <c r="AA235" s="109">
        <v>1</v>
      </c>
      <c r="AB235" s="26">
        <v>1</v>
      </c>
      <c r="AC235" s="26" t="s">
        <v>920</v>
      </c>
      <c r="AD235" s="20">
        <v>2.9</v>
      </c>
      <c r="AE235" s="26">
        <v>3.1</v>
      </c>
      <c r="AF235" s="26" t="s">
        <v>922</v>
      </c>
      <c r="AG235" s="26">
        <v>1</v>
      </c>
      <c r="AH235" s="26" t="s">
        <v>923</v>
      </c>
      <c r="AI235" s="26">
        <v>86</v>
      </c>
      <c r="AJ235" s="20">
        <v>57</v>
      </c>
      <c r="AK235" s="20">
        <v>67</v>
      </c>
      <c r="AL235" s="20">
        <v>42</v>
      </c>
      <c r="AM235" s="20">
        <v>47</v>
      </c>
      <c r="AN235" s="20">
        <v>44</v>
      </c>
      <c r="AO235" s="47">
        <v>26</v>
      </c>
      <c r="AP235" s="26">
        <v>1</v>
      </c>
      <c r="AQ235" s="26">
        <v>0</v>
      </c>
      <c r="AR235" s="26">
        <v>0</v>
      </c>
      <c r="AS235" s="26">
        <v>0</v>
      </c>
      <c r="AT235" s="26">
        <v>0</v>
      </c>
      <c r="AU235" s="26">
        <v>1</v>
      </c>
      <c r="AV235" s="26">
        <v>0</v>
      </c>
      <c r="AW235" s="26">
        <v>0</v>
      </c>
      <c r="AX235" s="26">
        <v>1</v>
      </c>
      <c r="AY235" s="34" t="s">
        <v>924</v>
      </c>
      <c r="AZ235" s="35" t="s">
        <v>921</v>
      </c>
      <c r="BA235" s="25" t="s">
        <v>183</v>
      </c>
      <c r="BB235" s="35" t="s">
        <v>925</v>
      </c>
      <c r="BC235" s="35" t="s">
        <v>926</v>
      </c>
      <c r="BD235" s="17">
        <v>3</v>
      </c>
      <c r="BE235" s="17">
        <v>5</v>
      </c>
      <c r="BF235" s="17">
        <v>0</v>
      </c>
      <c r="BG235" s="17">
        <v>0</v>
      </c>
      <c r="BH235" s="17">
        <v>1</v>
      </c>
      <c r="BI235" s="17">
        <v>0</v>
      </c>
      <c r="BJ235" s="17">
        <v>0.91</v>
      </c>
      <c r="BK235" s="17">
        <v>0.91</v>
      </c>
      <c r="BL235" s="35" t="s">
        <v>41</v>
      </c>
      <c r="BM235" s="17">
        <v>29</v>
      </c>
      <c r="BN235" s="17"/>
      <c r="BO235" s="17"/>
      <c r="BP235" s="17"/>
      <c r="BQ235" s="17"/>
      <c r="BR235" s="36"/>
      <c r="BS235" s="36"/>
      <c r="BT235" s="17"/>
      <c r="BU235" s="17">
        <v>2.65</v>
      </c>
      <c r="BV235" s="17">
        <v>0.99</v>
      </c>
      <c r="BW235" s="17"/>
      <c r="BX235" s="17">
        <v>88</v>
      </c>
      <c r="BY235" s="17">
        <v>2.9</v>
      </c>
      <c r="BZ235" s="17">
        <v>0.94</v>
      </c>
      <c r="CA235" s="17"/>
      <c r="CB235" s="17">
        <v>88</v>
      </c>
      <c r="CC235" s="17">
        <v>1</v>
      </c>
      <c r="CD235" s="37">
        <f>(BY235-BU235)/SQRT((((CB235-1)*BZ235^2)+((BX235-1)*BV235^2))/((CB235+BX235)-2))</f>
        <v>0.25898046356148041</v>
      </c>
      <c r="CE235" s="17">
        <v>176</v>
      </c>
      <c r="CF235" s="22">
        <f t="shared" si="32"/>
        <v>0.25898046356148041</v>
      </c>
      <c r="CG235" s="22">
        <f t="shared" si="33"/>
        <v>0.27148529295871321</v>
      </c>
      <c r="CH235" s="35"/>
      <c r="CI235" s="22">
        <f t="shared" si="36"/>
        <v>2.2917815001438975E-2</v>
      </c>
      <c r="CJ235" s="37">
        <f t="shared" si="34"/>
        <v>2.297295360824899E-2</v>
      </c>
    </row>
    <row r="236" spans="1:88" s="150" customFormat="1" x14ac:dyDescent="0.35">
      <c r="A236" s="50" t="s">
        <v>927</v>
      </c>
      <c r="B236" s="51" t="s">
        <v>928</v>
      </c>
      <c r="C236" s="50" t="s">
        <v>52</v>
      </c>
      <c r="D236" s="52" t="s">
        <v>929</v>
      </c>
      <c r="E236" s="52" t="s">
        <v>54</v>
      </c>
      <c r="F236" s="20" t="s">
        <v>1109</v>
      </c>
      <c r="G236" s="26">
        <v>0</v>
      </c>
      <c r="H236" s="26">
        <v>1</v>
      </c>
      <c r="I236" s="26">
        <v>2</v>
      </c>
      <c r="J236" s="20" t="s">
        <v>1106</v>
      </c>
      <c r="K236" s="84">
        <v>1</v>
      </c>
      <c r="L236" s="45" t="s">
        <v>930</v>
      </c>
      <c r="M236" s="45">
        <v>1</v>
      </c>
      <c r="N236" s="45">
        <v>3</v>
      </c>
      <c r="O236" s="26">
        <v>118</v>
      </c>
      <c r="P236" s="26" t="s">
        <v>31</v>
      </c>
      <c r="Q236" s="26">
        <v>2</v>
      </c>
      <c r="R236" s="26">
        <v>1</v>
      </c>
      <c r="S236" s="46">
        <v>0</v>
      </c>
      <c r="T236" s="26">
        <v>0</v>
      </c>
      <c r="U236" s="26">
        <v>0</v>
      </c>
      <c r="V236" s="26">
        <v>1</v>
      </c>
      <c r="W236" s="26">
        <v>0</v>
      </c>
      <c r="X236" s="26">
        <v>1</v>
      </c>
      <c r="Y236" s="26">
        <v>0</v>
      </c>
      <c r="Z236" s="26">
        <v>0</v>
      </c>
      <c r="AA236" s="20">
        <v>0</v>
      </c>
      <c r="AB236" s="26">
        <v>1</v>
      </c>
      <c r="AC236" s="26" t="s">
        <v>931</v>
      </c>
      <c r="AD236" s="20">
        <v>3.5</v>
      </c>
      <c r="AE236" s="26">
        <v>3</v>
      </c>
      <c r="AF236" s="26" t="s">
        <v>79</v>
      </c>
      <c r="AG236" s="26">
        <v>1</v>
      </c>
      <c r="AH236" s="26" t="s">
        <v>465</v>
      </c>
      <c r="AI236" s="26">
        <v>30</v>
      </c>
      <c r="AJ236" s="27">
        <v>80</v>
      </c>
      <c r="AK236" s="27">
        <v>43</v>
      </c>
      <c r="AL236" s="27">
        <v>66</v>
      </c>
      <c r="AM236" s="27">
        <v>77</v>
      </c>
      <c r="AN236" s="27">
        <v>24</v>
      </c>
      <c r="AO236" s="47">
        <v>30.22</v>
      </c>
      <c r="AP236" s="26">
        <v>0</v>
      </c>
      <c r="AQ236" s="26">
        <v>0</v>
      </c>
      <c r="AR236" s="26">
        <v>0</v>
      </c>
      <c r="AS236" s="26">
        <v>0</v>
      </c>
      <c r="AT236" s="26">
        <v>0</v>
      </c>
      <c r="AU236" s="26">
        <v>1</v>
      </c>
      <c r="AV236" s="26">
        <v>1</v>
      </c>
      <c r="AW236" s="26">
        <v>1</v>
      </c>
      <c r="AX236" s="26">
        <v>1</v>
      </c>
      <c r="AY236" s="34" t="s">
        <v>932</v>
      </c>
      <c r="AZ236" s="35" t="s">
        <v>933</v>
      </c>
      <c r="BA236" s="54" t="s">
        <v>83</v>
      </c>
      <c r="BB236" s="35" t="s">
        <v>934</v>
      </c>
      <c r="BC236" s="35"/>
      <c r="BD236" s="17">
        <v>3</v>
      </c>
      <c r="BE236" s="17">
        <v>7</v>
      </c>
      <c r="BF236" s="17">
        <v>0</v>
      </c>
      <c r="BG236" s="17">
        <v>0</v>
      </c>
      <c r="BH236" s="17">
        <v>1</v>
      </c>
      <c r="BI236" s="17">
        <v>0</v>
      </c>
      <c r="BJ236" s="17">
        <v>0.89</v>
      </c>
      <c r="BK236" s="17">
        <v>0.89</v>
      </c>
      <c r="BL236" s="35" t="s">
        <v>41</v>
      </c>
      <c r="BM236" s="17">
        <v>5</v>
      </c>
      <c r="BN236" s="17"/>
      <c r="BO236" s="17"/>
      <c r="BP236" s="17"/>
      <c r="BQ236" s="17"/>
      <c r="BR236" s="36"/>
      <c r="BS236" s="36"/>
      <c r="BT236" s="17"/>
      <c r="BU236" s="17">
        <v>4.47</v>
      </c>
      <c r="BV236" s="17">
        <v>1.46</v>
      </c>
      <c r="BW236" s="17"/>
      <c r="BX236" s="17">
        <v>59</v>
      </c>
      <c r="BY236" s="17">
        <v>5.0999999999999996</v>
      </c>
      <c r="BZ236" s="17">
        <v>1.36</v>
      </c>
      <c r="CA236" s="17"/>
      <c r="CB236" s="17">
        <v>59</v>
      </c>
      <c r="CC236" s="17">
        <v>1</v>
      </c>
      <c r="CD236" s="37">
        <f>(BY236-BU236)/SQRT((((CB236-1)*BZ236^2)+((BX236-1)*BV236^2))/((CB236+BX236)-2))</f>
        <v>0.44652784847248761</v>
      </c>
      <c r="CE236" s="17">
        <v>118</v>
      </c>
      <c r="CF236" s="22">
        <f t="shared" si="32"/>
        <v>0.44652784847248761</v>
      </c>
      <c r="CG236" s="22">
        <f t="shared" si="33"/>
        <v>0.47331857274463801</v>
      </c>
      <c r="CH236" s="35"/>
      <c r="CI236" s="22">
        <f t="shared" si="36"/>
        <v>3.4743165760429955E-2</v>
      </c>
      <c r="CJ236" s="37">
        <f t="shared" si="34"/>
        <v>3.4534755287316844E-2</v>
      </c>
    </row>
    <row r="237" spans="1:88" s="150" customFormat="1" x14ac:dyDescent="0.35">
      <c r="A237" s="50" t="s">
        <v>935</v>
      </c>
      <c r="B237" s="51" t="s">
        <v>936</v>
      </c>
      <c r="C237" s="50" t="s">
        <v>52</v>
      </c>
      <c r="D237" s="52" t="s">
        <v>937</v>
      </c>
      <c r="E237" s="52" t="s">
        <v>938</v>
      </c>
      <c r="F237" s="20" t="s">
        <v>1109</v>
      </c>
      <c r="G237" s="26">
        <v>0</v>
      </c>
      <c r="H237" s="26">
        <v>1</v>
      </c>
      <c r="I237" s="26">
        <v>1</v>
      </c>
      <c r="J237" s="20" t="s">
        <v>1107</v>
      </c>
      <c r="K237" s="84">
        <v>0</v>
      </c>
      <c r="L237" s="45" t="s">
        <v>939</v>
      </c>
      <c r="M237" s="45">
        <v>1</v>
      </c>
      <c r="N237" s="45">
        <v>655</v>
      </c>
      <c r="O237" s="26">
        <v>405</v>
      </c>
      <c r="P237" s="26" t="s">
        <v>218</v>
      </c>
      <c r="Q237" s="26">
        <v>2</v>
      </c>
      <c r="R237" s="26">
        <v>1</v>
      </c>
      <c r="S237" s="46">
        <v>0</v>
      </c>
      <c r="T237" s="26">
        <v>0</v>
      </c>
      <c r="U237" s="26">
        <v>0</v>
      </c>
      <c r="V237" s="26">
        <v>0</v>
      </c>
      <c r="W237" s="26">
        <v>1</v>
      </c>
      <c r="X237" s="26">
        <v>0</v>
      </c>
      <c r="Y237" s="26">
        <v>0</v>
      </c>
      <c r="Z237" s="26">
        <v>1</v>
      </c>
      <c r="AA237" s="20">
        <v>1</v>
      </c>
      <c r="AB237" s="26">
        <v>0</v>
      </c>
      <c r="AC237" s="26" t="s">
        <v>940</v>
      </c>
      <c r="AD237" s="20">
        <v>4</v>
      </c>
      <c r="AE237" s="26">
        <v>2.8</v>
      </c>
      <c r="AF237" s="26" t="s">
        <v>220</v>
      </c>
      <c r="AG237" s="26">
        <v>0</v>
      </c>
      <c r="AH237" s="26" t="s">
        <v>941</v>
      </c>
      <c r="AI237" s="26">
        <v>35</v>
      </c>
      <c r="AJ237" s="26">
        <v>35</v>
      </c>
      <c r="AK237" s="26">
        <v>76</v>
      </c>
      <c r="AL237" s="26">
        <v>66</v>
      </c>
      <c r="AM237" s="26">
        <v>60</v>
      </c>
      <c r="AN237" s="26">
        <v>69</v>
      </c>
      <c r="AO237" s="47"/>
      <c r="AP237" s="26">
        <v>0</v>
      </c>
      <c r="AQ237" s="26">
        <v>0</v>
      </c>
      <c r="AR237" s="26">
        <v>0</v>
      </c>
      <c r="AS237" s="26">
        <v>0</v>
      </c>
      <c r="AT237" s="26">
        <v>0</v>
      </c>
      <c r="AU237" s="26">
        <v>1</v>
      </c>
      <c r="AV237" s="26">
        <v>0</v>
      </c>
      <c r="AW237" s="26">
        <v>1</v>
      </c>
      <c r="AX237" s="26">
        <v>1</v>
      </c>
      <c r="AY237" s="34" t="s">
        <v>942</v>
      </c>
      <c r="AZ237" s="35" t="s">
        <v>91</v>
      </c>
      <c r="BA237" s="25" t="s">
        <v>183</v>
      </c>
      <c r="BB237" s="35" t="s">
        <v>46</v>
      </c>
      <c r="BC237" s="35"/>
      <c r="BD237" s="17"/>
      <c r="BE237" s="17">
        <v>5</v>
      </c>
      <c r="BF237" s="17">
        <v>0</v>
      </c>
      <c r="BG237" s="17">
        <v>0</v>
      </c>
      <c r="BH237" s="17">
        <v>1</v>
      </c>
      <c r="BI237" s="17">
        <v>0</v>
      </c>
      <c r="BJ237" s="17">
        <v>0.84</v>
      </c>
      <c r="BK237" s="17">
        <v>0.84</v>
      </c>
      <c r="BL237" s="35" t="s">
        <v>41</v>
      </c>
      <c r="BM237" s="17">
        <v>659</v>
      </c>
      <c r="BN237" s="17"/>
      <c r="BO237" s="17"/>
      <c r="BP237" s="17"/>
      <c r="BQ237" s="17"/>
      <c r="BR237" s="36">
        <v>47.6</v>
      </c>
      <c r="BS237" s="36">
        <v>1397</v>
      </c>
      <c r="BT237" s="17"/>
      <c r="BU237" s="17"/>
      <c r="BV237" s="17"/>
      <c r="BW237" s="17"/>
      <c r="BX237" s="17">
        <v>202</v>
      </c>
      <c r="BY237" s="17"/>
      <c r="BZ237" s="17"/>
      <c r="CA237" s="17"/>
      <c r="CB237" s="17">
        <v>203</v>
      </c>
      <c r="CC237" s="17">
        <v>1</v>
      </c>
      <c r="CD237" s="37">
        <f>2*SQRT(BR237/CE237)</f>
        <v>0.68565549424628947</v>
      </c>
      <c r="CE237" s="17">
        <v>405</v>
      </c>
      <c r="CF237" s="22">
        <f t="shared" si="32"/>
        <v>0.68565549424628947</v>
      </c>
      <c r="CG237" s="22">
        <f t="shared" si="33"/>
        <v>0.74811147691570956</v>
      </c>
      <c r="CH237" s="35"/>
      <c r="CI237" s="22">
        <f t="shared" si="36"/>
        <v>1.045700275325971E-2</v>
      </c>
      <c r="CJ237" s="37">
        <f t="shared" si="34"/>
        <v>1.0751089020597007E-2</v>
      </c>
    </row>
    <row r="238" spans="1:88" s="150" customFormat="1" x14ac:dyDescent="0.35">
      <c r="A238" s="50" t="s">
        <v>943</v>
      </c>
      <c r="B238" s="51" t="s">
        <v>944</v>
      </c>
      <c r="C238" s="50" t="s">
        <v>283</v>
      </c>
      <c r="D238" s="52" t="s">
        <v>945</v>
      </c>
      <c r="E238" s="52" t="s">
        <v>946</v>
      </c>
      <c r="F238" s="20" t="s">
        <v>1110</v>
      </c>
      <c r="G238" s="26">
        <v>0</v>
      </c>
      <c r="H238" s="26">
        <v>1</v>
      </c>
      <c r="I238" s="26">
        <v>1</v>
      </c>
      <c r="J238" s="20" t="s">
        <v>1106</v>
      </c>
      <c r="K238" s="84">
        <v>1</v>
      </c>
      <c r="L238" s="45" t="s">
        <v>947</v>
      </c>
      <c r="M238" s="77">
        <v>1</v>
      </c>
      <c r="N238" s="77"/>
      <c r="O238" s="26">
        <v>104</v>
      </c>
      <c r="P238" s="26" t="s">
        <v>147</v>
      </c>
      <c r="Q238" s="26">
        <v>2</v>
      </c>
      <c r="R238" s="26">
        <v>1</v>
      </c>
      <c r="S238" s="46">
        <v>0</v>
      </c>
      <c r="T238" s="26">
        <v>0</v>
      </c>
      <c r="U238" s="26">
        <v>0</v>
      </c>
      <c r="V238" s="26">
        <v>0</v>
      </c>
      <c r="W238" s="26">
        <v>1</v>
      </c>
      <c r="X238" s="26">
        <v>0</v>
      </c>
      <c r="Y238" s="26">
        <v>0</v>
      </c>
      <c r="Z238" s="26">
        <v>1</v>
      </c>
      <c r="AA238" s="20">
        <v>0</v>
      </c>
      <c r="AB238" s="26">
        <v>0</v>
      </c>
      <c r="AC238" s="26" t="s">
        <v>948</v>
      </c>
      <c r="AD238" s="20">
        <v>2.4</v>
      </c>
      <c r="AE238" s="26">
        <v>2.7</v>
      </c>
      <c r="AF238" s="26" t="s">
        <v>949</v>
      </c>
      <c r="AG238" s="26">
        <v>1</v>
      </c>
      <c r="AH238" s="26" t="s">
        <v>35</v>
      </c>
      <c r="AI238" s="26">
        <v>46</v>
      </c>
      <c r="AJ238" s="26">
        <v>40</v>
      </c>
      <c r="AK238" s="26">
        <v>60</v>
      </c>
      <c r="AL238" s="26">
        <v>62</v>
      </c>
      <c r="AM238" s="26">
        <v>50</v>
      </c>
      <c r="AN238" s="26">
        <v>68</v>
      </c>
      <c r="AO238" s="47"/>
      <c r="AP238" s="26">
        <v>0</v>
      </c>
      <c r="AQ238" s="26">
        <v>0</v>
      </c>
      <c r="AR238" s="26">
        <v>0</v>
      </c>
      <c r="AS238" s="26">
        <v>0</v>
      </c>
      <c r="AT238" s="26">
        <v>0</v>
      </c>
      <c r="AU238" s="26">
        <v>1</v>
      </c>
      <c r="AV238" s="26">
        <v>0</v>
      </c>
      <c r="AW238" s="26">
        <v>1</v>
      </c>
      <c r="AX238" s="26">
        <v>1</v>
      </c>
      <c r="AY238" s="34" t="s">
        <v>950</v>
      </c>
      <c r="AZ238" s="25" t="s">
        <v>951</v>
      </c>
      <c r="BA238" s="25" t="s">
        <v>183</v>
      </c>
      <c r="BB238" s="35" t="s">
        <v>952</v>
      </c>
      <c r="BC238" s="35" t="s">
        <v>953</v>
      </c>
      <c r="BD238" s="17">
        <v>6</v>
      </c>
      <c r="BE238" s="17">
        <v>7</v>
      </c>
      <c r="BF238" s="17">
        <v>1</v>
      </c>
      <c r="BG238" s="17">
        <v>1</v>
      </c>
      <c r="BH238" s="17">
        <v>0</v>
      </c>
      <c r="BI238" s="17">
        <v>0</v>
      </c>
      <c r="BJ238" s="17">
        <v>0.91</v>
      </c>
      <c r="BK238" s="17">
        <v>0.91</v>
      </c>
      <c r="BL238" s="35" t="s">
        <v>41</v>
      </c>
      <c r="BM238" s="17" t="s">
        <v>954</v>
      </c>
      <c r="BN238" s="17"/>
      <c r="BO238" s="17"/>
      <c r="BP238" s="17"/>
      <c r="BQ238" s="17"/>
      <c r="BR238" s="36"/>
      <c r="BS238" s="36"/>
      <c r="BT238" s="17"/>
      <c r="BU238" s="37">
        <f>(-0.07+0.085)/2</f>
        <v>7.4999999999999997E-3</v>
      </c>
      <c r="BV238" s="17">
        <f>(0.69+1.12)/2</f>
        <v>0.90500000000000003</v>
      </c>
      <c r="BW238" s="17"/>
      <c r="BX238" s="17">
        <v>52</v>
      </c>
      <c r="BY238" s="17">
        <f>(1+0.58)/2</f>
        <v>0.79</v>
      </c>
      <c r="BZ238" s="17">
        <f>(0.79+0.89)/2</f>
        <v>0.84000000000000008</v>
      </c>
      <c r="CA238" s="17"/>
      <c r="CB238" s="17">
        <v>52</v>
      </c>
      <c r="CC238" s="17">
        <v>1</v>
      </c>
      <c r="CD238" s="37">
        <f>(BY238-BU238)/SQRT((((CB238-1)*BZ238^2)+((BX238-1)*BV238^2))/((CB238+BX238)-2))</f>
        <v>0.89622659177019259</v>
      </c>
      <c r="CE238" s="17">
        <v>104</v>
      </c>
      <c r="CF238" s="22">
        <f t="shared" si="32"/>
        <v>0.89622659177019259</v>
      </c>
      <c r="CG238" s="22">
        <f t="shared" si="33"/>
        <v>0.93950074641965764</v>
      </c>
      <c r="CH238" s="35"/>
      <c r="CI238" s="22">
        <f t="shared" si="36"/>
        <v>4.2323183191326996E-2</v>
      </c>
      <c r="CJ238" s="37">
        <f t="shared" si="34"/>
        <v>4.1072963469003236E-2</v>
      </c>
    </row>
    <row r="239" spans="1:88" s="150" customFormat="1" x14ac:dyDescent="0.35">
      <c r="A239" s="50" t="s">
        <v>955</v>
      </c>
      <c r="B239" s="51" t="s">
        <v>956</v>
      </c>
      <c r="C239" s="50" t="s">
        <v>52</v>
      </c>
      <c r="D239" s="52" t="s">
        <v>957</v>
      </c>
      <c r="E239" s="52" t="s">
        <v>958</v>
      </c>
      <c r="F239" s="20" t="s">
        <v>1109</v>
      </c>
      <c r="G239" s="26">
        <v>1</v>
      </c>
      <c r="H239" s="26">
        <v>1</v>
      </c>
      <c r="I239" s="26">
        <v>2</v>
      </c>
      <c r="J239" s="20" t="s">
        <v>1111</v>
      </c>
      <c r="K239" s="84">
        <v>0</v>
      </c>
      <c r="L239" s="45" t="s">
        <v>959</v>
      </c>
      <c r="M239" s="77">
        <v>1</v>
      </c>
      <c r="N239" s="77">
        <v>1671</v>
      </c>
      <c r="O239" s="26">
        <v>204</v>
      </c>
      <c r="P239" s="26" t="s">
        <v>31</v>
      </c>
      <c r="Q239" s="26">
        <v>2</v>
      </c>
      <c r="R239" s="26">
        <v>1</v>
      </c>
      <c r="S239" s="46">
        <v>0</v>
      </c>
      <c r="T239" s="26">
        <v>1</v>
      </c>
      <c r="U239" s="26">
        <v>0</v>
      </c>
      <c r="V239" s="26">
        <v>0</v>
      </c>
      <c r="W239" s="26">
        <v>0</v>
      </c>
      <c r="X239" s="26">
        <v>0</v>
      </c>
      <c r="Y239" s="26">
        <v>1</v>
      </c>
      <c r="Z239" s="26">
        <v>0</v>
      </c>
      <c r="AA239" s="18">
        <v>1</v>
      </c>
      <c r="AB239" s="26">
        <v>1</v>
      </c>
      <c r="AC239" s="26" t="s">
        <v>960</v>
      </c>
      <c r="AD239" s="20">
        <v>4.3</v>
      </c>
      <c r="AE239" s="26">
        <v>2.9</v>
      </c>
      <c r="AF239" s="26" t="s">
        <v>58</v>
      </c>
      <c r="AG239" s="26">
        <v>0</v>
      </c>
      <c r="AH239" s="26" t="s">
        <v>941</v>
      </c>
      <c r="AI239" s="26">
        <v>35</v>
      </c>
      <c r="AJ239" s="26">
        <v>35</v>
      </c>
      <c r="AK239" s="26">
        <v>76</v>
      </c>
      <c r="AL239" s="26">
        <v>66</v>
      </c>
      <c r="AM239" s="26">
        <v>60</v>
      </c>
      <c r="AN239" s="26">
        <v>69</v>
      </c>
      <c r="AO239" s="47">
        <v>24</v>
      </c>
      <c r="AP239" s="28">
        <v>0</v>
      </c>
      <c r="AQ239" s="26">
        <v>0</v>
      </c>
      <c r="AR239" s="26">
        <v>1</v>
      </c>
      <c r="AS239" s="26">
        <v>0</v>
      </c>
      <c r="AT239" s="26">
        <v>0</v>
      </c>
      <c r="AU239" s="26">
        <v>0</v>
      </c>
      <c r="AV239" s="26">
        <v>1</v>
      </c>
      <c r="AW239" s="26">
        <v>1</v>
      </c>
      <c r="AX239" s="26">
        <v>1</v>
      </c>
      <c r="AY239" s="34" t="s">
        <v>962</v>
      </c>
      <c r="AZ239" s="25" t="s">
        <v>963</v>
      </c>
      <c r="BA239" s="25" t="s">
        <v>61</v>
      </c>
      <c r="BB239" s="35" t="s">
        <v>961</v>
      </c>
      <c r="BC239" s="35" t="s">
        <v>964</v>
      </c>
      <c r="BD239" s="17">
        <v>5</v>
      </c>
      <c r="BE239" s="17">
        <v>7</v>
      </c>
      <c r="BF239" s="17">
        <v>1</v>
      </c>
      <c r="BG239" s="17">
        <v>1</v>
      </c>
      <c r="BH239" s="17">
        <v>0</v>
      </c>
      <c r="BI239" s="17">
        <v>0</v>
      </c>
      <c r="BJ239" s="17">
        <v>0.81</v>
      </c>
      <c r="BK239" s="17">
        <v>0.81</v>
      </c>
      <c r="BL239" s="35" t="s">
        <v>41</v>
      </c>
      <c r="BM239" s="17">
        <v>1672</v>
      </c>
      <c r="BN239" s="17"/>
      <c r="BO239" s="17"/>
      <c r="BP239" s="17">
        <v>12.55</v>
      </c>
      <c r="BQ239" s="17">
        <v>202</v>
      </c>
      <c r="BR239" s="36"/>
      <c r="BS239" s="36"/>
      <c r="BT239" s="17"/>
      <c r="BU239" s="17">
        <v>4.4000000000000004</v>
      </c>
      <c r="BV239" s="17">
        <v>0.48</v>
      </c>
      <c r="BW239" s="17"/>
      <c r="BX239" s="17">
        <v>102</v>
      </c>
      <c r="BY239" s="17">
        <v>6.05</v>
      </c>
      <c r="BZ239" s="17">
        <v>0.34</v>
      </c>
      <c r="CA239" s="17"/>
      <c r="CB239" s="17">
        <v>102</v>
      </c>
      <c r="CC239" s="17">
        <v>1</v>
      </c>
      <c r="CD239" s="37">
        <f>(BP239*SQRT((CB239+BX239)/(CB239*BX239)))</f>
        <v>1.7573515054551523</v>
      </c>
      <c r="CE239" s="17">
        <v>204</v>
      </c>
      <c r="CF239" s="22">
        <f t="shared" si="32"/>
        <v>1.7573515054551523</v>
      </c>
      <c r="CG239" s="22">
        <f t="shared" si="33"/>
        <v>1.9526127838390581</v>
      </c>
      <c r="CH239" s="72"/>
      <c r="CI239" s="37">
        <f t="shared" si="36"/>
        <v>2.7177167435601692E-2</v>
      </c>
      <c r="CJ239" s="37">
        <f t="shared" si="34"/>
        <v>2.83126300861401E-2</v>
      </c>
    </row>
    <row r="240" spans="1:88" s="150" customFormat="1" x14ac:dyDescent="0.35">
      <c r="A240" s="50" t="s">
        <v>965</v>
      </c>
      <c r="B240" s="51" t="s">
        <v>966</v>
      </c>
      <c r="C240" s="50" t="s">
        <v>353</v>
      </c>
      <c r="D240" s="52" t="s">
        <v>967</v>
      </c>
      <c r="E240" s="52" t="s">
        <v>364</v>
      </c>
      <c r="F240" s="20" t="s">
        <v>1109</v>
      </c>
      <c r="G240" s="26">
        <v>0</v>
      </c>
      <c r="H240" s="26">
        <v>1</v>
      </c>
      <c r="I240" s="26">
        <v>1</v>
      </c>
      <c r="J240" s="20" t="s">
        <v>1106</v>
      </c>
      <c r="K240" s="84">
        <v>1</v>
      </c>
      <c r="L240" s="45" t="s">
        <v>968</v>
      </c>
      <c r="M240" s="77">
        <v>1</v>
      </c>
      <c r="N240" s="77">
        <v>18</v>
      </c>
      <c r="O240" s="26">
        <v>198</v>
      </c>
      <c r="P240" s="26" t="s">
        <v>31</v>
      </c>
      <c r="Q240" s="26">
        <v>2</v>
      </c>
      <c r="R240" s="26">
        <v>1</v>
      </c>
      <c r="S240" s="46">
        <v>0</v>
      </c>
      <c r="T240" s="26">
        <v>0</v>
      </c>
      <c r="U240" s="26">
        <v>1</v>
      </c>
      <c r="V240" s="26">
        <v>0</v>
      </c>
      <c r="W240" s="26">
        <v>0</v>
      </c>
      <c r="X240" s="26">
        <v>0</v>
      </c>
      <c r="Y240" s="26">
        <v>0</v>
      </c>
      <c r="Z240" s="26">
        <v>1</v>
      </c>
      <c r="AA240" s="20">
        <v>0</v>
      </c>
      <c r="AB240" s="26">
        <v>0</v>
      </c>
      <c r="AC240" s="26" t="s">
        <v>969</v>
      </c>
      <c r="AD240" s="20">
        <v>3.1</v>
      </c>
      <c r="AE240" s="26">
        <v>3.4</v>
      </c>
      <c r="AF240" s="26" t="s">
        <v>970</v>
      </c>
      <c r="AG240" s="26">
        <v>1</v>
      </c>
      <c r="AH240" s="26" t="s">
        <v>35</v>
      </c>
      <c r="AI240" s="26">
        <v>46</v>
      </c>
      <c r="AJ240" s="26">
        <v>40</v>
      </c>
      <c r="AK240" s="26">
        <v>60</v>
      </c>
      <c r="AL240" s="26">
        <v>62</v>
      </c>
      <c r="AM240" s="26">
        <v>50</v>
      </c>
      <c r="AN240" s="26">
        <v>68</v>
      </c>
      <c r="AO240" s="47">
        <v>36.659999999999997</v>
      </c>
      <c r="AP240" s="26">
        <v>0</v>
      </c>
      <c r="AQ240" s="26">
        <v>1</v>
      </c>
      <c r="AR240" s="26">
        <v>0</v>
      </c>
      <c r="AS240" s="26">
        <v>1</v>
      </c>
      <c r="AT240" s="26">
        <v>0</v>
      </c>
      <c r="AU240" s="26">
        <v>0</v>
      </c>
      <c r="AV240" s="26">
        <v>0</v>
      </c>
      <c r="AW240" s="26">
        <v>1</v>
      </c>
      <c r="AX240" s="26">
        <v>1</v>
      </c>
      <c r="AY240" s="34" t="s">
        <v>971</v>
      </c>
      <c r="AZ240" s="25" t="s">
        <v>972</v>
      </c>
      <c r="BA240" s="25" t="s">
        <v>141</v>
      </c>
      <c r="BB240" s="35" t="s">
        <v>39</v>
      </c>
      <c r="BC240" s="35" t="s">
        <v>973</v>
      </c>
      <c r="BD240" s="17">
        <v>5</v>
      </c>
      <c r="BE240" s="17">
        <v>7</v>
      </c>
      <c r="BF240" s="17">
        <v>1</v>
      </c>
      <c r="BG240" s="17">
        <v>1</v>
      </c>
      <c r="BH240" s="17">
        <v>0</v>
      </c>
      <c r="BI240" s="17">
        <v>0</v>
      </c>
      <c r="BJ240" s="17">
        <v>0.93</v>
      </c>
      <c r="BK240" s="17">
        <v>0.93</v>
      </c>
      <c r="BL240" s="35" t="s">
        <v>41</v>
      </c>
      <c r="BM240" s="17">
        <v>37</v>
      </c>
      <c r="BN240" s="17"/>
      <c r="BO240" s="17"/>
      <c r="BP240" s="17"/>
      <c r="BQ240" s="17"/>
      <c r="BR240" s="36"/>
      <c r="BS240" s="36"/>
      <c r="BT240" s="17"/>
      <c r="BU240" s="17">
        <v>5.16</v>
      </c>
      <c r="BV240" s="17">
        <v>1.35</v>
      </c>
      <c r="BW240" s="17"/>
      <c r="BX240" s="17">
        <v>94</v>
      </c>
      <c r="BY240" s="17">
        <v>4.95</v>
      </c>
      <c r="BZ240" s="17">
        <v>1.3</v>
      </c>
      <c r="CA240" s="17"/>
      <c r="CB240" s="17">
        <v>104</v>
      </c>
      <c r="CC240" s="17">
        <v>0</v>
      </c>
      <c r="CD240" s="37">
        <f t="shared" ref="CD240:CD245" si="38">(BY240-BU240)/SQRT((((CB240-1)*BZ240^2)+((BX240-1)*BV240^2))/((CB240+BX240)-2))</f>
        <v>-0.1586150722079282</v>
      </c>
      <c r="CE240" s="17">
        <v>198</v>
      </c>
      <c r="CF240" s="22">
        <f t="shared" si="32"/>
        <v>-0.1586150722079282</v>
      </c>
      <c r="CG240" s="22">
        <f t="shared" si="33"/>
        <v>-0.16447616793579992</v>
      </c>
      <c r="CH240" s="72"/>
      <c r="CI240" s="37">
        <f t="shared" ref="CI240:CI271" si="39">((BX240+CB240)/(BX240*CB240))+((CF240^2)/(2*(BX240+CB240)))</f>
        <v>2.0317214662299601E-2</v>
      </c>
      <c r="CJ240" s="37">
        <f t="shared" si="34"/>
        <v>2.03148870348265E-2</v>
      </c>
    </row>
    <row r="241" spans="1:88" s="150" customFormat="1" x14ac:dyDescent="0.35">
      <c r="A241" s="29" t="s">
        <v>974</v>
      </c>
      <c r="B241" s="48" t="s">
        <v>975</v>
      </c>
      <c r="C241" s="29" t="s">
        <v>214</v>
      </c>
      <c r="D241" s="30" t="s">
        <v>976</v>
      </c>
      <c r="E241" s="30" t="s">
        <v>415</v>
      </c>
      <c r="F241" s="11" t="s">
        <v>1109</v>
      </c>
      <c r="G241" s="27">
        <v>0</v>
      </c>
      <c r="H241" s="27">
        <v>1</v>
      </c>
      <c r="I241" s="27">
        <v>1</v>
      </c>
      <c r="J241" s="11" t="s">
        <v>1107</v>
      </c>
      <c r="K241" s="82">
        <v>0</v>
      </c>
      <c r="L241" s="31" t="s">
        <v>977</v>
      </c>
      <c r="M241" s="57">
        <v>1</v>
      </c>
      <c r="N241" s="57">
        <v>273</v>
      </c>
      <c r="O241" s="27">
        <v>366</v>
      </c>
      <c r="P241" s="27" t="s">
        <v>31</v>
      </c>
      <c r="Q241" s="27">
        <v>3</v>
      </c>
      <c r="R241" s="27">
        <v>1</v>
      </c>
      <c r="S241" s="32">
        <v>0</v>
      </c>
      <c r="T241" s="27">
        <v>0</v>
      </c>
      <c r="U241" s="27">
        <v>0</v>
      </c>
      <c r="V241" s="27">
        <v>0</v>
      </c>
      <c r="W241" s="27">
        <v>1</v>
      </c>
      <c r="X241" s="27">
        <v>0</v>
      </c>
      <c r="Y241" s="27">
        <v>0</v>
      </c>
      <c r="Z241" s="27">
        <v>1</v>
      </c>
      <c r="AA241" s="11">
        <v>1</v>
      </c>
      <c r="AB241" s="27">
        <v>0</v>
      </c>
      <c r="AC241" s="27" t="s">
        <v>806</v>
      </c>
      <c r="AD241" s="11">
        <v>3.7</v>
      </c>
      <c r="AE241" s="27">
        <v>2.9</v>
      </c>
      <c r="AF241" s="27" t="s">
        <v>650</v>
      </c>
      <c r="AG241" s="27">
        <v>1</v>
      </c>
      <c r="AH241" s="27" t="s">
        <v>723</v>
      </c>
      <c r="AI241" s="27">
        <v>53</v>
      </c>
      <c r="AJ241" s="27">
        <v>38</v>
      </c>
      <c r="AK241" s="27">
        <v>100</v>
      </c>
      <c r="AL241" s="27">
        <v>14</v>
      </c>
      <c r="AM241" s="27">
        <v>67</v>
      </c>
      <c r="AN241" s="27">
        <v>68</v>
      </c>
      <c r="AO241" s="33">
        <v>19.5</v>
      </c>
      <c r="AP241" s="27">
        <v>0</v>
      </c>
      <c r="AQ241" s="27">
        <v>0</v>
      </c>
      <c r="AR241" s="27">
        <v>0</v>
      </c>
      <c r="AS241" s="27">
        <v>0</v>
      </c>
      <c r="AT241" s="27">
        <v>0</v>
      </c>
      <c r="AU241" s="27">
        <v>1</v>
      </c>
      <c r="AV241" s="27">
        <v>0</v>
      </c>
      <c r="AW241" s="27">
        <v>1</v>
      </c>
      <c r="AX241" s="27">
        <v>1</v>
      </c>
      <c r="AY241" s="34" t="s">
        <v>979</v>
      </c>
      <c r="AZ241" s="25" t="s">
        <v>980</v>
      </c>
      <c r="BA241" s="25" t="s">
        <v>183</v>
      </c>
      <c r="BB241" s="35" t="s">
        <v>978</v>
      </c>
      <c r="BC241" s="35" t="s">
        <v>981</v>
      </c>
      <c r="BD241" s="17">
        <v>4</v>
      </c>
      <c r="BE241" s="17">
        <v>7</v>
      </c>
      <c r="BF241" s="17">
        <v>1</v>
      </c>
      <c r="BG241" s="17">
        <v>1</v>
      </c>
      <c r="BH241" s="17">
        <v>0</v>
      </c>
      <c r="BI241" s="17">
        <v>0</v>
      </c>
      <c r="BJ241" s="17">
        <v>0.9</v>
      </c>
      <c r="BK241" s="17">
        <v>0.9</v>
      </c>
      <c r="BL241" s="35" t="s">
        <v>41</v>
      </c>
      <c r="BM241" s="17">
        <v>276</v>
      </c>
      <c r="BN241" s="17"/>
      <c r="BO241" s="17"/>
      <c r="BP241" s="17"/>
      <c r="BQ241" s="17"/>
      <c r="BR241" s="36"/>
      <c r="BS241" s="36"/>
      <c r="BT241" s="17"/>
      <c r="BU241" s="17">
        <v>3.59</v>
      </c>
      <c r="BV241" s="17">
        <v>1.47</v>
      </c>
      <c r="BW241" s="17"/>
      <c r="BX241" s="17">
        <v>122</v>
      </c>
      <c r="BY241" s="17">
        <v>4.5</v>
      </c>
      <c r="BZ241" s="17">
        <v>1.3</v>
      </c>
      <c r="CA241" s="17"/>
      <c r="CB241" s="17">
        <v>122</v>
      </c>
      <c r="CC241" s="17">
        <v>1</v>
      </c>
      <c r="CD241" s="37">
        <f t="shared" si="38"/>
        <v>0.65580582469268234</v>
      </c>
      <c r="CE241" s="17">
        <v>244</v>
      </c>
      <c r="CF241" s="22">
        <f t="shared" si="32"/>
        <v>0.65580582469268234</v>
      </c>
      <c r="CG241" s="22">
        <f t="shared" si="33"/>
        <v>0.69128003627798995</v>
      </c>
      <c r="CH241" s="72"/>
      <c r="CI241" s="33">
        <f t="shared" si="39"/>
        <v>1.7274756720698461E-2</v>
      </c>
      <c r="CJ241" s="37">
        <f t="shared" si="34"/>
        <v>1.7393166657587847E-2</v>
      </c>
    </row>
    <row r="242" spans="1:88" s="150" customFormat="1" x14ac:dyDescent="0.35">
      <c r="A242" s="29" t="s">
        <v>974</v>
      </c>
      <c r="B242" s="48" t="s">
        <v>975</v>
      </c>
      <c r="C242" s="29" t="s">
        <v>214</v>
      </c>
      <c r="D242" s="30" t="s">
        <v>976</v>
      </c>
      <c r="E242" s="30" t="s">
        <v>415</v>
      </c>
      <c r="F242" s="12" t="s">
        <v>1109</v>
      </c>
      <c r="G242" s="27">
        <v>0</v>
      </c>
      <c r="H242" s="27">
        <v>1</v>
      </c>
      <c r="I242" s="27">
        <v>1</v>
      </c>
      <c r="J242" s="11" t="s">
        <v>1107</v>
      </c>
      <c r="K242" s="82">
        <v>0</v>
      </c>
      <c r="L242" s="31" t="s">
        <v>977</v>
      </c>
      <c r="M242" s="57">
        <v>1</v>
      </c>
      <c r="N242" s="57">
        <v>273</v>
      </c>
      <c r="O242" s="27">
        <v>366</v>
      </c>
      <c r="P242" s="27" t="s">
        <v>31</v>
      </c>
      <c r="Q242" s="27">
        <v>3</v>
      </c>
      <c r="R242" s="27">
        <v>1</v>
      </c>
      <c r="S242" s="32">
        <v>0</v>
      </c>
      <c r="T242" s="27">
        <v>0</v>
      </c>
      <c r="U242" s="27">
        <v>0</v>
      </c>
      <c r="V242" s="27">
        <v>0</v>
      </c>
      <c r="W242" s="27">
        <v>1</v>
      </c>
      <c r="X242" s="27">
        <v>0</v>
      </c>
      <c r="Y242" s="27">
        <v>0</v>
      </c>
      <c r="Z242" s="27">
        <v>1</v>
      </c>
      <c r="AA242" s="12">
        <v>1</v>
      </c>
      <c r="AB242" s="17">
        <v>0</v>
      </c>
      <c r="AC242" s="27" t="s">
        <v>806</v>
      </c>
      <c r="AD242" s="12">
        <v>3.7</v>
      </c>
      <c r="AE242" s="27">
        <v>2.9</v>
      </c>
      <c r="AF242" s="27" t="s">
        <v>650</v>
      </c>
      <c r="AG242" s="27">
        <v>1</v>
      </c>
      <c r="AH242" s="27" t="s">
        <v>723</v>
      </c>
      <c r="AI242" s="27">
        <v>53</v>
      </c>
      <c r="AJ242" s="27">
        <v>38</v>
      </c>
      <c r="AK242" s="27">
        <v>100</v>
      </c>
      <c r="AL242" s="27">
        <v>14</v>
      </c>
      <c r="AM242" s="27">
        <v>67</v>
      </c>
      <c r="AN242" s="27">
        <v>68</v>
      </c>
      <c r="AO242" s="33">
        <v>19.5</v>
      </c>
      <c r="AP242" s="27">
        <v>0</v>
      </c>
      <c r="AQ242" s="27">
        <v>0</v>
      </c>
      <c r="AR242" s="27">
        <v>0</v>
      </c>
      <c r="AS242" s="27">
        <v>0</v>
      </c>
      <c r="AT242" s="27">
        <v>0</v>
      </c>
      <c r="AU242" s="27">
        <v>1</v>
      </c>
      <c r="AV242" s="27">
        <v>0</v>
      </c>
      <c r="AW242" s="27">
        <v>1</v>
      </c>
      <c r="AX242" s="27">
        <v>1</v>
      </c>
      <c r="AY242" s="34" t="s">
        <v>982</v>
      </c>
      <c r="AZ242" s="25" t="s">
        <v>980</v>
      </c>
      <c r="BA242" s="25" t="s">
        <v>183</v>
      </c>
      <c r="BB242" s="35" t="s">
        <v>46</v>
      </c>
      <c r="BC242" s="35" t="s">
        <v>983</v>
      </c>
      <c r="BD242" s="17">
        <v>3</v>
      </c>
      <c r="BE242" s="17">
        <v>7</v>
      </c>
      <c r="BF242" s="17">
        <v>0</v>
      </c>
      <c r="BG242" s="17">
        <v>0</v>
      </c>
      <c r="BH242" s="17">
        <v>1</v>
      </c>
      <c r="BI242" s="17">
        <v>0</v>
      </c>
      <c r="BJ242" s="17">
        <v>0.83</v>
      </c>
      <c r="BK242" s="17">
        <v>0.83</v>
      </c>
      <c r="BL242" s="35" t="s">
        <v>41</v>
      </c>
      <c r="BM242" s="17">
        <v>276</v>
      </c>
      <c r="BN242" s="17"/>
      <c r="BO242" s="17"/>
      <c r="BP242" s="17"/>
      <c r="BQ242" s="17"/>
      <c r="BR242" s="36"/>
      <c r="BS242" s="36"/>
      <c r="BT242" s="17"/>
      <c r="BU242" s="17">
        <v>3.39</v>
      </c>
      <c r="BV242" s="17">
        <v>1.42</v>
      </c>
      <c r="BW242" s="17"/>
      <c r="BX242" s="17">
        <v>122</v>
      </c>
      <c r="BY242" s="17">
        <v>3.93</v>
      </c>
      <c r="BZ242" s="17">
        <v>1.35</v>
      </c>
      <c r="CA242" s="17"/>
      <c r="CB242" s="17">
        <v>122</v>
      </c>
      <c r="CC242" s="17">
        <v>1</v>
      </c>
      <c r="CD242" s="37">
        <f t="shared" si="38"/>
        <v>0.38976726174162196</v>
      </c>
      <c r="CE242" s="17">
        <v>244</v>
      </c>
      <c r="CF242" s="22">
        <f t="shared" si="32"/>
        <v>0.38976726174162196</v>
      </c>
      <c r="CG242" s="22">
        <f t="shared" si="33"/>
        <v>0.42782515053277081</v>
      </c>
      <c r="CH242" s="72"/>
      <c r="CI242" s="37">
        <f t="shared" si="39"/>
        <v>1.6704751062142545E-2</v>
      </c>
      <c r="CJ242" s="37">
        <f t="shared" si="34"/>
        <v>1.6857996834697998E-2</v>
      </c>
    </row>
    <row r="243" spans="1:88" s="150" customFormat="1" x14ac:dyDescent="0.35">
      <c r="A243" s="29" t="s">
        <v>974</v>
      </c>
      <c r="B243" s="48" t="s">
        <v>975</v>
      </c>
      <c r="C243" s="29" t="s">
        <v>214</v>
      </c>
      <c r="D243" s="30" t="s">
        <v>976</v>
      </c>
      <c r="E243" s="30" t="s">
        <v>415</v>
      </c>
      <c r="F243" s="11" t="s">
        <v>1109</v>
      </c>
      <c r="G243" s="27">
        <v>0</v>
      </c>
      <c r="H243" s="27">
        <v>1</v>
      </c>
      <c r="I243" s="27">
        <v>1</v>
      </c>
      <c r="J243" s="11" t="s">
        <v>1107</v>
      </c>
      <c r="K243" s="82">
        <v>0</v>
      </c>
      <c r="L243" s="31" t="s">
        <v>977</v>
      </c>
      <c r="M243" s="57">
        <v>1</v>
      </c>
      <c r="N243" s="57">
        <v>273</v>
      </c>
      <c r="O243" s="27">
        <v>366</v>
      </c>
      <c r="P243" s="27" t="s">
        <v>31</v>
      </c>
      <c r="Q243" s="27">
        <v>3</v>
      </c>
      <c r="R243" s="27">
        <v>2</v>
      </c>
      <c r="S243" s="32">
        <v>0</v>
      </c>
      <c r="T243" s="27">
        <v>0</v>
      </c>
      <c r="U243" s="27">
        <v>0</v>
      </c>
      <c r="V243" s="27">
        <v>1</v>
      </c>
      <c r="W243" s="27">
        <v>0</v>
      </c>
      <c r="X243" s="27">
        <v>0</v>
      </c>
      <c r="Y243" s="27">
        <v>0</v>
      </c>
      <c r="Z243" s="27">
        <v>1</v>
      </c>
      <c r="AA243" s="12">
        <v>1</v>
      </c>
      <c r="AB243" s="27">
        <v>0</v>
      </c>
      <c r="AC243" s="27" t="s">
        <v>806</v>
      </c>
      <c r="AD243" s="11">
        <v>3.7</v>
      </c>
      <c r="AE243" s="27">
        <v>2.9</v>
      </c>
      <c r="AF243" s="27" t="s">
        <v>650</v>
      </c>
      <c r="AG243" s="27">
        <v>1</v>
      </c>
      <c r="AH243" s="27" t="s">
        <v>723</v>
      </c>
      <c r="AI243" s="27">
        <v>53</v>
      </c>
      <c r="AJ243" s="27">
        <v>38</v>
      </c>
      <c r="AK243" s="27">
        <v>100</v>
      </c>
      <c r="AL243" s="27">
        <v>14</v>
      </c>
      <c r="AM243" s="27">
        <v>67</v>
      </c>
      <c r="AN243" s="27">
        <v>68</v>
      </c>
      <c r="AO243" s="33">
        <v>19.5</v>
      </c>
      <c r="AP243" s="27">
        <v>0</v>
      </c>
      <c r="AQ243" s="27">
        <v>0</v>
      </c>
      <c r="AR243" s="27">
        <v>0</v>
      </c>
      <c r="AS243" s="27">
        <v>0</v>
      </c>
      <c r="AT243" s="27">
        <v>0</v>
      </c>
      <c r="AU243" s="27">
        <v>1</v>
      </c>
      <c r="AV243" s="27">
        <v>0</v>
      </c>
      <c r="AW243" s="27">
        <v>1</v>
      </c>
      <c r="AX243" s="27">
        <v>1</v>
      </c>
      <c r="AY243" s="34" t="s">
        <v>984</v>
      </c>
      <c r="AZ243" s="25" t="s">
        <v>980</v>
      </c>
      <c r="BA243" s="25" t="s">
        <v>83</v>
      </c>
      <c r="BB243" s="35" t="s">
        <v>978</v>
      </c>
      <c r="BC243" s="35" t="s">
        <v>981</v>
      </c>
      <c r="BD243" s="17">
        <v>4</v>
      </c>
      <c r="BE243" s="17">
        <v>7</v>
      </c>
      <c r="BF243" s="17">
        <v>1</v>
      </c>
      <c r="BG243" s="17">
        <v>1</v>
      </c>
      <c r="BH243" s="17">
        <v>0</v>
      </c>
      <c r="BI243" s="17">
        <v>0</v>
      </c>
      <c r="BJ243" s="17">
        <v>0.9</v>
      </c>
      <c r="BK243" s="17">
        <v>0.9</v>
      </c>
      <c r="BL243" s="35" t="s">
        <v>41</v>
      </c>
      <c r="BM243" s="17">
        <v>276</v>
      </c>
      <c r="BN243" s="17"/>
      <c r="BO243" s="17"/>
      <c r="BP243" s="17"/>
      <c r="BQ243" s="17"/>
      <c r="BR243" s="36"/>
      <c r="BS243" s="36"/>
      <c r="BT243" s="17"/>
      <c r="BU243" s="17">
        <v>3.59</v>
      </c>
      <c r="BV243" s="17">
        <v>1.47</v>
      </c>
      <c r="BW243" s="17"/>
      <c r="BX243" s="17">
        <v>122</v>
      </c>
      <c r="BY243" s="17">
        <v>4.72</v>
      </c>
      <c r="BZ243" s="17">
        <v>1.35</v>
      </c>
      <c r="CA243" s="17"/>
      <c r="CB243" s="17">
        <v>122</v>
      </c>
      <c r="CC243" s="17">
        <v>1</v>
      </c>
      <c r="CD243" s="37">
        <f t="shared" si="38"/>
        <v>0.80069382976732362</v>
      </c>
      <c r="CE243" s="17">
        <v>244</v>
      </c>
      <c r="CF243" s="22">
        <f t="shared" si="32"/>
        <v>0.80069382976732362</v>
      </c>
      <c r="CG243" s="22">
        <f t="shared" si="33"/>
        <v>0.84400540350262365</v>
      </c>
      <c r="CH243" s="72"/>
      <c r="CI243" s="37">
        <f t="shared" si="39"/>
        <v>1.770719387095792E-2</v>
      </c>
      <c r="CJ243" s="37">
        <f t="shared" si="34"/>
        <v>1.7702900566225869E-2</v>
      </c>
    </row>
    <row r="244" spans="1:88" s="150" customFormat="1" x14ac:dyDescent="0.35">
      <c r="A244" s="38" t="s">
        <v>974</v>
      </c>
      <c r="B244" s="49" t="s">
        <v>975</v>
      </c>
      <c r="C244" s="38" t="s">
        <v>214</v>
      </c>
      <c r="D244" s="39" t="s">
        <v>976</v>
      </c>
      <c r="E244" s="39" t="s">
        <v>415</v>
      </c>
      <c r="F244" s="18" t="s">
        <v>1109</v>
      </c>
      <c r="G244" s="28">
        <v>0</v>
      </c>
      <c r="H244" s="28">
        <v>1</v>
      </c>
      <c r="I244" s="28">
        <v>1</v>
      </c>
      <c r="J244" s="18" t="s">
        <v>1107</v>
      </c>
      <c r="K244" s="83">
        <v>0</v>
      </c>
      <c r="L244" s="40" t="s">
        <v>977</v>
      </c>
      <c r="M244" s="68">
        <v>1</v>
      </c>
      <c r="N244" s="68">
        <v>273</v>
      </c>
      <c r="O244" s="28">
        <v>366</v>
      </c>
      <c r="P244" s="28" t="s">
        <v>31</v>
      </c>
      <c r="Q244" s="28">
        <v>3</v>
      </c>
      <c r="R244" s="28">
        <v>2</v>
      </c>
      <c r="S244" s="41">
        <v>0</v>
      </c>
      <c r="T244" s="28">
        <v>0</v>
      </c>
      <c r="U244" s="28">
        <v>0</v>
      </c>
      <c r="V244" s="28">
        <v>1</v>
      </c>
      <c r="W244" s="28">
        <v>0</v>
      </c>
      <c r="X244" s="28">
        <v>0</v>
      </c>
      <c r="Y244" s="28">
        <v>0</v>
      </c>
      <c r="Z244" s="28">
        <v>1</v>
      </c>
      <c r="AA244" s="92">
        <v>1</v>
      </c>
      <c r="AB244" s="28">
        <v>0</v>
      </c>
      <c r="AC244" s="28" t="s">
        <v>806</v>
      </c>
      <c r="AD244" s="18">
        <v>3.7</v>
      </c>
      <c r="AE244" s="28">
        <v>2.9</v>
      </c>
      <c r="AF244" s="28" t="s">
        <v>650</v>
      </c>
      <c r="AG244" s="28">
        <v>1</v>
      </c>
      <c r="AH244" s="28" t="s">
        <v>723</v>
      </c>
      <c r="AI244" s="28">
        <v>53</v>
      </c>
      <c r="AJ244" s="27">
        <v>38</v>
      </c>
      <c r="AK244" s="27">
        <v>100</v>
      </c>
      <c r="AL244" s="27">
        <v>14</v>
      </c>
      <c r="AM244" s="27">
        <v>67</v>
      </c>
      <c r="AN244" s="27">
        <v>68</v>
      </c>
      <c r="AO244" s="42">
        <v>19.5</v>
      </c>
      <c r="AP244" s="28">
        <v>0</v>
      </c>
      <c r="AQ244" s="28">
        <v>0</v>
      </c>
      <c r="AR244" s="28">
        <v>0</v>
      </c>
      <c r="AS244" s="28">
        <v>0</v>
      </c>
      <c r="AT244" s="28">
        <v>0</v>
      </c>
      <c r="AU244" s="28">
        <v>1</v>
      </c>
      <c r="AV244" s="28">
        <v>0</v>
      </c>
      <c r="AW244" s="28">
        <v>1</v>
      </c>
      <c r="AX244" s="28">
        <v>1</v>
      </c>
      <c r="AY244" s="34" t="s">
        <v>985</v>
      </c>
      <c r="AZ244" s="25" t="s">
        <v>980</v>
      </c>
      <c r="BA244" s="25" t="s">
        <v>83</v>
      </c>
      <c r="BB244" s="35" t="s">
        <v>46</v>
      </c>
      <c r="BC244" s="35" t="s">
        <v>983</v>
      </c>
      <c r="BD244" s="17">
        <v>3</v>
      </c>
      <c r="BE244" s="17">
        <v>7</v>
      </c>
      <c r="BF244" s="17">
        <v>0</v>
      </c>
      <c r="BG244" s="17">
        <v>0</v>
      </c>
      <c r="BH244" s="17">
        <v>1</v>
      </c>
      <c r="BI244" s="17">
        <v>0</v>
      </c>
      <c r="BJ244" s="17">
        <v>0.83</v>
      </c>
      <c r="BK244" s="17">
        <v>0.83</v>
      </c>
      <c r="BL244" s="35" t="s">
        <v>41</v>
      </c>
      <c r="BM244" s="17">
        <v>276</v>
      </c>
      <c r="BN244" s="17"/>
      <c r="BO244" s="17"/>
      <c r="BP244" s="17"/>
      <c r="BQ244" s="17"/>
      <c r="BR244" s="36"/>
      <c r="BS244" s="36"/>
      <c r="BT244" s="17"/>
      <c r="BU244" s="17">
        <v>3.39</v>
      </c>
      <c r="BV244" s="17">
        <v>1.42</v>
      </c>
      <c r="BW244" s="17"/>
      <c r="BX244" s="17">
        <v>122</v>
      </c>
      <c r="BY244" s="17">
        <v>4.63</v>
      </c>
      <c r="BZ244" s="17">
        <v>1.17</v>
      </c>
      <c r="CA244" s="17"/>
      <c r="CB244" s="17">
        <v>122</v>
      </c>
      <c r="CC244" s="17">
        <v>1</v>
      </c>
      <c r="CD244" s="37">
        <f t="shared" si="38"/>
        <v>0.95309919422163802</v>
      </c>
      <c r="CE244" s="17">
        <v>244</v>
      </c>
      <c r="CF244" s="22">
        <f t="shared" si="32"/>
        <v>0.95309919422163802</v>
      </c>
      <c r="CG244" s="22">
        <f t="shared" si="33"/>
        <v>1.0461622775050825</v>
      </c>
      <c r="CH244" s="72"/>
      <c r="CI244" s="37">
        <f t="shared" si="39"/>
        <v>1.825491408611872E-2</v>
      </c>
      <c r="CJ244" s="37">
        <f t="shared" si="34"/>
        <v>1.8242185039968762E-2</v>
      </c>
    </row>
    <row r="245" spans="1:88" s="150" customFormat="1" x14ac:dyDescent="0.35">
      <c r="A245" s="50" t="s">
        <v>986</v>
      </c>
      <c r="B245" s="51" t="s">
        <v>987</v>
      </c>
      <c r="C245" s="50" t="s">
        <v>792</v>
      </c>
      <c r="D245" s="52" t="s">
        <v>988</v>
      </c>
      <c r="E245" s="52" t="s">
        <v>989</v>
      </c>
      <c r="F245" s="20" t="s">
        <v>1109</v>
      </c>
      <c r="G245" s="26">
        <v>0</v>
      </c>
      <c r="H245" s="26">
        <v>1</v>
      </c>
      <c r="I245" s="26">
        <v>1</v>
      </c>
      <c r="J245" s="20" t="s">
        <v>1111</v>
      </c>
      <c r="K245" s="84">
        <v>0</v>
      </c>
      <c r="L245" s="45" t="s">
        <v>990</v>
      </c>
      <c r="M245" s="77">
        <v>1</v>
      </c>
      <c r="N245" s="77">
        <v>16</v>
      </c>
      <c r="O245" s="26">
        <v>215</v>
      </c>
      <c r="P245" s="26" t="s">
        <v>31</v>
      </c>
      <c r="Q245" s="26">
        <v>2</v>
      </c>
      <c r="R245" s="26">
        <v>1</v>
      </c>
      <c r="S245" s="46">
        <v>0</v>
      </c>
      <c r="T245" s="26">
        <v>0</v>
      </c>
      <c r="U245" s="26">
        <v>0</v>
      </c>
      <c r="V245" s="26">
        <v>0</v>
      </c>
      <c r="W245" s="26">
        <v>1</v>
      </c>
      <c r="X245" s="26">
        <v>0</v>
      </c>
      <c r="Y245" s="26">
        <v>0</v>
      </c>
      <c r="Z245" s="26">
        <v>1</v>
      </c>
      <c r="AA245" s="109">
        <v>0</v>
      </c>
      <c r="AB245" s="26">
        <v>0</v>
      </c>
      <c r="AC245" s="26" t="s">
        <v>382</v>
      </c>
      <c r="AD245" s="20">
        <v>3.2</v>
      </c>
      <c r="AE245" s="26">
        <v>2.6</v>
      </c>
      <c r="AF245" s="26" t="s">
        <v>991</v>
      </c>
      <c r="AG245" s="26">
        <v>1</v>
      </c>
      <c r="AH245" s="26" t="s">
        <v>465</v>
      </c>
      <c r="AI245" s="26">
        <v>30</v>
      </c>
      <c r="AJ245" s="26">
        <v>80</v>
      </c>
      <c r="AK245" s="26">
        <v>43</v>
      </c>
      <c r="AL245" s="26">
        <v>66</v>
      </c>
      <c r="AM245" s="26">
        <v>77</v>
      </c>
      <c r="AN245" s="26">
        <v>24</v>
      </c>
      <c r="AO245" s="47"/>
      <c r="AP245" s="26">
        <v>1</v>
      </c>
      <c r="AQ245" s="26">
        <v>0</v>
      </c>
      <c r="AR245" s="26">
        <v>1</v>
      </c>
      <c r="AS245" s="26">
        <v>0</v>
      </c>
      <c r="AT245" s="26">
        <v>0</v>
      </c>
      <c r="AU245" s="26">
        <v>0</v>
      </c>
      <c r="AV245" s="26">
        <v>0</v>
      </c>
      <c r="AW245" s="26">
        <v>1</v>
      </c>
      <c r="AX245" s="26">
        <v>1</v>
      </c>
      <c r="AY245" s="34" t="s">
        <v>992</v>
      </c>
      <c r="AZ245" s="25" t="s">
        <v>993</v>
      </c>
      <c r="BA245" s="25" t="s">
        <v>183</v>
      </c>
      <c r="BB245" s="35" t="s">
        <v>620</v>
      </c>
      <c r="BC245" s="35"/>
      <c r="BD245" s="17">
        <v>4</v>
      </c>
      <c r="BE245" s="17">
        <v>5</v>
      </c>
      <c r="BF245" s="17">
        <v>0</v>
      </c>
      <c r="BG245" s="17">
        <v>0</v>
      </c>
      <c r="BH245" s="17">
        <v>1</v>
      </c>
      <c r="BI245" s="17">
        <v>0</v>
      </c>
      <c r="BJ245" s="17">
        <v>0.88</v>
      </c>
      <c r="BK245" s="17">
        <v>0.88</v>
      </c>
      <c r="BL245" s="35" t="s">
        <v>41</v>
      </c>
      <c r="BM245" s="17">
        <v>18</v>
      </c>
      <c r="BN245" s="17"/>
      <c r="BO245" s="17"/>
      <c r="BP245" s="17"/>
      <c r="BQ245" s="17"/>
      <c r="BR245" s="36"/>
      <c r="BS245" s="36"/>
      <c r="BT245" s="17"/>
      <c r="BU245" s="17">
        <v>3.26</v>
      </c>
      <c r="BV245" s="17">
        <v>0.55000000000000004</v>
      </c>
      <c r="BW245" s="17"/>
      <c r="BX245" s="17">
        <v>109</v>
      </c>
      <c r="BY245" s="17">
        <v>3.89</v>
      </c>
      <c r="BZ245" s="17">
        <v>0.49</v>
      </c>
      <c r="CA245" s="17"/>
      <c r="CB245" s="17">
        <v>106</v>
      </c>
      <c r="CC245" s="17">
        <v>1</v>
      </c>
      <c r="CD245" s="37">
        <f t="shared" si="38"/>
        <v>1.2085488630023991</v>
      </c>
      <c r="CE245" s="17">
        <v>215</v>
      </c>
      <c r="CF245" s="22">
        <f t="shared" si="32"/>
        <v>1.2085488630023991</v>
      </c>
      <c r="CG245" s="22">
        <f t="shared" si="33"/>
        <v>1.2883174167143499</v>
      </c>
      <c r="CH245" s="72"/>
      <c r="CI245" s="37">
        <f t="shared" si="39"/>
        <v>2.2004995944859683E-2</v>
      </c>
      <c r="CJ245" s="37">
        <f t="shared" si="34"/>
        <v>2.1572134487559187E-2</v>
      </c>
    </row>
    <row r="246" spans="1:88" s="150" customFormat="1" x14ac:dyDescent="0.35">
      <c r="A246" s="43" t="s">
        <v>994</v>
      </c>
      <c r="B246" s="44" t="s">
        <v>995</v>
      </c>
      <c r="C246" s="43" t="s">
        <v>52</v>
      </c>
      <c r="D246" s="35" t="s">
        <v>996</v>
      </c>
      <c r="E246" s="35" t="s">
        <v>997</v>
      </c>
      <c r="F246" s="12" t="s">
        <v>1109</v>
      </c>
      <c r="G246" s="17">
        <v>1</v>
      </c>
      <c r="H246" s="17">
        <v>1</v>
      </c>
      <c r="I246" s="27">
        <v>4</v>
      </c>
      <c r="J246" s="11" t="s">
        <v>1106</v>
      </c>
      <c r="K246" s="82">
        <v>1</v>
      </c>
      <c r="L246" s="31" t="s">
        <v>998</v>
      </c>
      <c r="M246" s="57">
        <v>1</v>
      </c>
      <c r="N246" s="57">
        <v>9</v>
      </c>
      <c r="O246" s="27">
        <v>101</v>
      </c>
      <c r="P246" s="27" t="s">
        <v>31</v>
      </c>
      <c r="Q246" s="27">
        <v>2</v>
      </c>
      <c r="R246" s="27">
        <v>1</v>
      </c>
      <c r="S246" s="32">
        <v>0</v>
      </c>
      <c r="T246" s="27">
        <v>0</v>
      </c>
      <c r="U246" s="27">
        <v>0</v>
      </c>
      <c r="V246" s="27">
        <v>1</v>
      </c>
      <c r="W246" s="27">
        <v>0</v>
      </c>
      <c r="X246" s="27">
        <v>1</v>
      </c>
      <c r="Y246" s="27">
        <v>0</v>
      </c>
      <c r="Z246" s="27">
        <v>0</v>
      </c>
      <c r="AA246" s="97">
        <v>1</v>
      </c>
      <c r="AB246" s="27">
        <v>1</v>
      </c>
      <c r="AC246" s="27" t="s">
        <v>999</v>
      </c>
      <c r="AD246" s="11">
        <v>4.4000000000000004</v>
      </c>
      <c r="AE246" s="27">
        <v>2.6</v>
      </c>
      <c r="AF246" s="27" t="s">
        <v>1000</v>
      </c>
      <c r="AG246" s="27">
        <v>1</v>
      </c>
      <c r="AH246" s="27" t="s">
        <v>941</v>
      </c>
      <c r="AI246" s="27">
        <v>35</v>
      </c>
      <c r="AJ246" s="27">
        <v>35</v>
      </c>
      <c r="AK246" s="27">
        <v>76</v>
      </c>
      <c r="AL246" s="27">
        <v>66</v>
      </c>
      <c r="AM246" s="27">
        <v>60</v>
      </c>
      <c r="AN246" s="27">
        <v>69</v>
      </c>
      <c r="AO246" s="33">
        <v>37.950000000000003</v>
      </c>
      <c r="AP246" s="27">
        <v>1</v>
      </c>
      <c r="AQ246" s="27">
        <v>0</v>
      </c>
      <c r="AR246" s="27">
        <v>0</v>
      </c>
      <c r="AS246" s="27">
        <v>0</v>
      </c>
      <c r="AT246" s="27">
        <v>0</v>
      </c>
      <c r="AU246" s="27">
        <v>1</v>
      </c>
      <c r="AV246" s="27">
        <v>1</v>
      </c>
      <c r="AW246" s="27">
        <v>1</v>
      </c>
      <c r="AX246" s="27">
        <v>1</v>
      </c>
      <c r="AY246" s="34" t="s">
        <v>1001</v>
      </c>
      <c r="AZ246" s="25" t="s">
        <v>435</v>
      </c>
      <c r="BA246" s="25" t="s">
        <v>83</v>
      </c>
      <c r="BB246" s="35" t="s">
        <v>1002</v>
      </c>
      <c r="BC246" s="35" t="s">
        <v>1003</v>
      </c>
      <c r="BD246" s="17"/>
      <c r="BE246" s="17"/>
      <c r="BF246" s="17">
        <v>0</v>
      </c>
      <c r="BG246" s="17">
        <v>0</v>
      </c>
      <c r="BH246" s="17">
        <v>0</v>
      </c>
      <c r="BI246" s="17">
        <v>1</v>
      </c>
      <c r="BJ246" s="17"/>
      <c r="BK246" s="17">
        <v>0.8</v>
      </c>
      <c r="BL246" s="35"/>
      <c r="BM246" s="17">
        <v>10</v>
      </c>
      <c r="BN246" s="17"/>
      <c r="BO246" s="17"/>
      <c r="BP246" s="17"/>
      <c r="BQ246" s="17"/>
      <c r="BR246" s="36"/>
      <c r="BS246" s="36"/>
      <c r="BT246" s="17">
        <v>6.21</v>
      </c>
      <c r="BU246" s="17">
        <v>0.18</v>
      </c>
      <c r="BV246" s="17"/>
      <c r="BW246" s="17"/>
      <c r="BX246" s="17">
        <v>50</v>
      </c>
      <c r="BY246" s="17">
        <v>0.41199999999999998</v>
      </c>
      <c r="BZ246" s="17"/>
      <c r="CA246" s="17"/>
      <c r="CB246" s="17">
        <v>51</v>
      </c>
      <c r="CC246" s="17">
        <v>1</v>
      </c>
      <c r="CD246" s="37">
        <f xml:space="preserve"> 2*SQRT(BT246/(CE246-BT246))</f>
        <v>0.51191108522174877</v>
      </c>
      <c r="CE246" s="17">
        <v>101</v>
      </c>
      <c r="CF246" s="22">
        <f t="shared" si="32"/>
        <v>0.51191108522174877</v>
      </c>
      <c r="CG246" s="22">
        <f t="shared" si="33"/>
        <v>0.57233399249575911</v>
      </c>
      <c r="CH246" s="72"/>
      <c r="CI246" s="37">
        <f t="shared" si="39"/>
        <v>4.0905135014348504E-2</v>
      </c>
      <c r="CJ246" s="37">
        <f t="shared" si="34"/>
        <v>4.0737381754379506E-2</v>
      </c>
    </row>
    <row r="247" spans="1:88" s="150" customFormat="1" x14ac:dyDescent="0.35">
      <c r="A247" s="38" t="s">
        <v>994</v>
      </c>
      <c r="B247" s="49" t="s">
        <v>995</v>
      </c>
      <c r="C247" s="38" t="s">
        <v>52</v>
      </c>
      <c r="D247" s="39" t="s">
        <v>996</v>
      </c>
      <c r="E247" s="39" t="s">
        <v>997</v>
      </c>
      <c r="F247" s="18" t="s">
        <v>1109</v>
      </c>
      <c r="G247" s="28">
        <v>1</v>
      </c>
      <c r="H247" s="28">
        <v>1</v>
      </c>
      <c r="I247" s="28">
        <v>4</v>
      </c>
      <c r="J247" s="18" t="s">
        <v>1106</v>
      </c>
      <c r="K247" s="83">
        <v>1</v>
      </c>
      <c r="L247" s="40" t="s">
        <v>998</v>
      </c>
      <c r="M247" s="68">
        <v>1</v>
      </c>
      <c r="N247" s="68">
        <v>9</v>
      </c>
      <c r="O247" s="28">
        <v>101</v>
      </c>
      <c r="P247" s="28" t="s">
        <v>31</v>
      </c>
      <c r="Q247" s="28">
        <v>2</v>
      </c>
      <c r="R247" s="28">
        <v>1</v>
      </c>
      <c r="S247" s="41">
        <v>0</v>
      </c>
      <c r="T247" s="28">
        <v>0</v>
      </c>
      <c r="U247" s="28">
        <v>0</v>
      </c>
      <c r="V247" s="28">
        <v>1</v>
      </c>
      <c r="W247" s="28">
        <v>0</v>
      </c>
      <c r="X247" s="28">
        <v>1</v>
      </c>
      <c r="Y247" s="28">
        <v>0</v>
      </c>
      <c r="Z247" s="28">
        <v>0</v>
      </c>
      <c r="AA247" s="92">
        <v>1</v>
      </c>
      <c r="AB247" s="28">
        <v>1</v>
      </c>
      <c r="AC247" s="28" t="s">
        <v>999</v>
      </c>
      <c r="AD247" s="18">
        <v>4.4000000000000004</v>
      </c>
      <c r="AE247" s="28">
        <v>2.6</v>
      </c>
      <c r="AF247" s="28" t="s">
        <v>1000</v>
      </c>
      <c r="AG247" s="28">
        <v>1</v>
      </c>
      <c r="AH247" s="28" t="s">
        <v>941</v>
      </c>
      <c r="AI247" s="28">
        <v>35</v>
      </c>
      <c r="AJ247" s="28">
        <v>35</v>
      </c>
      <c r="AK247" s="28">
        <v>76</v>
      </c>
      <c r="AL247" s="28">
        <v>66</v>
      </c>
      <c r="AM247" s="28">
        <v>60</v>
      </c>
      <c r="AN247" s="28">
        <v>69</v>
      </c>
      <c r="AO247" s="42">
        <v>37.950000000000003</v>
      </c>
      <c r="AP247" s="28">
        <v>1</v>
      </c>
      <c r="AQ247" s="28">
        <v>0</v>
      </c>
      <c r="AR247" s="28">
        <v>0</v>
      </c>
      <c r="AS247" s="28">
        <v>0</v>
      </c>
      <c r="AT247" s="28">
        <v>0</v>
      </c>
      <c r="AU247" s="28">
        <v>1</v>
      </c>
      <c r="AV247" s="28">
        <v>1</v>
      </c>
      <c r="AW247" s="28">
        <v>1</v>
      </c>
      <c r="AX247" s="28">
        <v>1</v>
      </c>
      <c r="AY247" s="34" t="s">
        <v>1004</v>
      </c>
      <c r="AZ247" s="25" t="s">
        <v>435</v>
      </c>
      <c r="BA247" s="54" t="s">
        <v>83</v>
      </c>
      <c r="BB247" s="35" t="s">
        <v>1005</v>
      </c>
      <c r="BC247" s="35" t="s">
        <v>1006</v>
      </c>
      <c r="BD247" s="17">
        <v>1</v>
      </c>
      <c r="BE247" s="17">
        <v>7</v>
      </c>
      <c r="BF247" s="17">
        <v>0</v>
      </c>
      <c r="BG247" s="17">
        <v>0</v>
      </c>
      <c r="BH247" s="17">
        <v>1</v>
      </c>
      <c r="BI247" s="17">
        <v>0</v>
      </c>
      <c r="BJ247" s="17"/>
      <c r="BK247" s="17">
        <v>0.8</v>
      </c>
      <c r="BL247" s="35"/>
      <c r="BM247" s="17">
        <v>10</v>
      </c>
      <c r="BN247" s="17"/>
      <c r="BO247" s="17"/>
      <c r="BP247" s="17"/>
      <c r="BQ247" s="17"/>
      <c r="BR247" s="36">
        <v>26.34</v>
      </c>
      <c r="BS247" s="36">
        <v>1.99</v>
      </c>
      <c r="BT247" s="17"/>
      <c r="BU247" s="17"/>
      <c r="BV247" s="17"/>
      <c r="BW247" s="17"/>
      <c r="BX247" s="17">
        <v>50</v>
      </c>
      <c r="BY247" s="17"/>
      <c r="BZ247" s="17"/>
      <c r="CA247" s="17"/>
      <c r="CB247" s="17">
        <v>51</v>
      </c>
      <c r="CC247" s="17">
        <v>1</v>
      </c>
      <c r="CD247" s="37">
        <f>2*SQRT(BR247/CE247)</f>
        <v>1.0213561165586091</v>
      </c>
      <c r="CE247" s="17">
        <v>101</v>
      </c>
      <c r="CF247" s="22">
        <f t="shared" ref="CF247:CF308" si="40">CD247</f>
        <v>1.0213561165586091</v>
      </c>
      <c r="CG247" s="22">
        <f t="shared" si="33"/>
        <v>1.1419108529301243</v>
      </c>
      <c r="CH247" s="35"/>
      <c r="CI247" s="37">
        <f t="shared" si="39"/>
        <v>4.4772042725530557E-2</v>
      </c>
      <c r="CJ247" s="37">
        <f t="shared" si="34"/>
        <v>4.6772460697912063E-2</v>
      </c>
    </row>
    <row r="248" spans="1:88" s="150" customFormat="1" x14ac:dyDescent="0.35">
      <c r="A248" s="29" t="s">
        <v>1007</v>
      </c>
      <c r="B248" s="48" t="s">
        <v>1008</v>
      </c>
      <c r="C248" s="29" t="s">
        <v>1009</v>
      </c>
      <c r="D248" s="30" t="s">
        <v>1010</v>
      </c>
      <c r="E248" s="30" t="s">
        <v>1011</v>
      </c>
      <c r="F248" s="11" t="s">
        <v>1109</v>
      </c>
      <c r="G248" s="27">
        <v>1</v>
      </c>
      <c r="H248" s="27">
        <v>1</v>
      </c>
      <c r="I248" s="27">
        <v>6</v>
      </c>
      <c r="J248" s="11" t="s">
        <v>1106</v>
      </c>
      <c r="K248" s="82">
        <v>1</v>
      </c>
      <c r="L248" s="45" t="s">
        <v>1012</v>
      </c>
      <c r="M248" s="77">
        <v>2</v>
      </c>
      <c r="N248" s="77">
        <v>10</v>
      </c>
      <c r="O248" s="26">
        <v>130</v>
      </c>
      <c r="P248" s="26" t="s">
        <v>1013</v>
      </c>
      <c r="Q248" s="26">
        <v>2</v>
      </c>
      <c r="R248" s="26">
        <v>1</v>
      </c>
      <c r="S248" s="46">
        <v>0</v>
      </c>
      <c r="T248" s="26">
        <v>0</v>
      </c>
      <c r="U248" s="26">
        <v>0</v>
      </c>
      <c r="V248" s="26">
        <v>1</v>
      </c>
      <c r="W248" s="26">
        <v>0</v>
      </c>
      <c r="X248" s="26">
        <v>0</v>
      </c>
      <c r="Y248" s="26">
        <v>0</v>
      </c>
      <c r="Z248" s="26">
        <v>1</v>
      </c>
      <c r="AA248" s="109">
        <v>1</v>
      </c>
      <c r="AB248" s="26">
        <v>0</v>
      </c>
      <c r="AC248" s="26" t="s">
        <v>1014</v>
      </c>
      <c r="AD248" s="26">
        <v>2.4</v>
      </c>
      <c r="AE248" s="26">
        <v>3.5</v>
      </c>
      <c r="AF248" s="26" t="s">
        <v>58</v>
      </c>
      <c r="AG248" s="26">
        <v>0</v>
      </c>
      <c r="AH248" s="26" t="s">
        <v>35</v>
      </c>
      <c r="AI248" s="26">
        <v>46</v>
      </c>
      <c r="AJ248" s="26">
        <v>40</v>
      </c>
      <c r="AK248" s="26">
        <v>60</v>
      </c>
      <c r="AL248" s="26">
        <v>62</v>
      </c>
      <c r="AM248" s="26">
        <v>50</v>
      </c>
      <c r="AN248" s="26">
        <v>68</v>
      </c>
      <c r="AO248" s="47">
        <v>20.170000000000002</v>
      </c>
      <c r="AP248" s="26">
        <v>0</v>
      </c>
      <c r="AQ248" s="26">
        <v>0</v>
      </c>
      <c r="AR248" s="26">
        <v>1</v>
      </c>
      <c r="AS248" s="26">
        <v>0</v>
      </c>
      <c r="AT248" s="26">
        <v>0</v>
      </c>
      <c r="AU248" s="26">
        <v>0</v>
      </c>
      <c r="AV248" s="26">
        <v>0</v>
      </c>
      <c r="AW248" s="26">
        <v>1</v>
      </c>
      <c r="AX248" s="26">
        <v>1</v>
      </c>
      <c r="AY248" s="34" t="s">
        <v>1015</v>
      </c>
      <c r="AZ248" s="25" t="s">
        <v>1016</v>
      </c>
      <c r="BA248" s="25" t="s">
        <v>83</v>
      </c>
      <c r="BB248" s="35" t="s">
        <v>142</v>
      </c>
      <c r="BC248" s="35" t="s">
        <v>1017</v>
      </c>
      <c r="BD248" s="17">
        <v>4</v>
      </c>
      <c r="BE248" s="17">
        <v>7</v>
      </c>
      <c r="BF248" s="17">
        <v>1</v>
      </c>
      <c r="BG248" s="17">
        <v>1</v>
      </c>
      <c r="BH248" s="17">
        <v>0</v>
      </c>
      <c r="BI248" s="17">
        <v>0</v>
      </c>
      <c r="BJ248" s="17">
        <v>0.96</v>
      </c>
      <c r="BK248" s="17">
        <v>0.96</v>
      </c>
      <c r="BL248" s="35" t="s">
        <v>41</v>
      </c>
      <c r="BM248" s="17">
        <v>8</v>
      </c>
      <c r="BN248" s="17"/>
      <c r="BO248" s="17"/>
      <c r="BP248" s="17"/>
      <c r="BQ248" s="17"/>
      <c r="BR248" s="36"/>
      <c r="BS248" s="36"/>
      <c r="BT248" s="17"/>
      <c r="BU248" s="17">
        <v>3.62</v>
      </c>
      <c r="BV248" s="17">
        <v>1.39</v>
      </c>
      <c r="BW248" s="17"/>
      <c r="BX248" s="17">
        <v>65</v>
      </c>
      <c r="BY248" s="17">
        <v>4.28</v>
      </c>
      <c r="BZ248" s="17">
        <v>1.61</v>
      </c>
      <c r="CA248" s="17"/>
      <c r="CB248" s="17">
        <v>65</v>
      </c>
      <c r="CC248" s="17">
        <v>1</v>
      </c>
      <c r="CD248" s="37">
        <f t="shared" ref="CD248:CD253" si="41">(BY248-BU248)/SQRT((((CB248-1)*BZ248^2)+((BX248-1)*BV248^2))/((CB248+BX248)-2))</f>
        <v>0.43882163948541608</v>
      </c>
      <c r="CE248" s="17">
        <v>130</v>
      </c>
      <c r="CF248" s="22">
        <f t="shared" si="40"/>
        <v>0.43882163948541608</v>
      </c>
      <c r="CG248" s="22">
        <f t="shared" si="33"/>
        <v>0.44787046034617684</v>
      </c>
      <c r="CH248" s="22"/>
      <c r="CI248" s="37">
        <f t="shared" si="39"/>
        <v>3.150986319723334E-2</v>
      </c>
      <c r="CJ248" s="37">
        <f t="shared" si="34"/>
        <v>3.1275765994611314E-2</v>
      </c>
    </row>
    <row r="249" spans="1:88" s="150" customFormat="1" x14ac:dyDescent="0.35">
      <c r="A249" s="29" t="s">
        <v>1007</v>
      </c>
      <c r="B249" s="48" t="s">
        <v>1008</v>
      </c>
      <c r="C249" s="29" t="s">
        <v>1009</v>
      </c>
      <c r="D249" s="30" t="s">
        <v>1010</v>
      </c>
      <c r="E249" s="30" t="s">
        <v>1011</v>
      </c>
      <c r="F249" s="12" t="s">
        <v>1109</v>
      </c>
      <c r="G249" s="27">
        <v>1</v>
      </c>
      <c r="H249" s="27">
        <v>1</v>
      </c>
      <c r="I249" s="27">
        <v>6</v>
      </c>
      <c r="J249" s="11" t="s">
        <v>1106</v>
      </c>
      <c r="K249" s="82">
        <v>1</v>
      </c>
      <c r="L249" s="31" t="s">
        <v>1018</v>
      </c>
      <c r="M249" s="57">
        <v>3</v>
      </c>
      <c r="N249" s="57">
        <v>11</v>
      </c>
      <c r="O249" s="27">
        <v>257</v>
      </c>
      <c r="P249" s="27" t="s">
        <v>1019</v>
      </c>
      <c r="Q249" s="27">
        <v>2</v>
      </c>
      <c r="R249" s="27">
        <v>1</v>
      </c>
      <c r="S249" s="32">
        <v>0</v>
      </c>
      <c r="T249" s="27">
        <v>0</v>
      </c>
      <c r="U249" s="27">
        <v>0</v>
      </c>
      <c r="V249" s="27">
        <v>1</v>
      </c>
      <c r="W249" s="27">
        <v>0</v>
      </c>
      <c r="X249" s="27">
        <v>0</v>
      </c>
      <c r="Y249" s="27">
        <v>0</v>
      </c>
      <c r="Z249" s="27">
        <v>1</v>
      </c>
      <c r="AA249" s="97">
        <v>1</v>
      </c>
      <c r="AB249" s="27">
        <v>0</v>
      </c>
      <c r="AC249" s="27" t="s">
        <v>1020</v>
      </c>
      <c r="AD249" s="27">
        <v>2.4</v>
      </c>
      <c r="AE249" s="27">
        <v>3.7</v>
      </c>
      <c r="AF249" s="27" t="s">
        <v>58</v>
      </c>
      <c r="AG249" s="27">
        <v>0</v>
      </c>
      <c r="AH249" s="27" t="s">
        <v>465</v>
      </c>
      <c r="AI249" s="27">
        <v>30</v>
      </c>
      <c r="AJ249" s="27">
        <v>80</v>
      </c>
      <c r="AK249" s="27">
        <v>43</v>
      </c>
      <c r="AL249" s="27">
        <v>66</v>
      </c>
      <c r="AM249" s="27">
        <v>77</v>
      </c>
      <c r="AN249" s="27">
        <v>24</v>
      </c>
      <c r="AO249" s="33">
        <v>20.63</v>
      </c>
      <c r="AP249" s="27">
        <v>0</v>
      </c>
      <c r="AQ249" s="27">
        <v>0</v>
      </c>
      <c r="AR249" s="27">
        <v>0</v>
      </c>
      <c r="AS249" s="27">
        <v>0</v>
      </c>
      <c r="AT249" s="27">
        <v>0</v>
      </c>
      <c r="AU249" s="27">
        <v>1</v>
      </c>
      <c r="AV249" s="27">
        <v>0</v>
      </c>
      <c r="AW249" s="27">
        <v>1</v>
      </c>
      <c r="AX249" s="27">
        <v>1</v>
      </c>
      <c r="AY249" s="34" t="s">
        <v>1021</v>
      </c>
      <c r="AZ249" s="25" t="s">
        <v>1016</v>
      </c>
      <c r="BA249" s="25" t="s">
        <v>83</v>
      </c>
      <c r="BB249" s="35" t="s">
        <v>142</v>
      </c>
      <c r="BC249" s="35" t="s">
        <v>1017</v>
      </c>
      <c r="BD249" s="17">
        <v>4</v>
      </c>
      <c r="BE249" s="17">
        <v>7</v>
      </c>
      <c r="BF249" s="17">
        <v>1</v>
      </c>
      <c r="BG249" s="17">
        <v>1</v>
      </c>
      <c r="BH249" s="17">
        <v>0</v>
      </c>
      <c r="BI249" s="17">
        <v>0</v>
      </c>
      <c r="BJ249" s="17">
        <v>0.95</v>
      </c>
      <c r="BK249" s="17">
        <v>0.95</v>
      </c>
      <c r="BL249" s="35" t="s">
        <v>41</v>
      </c>
      <c r="BM249" s="17">
        <v>8</v>
      </c>
      <c r="BN249" s="17"/>
      <c r="BO249" s="17"/>
      <c r="BP249" s="17"/>
      <c r="BQ249" s="17"/>
      <c r="BR249" s="36"/>
      <c r="BS249" s="36"/>
      <c r="BT249" s="17"/>
      <c r="BU249" s="17">
        <v>3.86</v>
      </c>
      <c r="BV249" s="17">
        <v>1.27</v>
      </c>
      <c r="BW249" s="17"/>
      <c r="BX249" s="17">
        <v>53</v>
      </c>
      <c r="BY249" s="17">
        <f>(3.92 + 3.73)/2</f>
        <v>3.8250000000000002</v>
      </c>
      <c r="BZ249" s="17">
        <f>(1.25+1.4)/2</f>
        <v>1.325</v>
      </c>
      <c r="CA249" s="17"/>
      <c r="CB249" s="17">
        <v>101</v>
      </c>
      <c r="CC249" s="17">
        <v>0</v>
      </c>
      <c r="CD249" s="37">
        <f t="shared" si="41"/>
        <v>-2.6790263077752032E-2</v>
      </c>
      <c r="CE249" s="17">
        <v>154</v>
      </c>
      <c r="CF249" s="22">
        <f t="shared" si="40"/>
        <v>-2.6790263077752032E-2</v>
      </c>
      <c r="CG249" s="22">
        <f t="shared" si="33"/>
        <v>-2.7486229964439779E-2</v>
      </c>
      <c r="CH249" s="22"/>
      <c r="CI249" s="37">
        <f t="shared" si="39"/>
        <v>2.8771244881194175E-2</v>
      </c>
      <c r="CJ249" s="37">
        <f t="shared" si="34"/>
        <v>2.877148433084124E-2</v>
      </c>
    </row>
    <row r="250" spans="1:88" s="150" customFormat="1" x14ac:dyDescent="0.35">
      <c r="A250" s="43" t="s">
        <v>1007</v>
      </c>
      <c r="B250" s="44" t="s">
        <v>1008</v>
      </c>
      <c r="C250" s="43" t="s">
        <v>1009</v>
      </c>
      <c r="D250" s="35" t="s">
        <v>1010</v>
      </c>
      <c r="E250" s="35" t="s">
        <v>1011</v>
      </c>
      <c r="F250" s="12" t="s">
        <v>1109</v>
      </c>
      <c r="G250" s="17">
        <v>1</v>
      </c>
      <c r="H250" s="17">
        <v>1</v>
      </c>
      <c r="I250" s="17">
        <v>6</v>
      </c>
      <c r="J250" s="11" t="s">
        <v>1106</v>
      </c>
      <c r="K250" s="82">
        <v>1</v>
      </c>
      <c r="L250" s="40" t="s">
        <v>1018</v>
      </c>
      <c r="M250" s="68">
        <v>3</v>
      </c>
      <c r="N250" s="68">
        <v>11</v>
      </c>
      <c r="O250" s="28">
        <v>257</v>
      </c>
      <c r="P250" s="28" t="s">
        <v>1019</v>
      </c>
      <c r="Q250" s="28">
        <v>2</v>
      </c>
      <c r="R250" s="28">
        <v>1</v>
      </c>
      <c r="S250" s="41">
        <v>0</v>
      </c>
      <c r="T250" s="28">
        <v>0</v>
      </c>
      <c r="U250" s="28">
        <v>0</v>
      </c>
      <c r="V250" s="28">
        <v>1</v>
      </c>
      <c r="W250" s="28">
        <v>0</v>
      </c>
      <c r="X250" s="28">
        <v>0</v>
      </c>
      <c r="Y250" s="28">
        <v>0</v>
      </c>
      <c r="Z250" s="28">
        <v>1</v>
      </c>
      <c r="AA250" s="92">
        <v>1</v>
      </c>
      <c r="AB250" s="28">
        <v>0</v>
      </c>
      <c r="AC250" s="28" t="s">
        <v>1020</v>
      </c>
      <c r="AD250" s="28">
        <v>2.4</v>
      </c>
      <c r="AE250" s="28">
        <v>3.7</v>
      </c>
      <c r="AF250" s="28" t="s">
        <v>58</v>
      </c>
      <c r="AG250" s="28">
        <v>0</v>
      </c>
      <c r="AH250" s="28" t="s">
        <v>465</v>
      </c>
      <c r="AI250" s="28">
        <v>30</v>
      </c>
      <c r="AJ250" s="28">
        <v>80</v>
      </c>
      <c r="AK250" s="28">
        <v>43</v>
      </c>
      <c r="AL250" s="28">
        <v>66</v>
      </c>
      <c r="AM250" s="28">
        <v>77</v>
      </c>
      <c r="AN250" s="28">
        <v>24</v>
      </c>
      <c r="AO250" s="42">
        <v>20.63</v>
      </c>
      <c r="AP250" s="28">
        <v>0</v>
      </c>
      <c r="AQ250" s="28">
        <v>0</v>
      </c>
      <c r="AR250" s="28">
        <v>1</v>
      </c>
      <c r="AS250" s="28">
        <v>0</v>
      </c>
      <c r="AT250" s="28">
        <v>0</v>
      </c>
      <c r="AU250" s="28">
        <v>0</v>
      </c>
      <c r="AV250" s="28">
        <v>0</v>
      </c>
      <c r="AW250" s="28">
        <v>1</v>
      </c>
      <c r="AX250" s="28">
        <v>1</v>
      </c>
      <c r="AY250" s="34" t="s">
        <v>1022</v>
      </c>
      <c r="AZ250" s="25" t="s">
        <v>1016</v>
      </c>
      <c r="BA250" s="25" t="s">
        <v>83</v>
      </c>
      <c r="BB250" s="35" t="s">
        <v>46</v>
      </c>
      <c r="BC250" s="35" t="s">
        <v>1023</v>
      </c>
      <c r="BD250" s="17">
        <v>3</v>
      </c>
      <c r="BE250" s="17">
        <v>7</v>
      </c>
      <c r="BF250" s="17">
        <v>0</v>
      </c>
      <c r="BG250" s="17">
        <v>0</v>
      </c>
      <c r="BH250" s="17">
        <v>1</v>
      </c>
      <c r="BI250" s="17">
        <v>0</v>
      </c>
      <c r="BJ250" s="17">
        <v>0.98</v>
      </c>
      <c r="BK250" s="17">
        <v>0.98</v>
      </c>
      <c r="BL250" s="35" t="s">
        <v>41</v>
      </c>
      <c r="BM250" s="17">
        <v>8</v>
      </c>
      <c r="BN250" s="17"/>
      <c r="BO250" s="17"/>
      <c r="BP250" s="17"/>
      <c r="BQ250" s="17"/>
      <c r="BR250" s="36"/>
      <c r="BS250" s="36"/>
      <c r="BT250" s="17"/>
      <c r="BU250" s="17">
        <v>2.56</v>
      </c>
      <c r="BV250" s="17">
        <v>1.23</v>
      </c>
      <c r="BW250" s="17"/>
      <c r="BX250" s="17">
        <v>53</v>
      </c>
      <c r="BY250" s="17">
        <f>(2.81+2.74)/2</f>
        <v>2.7750000000000004</v>
      </c>
      <c r="BZ250" s="17">
        <f>(1.06+1.02)/2</f>
        <v>1.04</v>
      </c>
      <c r="CA250" s="17"/>
      <c r="CB250" s="17">
        <v>101</v>
      </c>
      <c r="CC250" s="17">
        <v>0</v>
      </c>
      <c r="CD250" s="37">
        <f t="shared" si="41"/>
        <v>0.19392598998166138</v>
      </c>
      <c r="CE250" s="17">
        <v>154</v>
      </c>
      <c r="CF250" s="22">
        <f t="shared" si="40"/>
        <v>0.19392598998166138</v>
      </c>
      <c r="CG250" s="22">
        <f t="shared" si="33"/>
        <v>0.19589483223478177</v>
      </c>
      <c r="CH250" s="22"/>
      <c r="CI250" s="37">
        <f t="shared" si="39"/>
        <v>2.8891016216890903E-2</v>
      </c>
      <c r="CJ250" s="37">
        <f t="shared" si="34"/>
        <v>2.8904037110749441E-2</v>
      </c>
    </row>
    <row r="251" spans="1:88" s="150" customFormat="1" x14ac:dyDescent="0.35">
      <c r="A251" s="29" t="s">
        <v>1007</v>
      </c>
      <c r="B251" s="48" t="s">
        <v>1008</v>
      </c>
      <c r="C251" s="29" t="s">
        <v>1009</v>
      </c>
      <c r="D251" s="30" t="s">
        <v>1010</v>
      </c>
      <c r="E251" s="30" t="s">
        <v>1011</v>
      </c>
      <c r="F251" s="11" t="s">
        <v>1109</v>
      </c>
      <c r="G251" s="27">
        <v>1</v>
      </c>
      <c r="H251" s="27">
        <v>1</v>
      </c>
      <c r="I251" s="27">
        <v>6</v>
      </c>
      <c r="J251" s="11" t="s">
        <v>1106</v>
      </c>
      <c r="K251" s="82">
        <v>1</v>
      </c>
      <c r="L251" s="45" t="s">
        <v>1024</v>
      </c>
      <c r="M251" s="77">
        <v>4</v>
      </c>
      <c r="N251" s="77">
        <v>13</v>
      </c>
      <c r="O251" s="26">
        <v>151</v>
      </c>
      <c r="P251" s="26" t="s">
        <v>1025</v>
      </c>
      <c r="Q251" s="26">
        <v>3</v>
      </c>
      <c r="R251" s="26">
        <v>1</v>
      </c>
      <c r="S251" s="46">
        <v>0</v>
      </c>
      <c r="T251" s="26">
        <v>0</v>
      </c>
      <c r="U251" s="26">
        <v>0</v>
      </c>
      <c r="V251" s="26">
        <v>1</v>
      </c>
      <c r="W251" s="26">
        <v>0</v>
      </c>
      <c r="X251" s="26">
        <v>0</v>
      </c>
      <c r="Y251" s="26">
        <v>0</v>
      </c>
      <c r="Z251" s="26">
        <v>1</v>
      </c>
      <c r="AA251" s="109">
        <v>1</v>
      </c>
      <c r="AB251" s="26">
        <v>0</v>
      </c>
      <c r="AC251" s="26" t="s">
        <v>1014</v>
      </c>
      <c r="AD251" s="26">
        <v>2.4</v>
      </c>
      <c r="AE251" s="26">
        <v>3.5</v>
      </c>
      <c r="AF251" s="26" t="s">
        <v>58</v>
      </c>
      <c r="AG251" s="26">
        <v>0</v>
      </c>
      <c r="AH251" s="26" t="s">
        <v>465</v>
      </c>
      <c r="AI251" s="26">
        <v>30</v>
      </c>
      <c r="AJ251" s="26">
        <v>80</v>
      </c>
      <c r="AK251" s="26">
        <v>43</v>
      </c>
      <c r="AL251" s="26">
        <v>66</v>
      </c>
      <c r="AM251" s="26">
        <v>77</v>
      </c>
      <c r="AN251" s="26">
        <v>24</v>
      </c>
      <c r="AO251" s="47">
        <v>19.64</v>
      </c>
      <c r="AP251" s="26">
        <v>0</v>
      </c>
      <c r="AQ251" s="26">
        <v>0</v>
      </c>
      <c r="AR251" s="26">
        <v>1</v>
      </c>
      <c r="AS251" s="26">
        <v>0</v>
      </c>
      <c r="AT251" s="26">
        <v>0</v>
      </c>
      <c r="AU251" s="26">
        <v>0</v>
      </c>
      <c r="AV251" s="26">
        <v>0</v>
      </c>
      <c r="AW251" s="26">
        <v>1</v>
      </c>
      <c r="AX251" s="26">
        <v>1</v>
      </c>
      <c r="AY251" s="34" t="s">
        <v>1026</v>
      </c>
      <c r="AZ251" s="25" t="s">
        <v>1016</v>
      </c>
      <c r="BA251" s="25" t="s">
        <v>83</v>
      </c>
      <c r="BB251" s="35" t="s">
        <v>142</v>
      </c>
      <c r="BC251" s="35" t="s">
        <v>1017</v>
      </c>
      <c r="BD251" s="17">
        <v>3</v>
      </c>
      <c r="BE251" s="17">
        <v>7</v>
      </c>
      <c r="BF251" s="17">
        <v>1</v>
      </c>
      <c r="BG251" s="17">
        <v>1</v>
      </c>
      <c r="BH251" s="17">
        <v>0</v>
      </c>
      <c r="BI251" s="17">
        <v>0</v>
      </c>
      <c r="BJ251" s="17">
        <v>0.91</v>
      </c>
      <c r="BK251" s="17">
        <v>0.91</v>
      </c>
      <c r="BL251" s="35" t="s">
        <v>41</v>
      </c>
      <c r="BM251" s="17">
        <v>8</v>
      </c>
      <c r="BN251" s="17"/>
      <c r="BO251" s="17"/>
      <c r="BP251" s="17"/>
      <c r="BQ251" s="17"/>
      <c r="BR251" s="36"/>
      <c r="BS251" s="36"/>
      <c r="BT251" s="17"/>
      <c r="BU251" s="17">
        <v>3.91</v>
      </c>
      <c r="BV251" s="17">
        <v>1.1599999999999999</v>
      </c>
      <c r="BW251" s="17"/>
      <c r="BX251" s="17">
        <v>48</v>
      </c>
      <c r="BY251" s="17">
        <f>(3.9+4.22)/2</f>
        <v>4.0599999999999996</v>
      </c>
      <c r="BZ251" s="17">
        <f>(1.37+1.15)/2</f>
        <v>1.26</v>
      </c>
      <c r="CA251" s="17"/>
      <c r="CB251" s="17">
        <v>103</v>
      </c>
      <c r="CC251" s="17">
        <v>0</v>
      </c>
      <c r="CD251" s="37">
        <f t="shared" si="41"/>
        <v>0.12201719270397404</v>
      </c>
      <c r="CE251" s="17">
        <v>151</v>
      </c>
      <c r="CF251" s="22">
        <f t="shared" si="40"/>
        <v>0.12201719270397404</v>
      </c>
      <c r="CG251" s="22">
        <f t="shared" si="33"/>
        <v>0.12790877293095226</v>
      </c>
      <c r="CH251" s="22"/>
      <c r="CI251" s="37">
        <f t="shared" si="39"/>
        <v>3.0591369857395637E-2</v>
      </c>
      <c r="CJ251" s="37">
        <f t="shared" si="34"/>
        <v>3.0581211518446175E-2</v>
      </c>
    </row>
    <row r="252" spans="1:88" s="150" customFormat="1" x14ac:dyDescent="0.35">
      <c r="A252" s="29" t="s">
        <v>1007</v>
      </c>
      <c r="B252" s="48" t="s">
        <v>1008</v>
      </c>
      <c r="C252" s="29" t="s">
        <v>1009</v>
      </c>
      <c r="D252" s="30" t="s">
        <v>1010</v>
      </c>
      <c r="E252" s="30" t="s">
        <v>1011</v>
      </c>
      <c r="F252" s="11" t="s">
        <v>1109</v>
      </c>
      <c r="G252" s="27">
        <v>1</v>
      </c>
      <c r="H252" s="27">
        <v>1</v>
      </c>
      <c r="I252" s="27">
        <v>6</v>
      </c>
      <c r="J252" s="11" t="s">
        <v>1106</v>
      </c>
      <c r="K252" s="82">
        <v>1</v>
      </c>
      <c r="L252" s="45" t="s">
        <v>1027</v>
      </c>
      <c r="M252" s="77">
        <v>5</v>
      </c>
      <c r="N252" s="77">
        <v>14</v>
      </c>
      <c r="O252" s="26">
        <v>203</v>
      </c>
      <c r="P252" s="26" t="s">
        <v>1028</v>
      </c>
      <c r="Q252" s="26">
        <v>2</v>
      </c>
      <c r="R252" s="26">
        <v>1</v>
      </c>
      <c r="S252" s="46">
        <v>0</v>
      </c>
      <c r="T252" s="26">
        <v>0</v>
      </c>
      <c r="U252" s="26">
        <v>0</v>
      </c>
      <c r="V252" s="26">
        <v>1</v>
      </c>
      <c r="W252" s="26">
        <v>0</v>
      </c>
      <c r="X252" s="26">
        <v>0</v>
      </c>
      <c r="Y252" s="26">
        <v>0</v>
      </c>
      <c r="Z252" s="26">
        <v>1</v>
      </c>
      <c r="AA252" s="109">
        <v>1</v>
      </c>
      <c r="AB252" s="26">
        <v>0</v>
      </c>
      <c r="AC252" s="26" t="s">
        <v>1029</v>
      </c>
      <c r="AD252" s="26">
        <v>2.9</v>
      </c>
      <c r="AE252" s="26">
        <v>3.1</v>
      </c>
      <c r="AF252" s="26" t="s">
        <v>58</v>
      </c>
      <c r="AG252" s="26">
        <v>0</v>
      </c>
      <c r="AH252" s="26" t="s">
        <v>465</v>
      </c>
      <c r="AI252" s="26">
        <v>30</v>
      </c>
      <c r="AJ252" s="26">
        <v>80</v>
      </c>
      <c r="AK252" s="26">
        <v>43</v>
      </c>
      <c r="AL252" s="26">
        <v>66</v>
      </c>
      <c r="AM252" s="26">
        <v>77</v>
      </c>
      <c r="AN252" s="26">
        <v>24</v>
      </c>
      <c r="AO252" s="47">
        <v>21.26</v>
      </c>
      <c r="AP252" s="26">
        <v>0</v>
      </c>
      <c r="AQ252" s="26">
        <v>0</v>
      </c>
      <c r="AR252" s="26">
        <v>1</v>
      </c>
      <c r="AS252" s="26">
        <v>0</v>
      </c>
      <c r="AT252" s="26">
        <v>0</v>
      </c>
      <c r="AU252" s="26">
        <v>0</v>
      </c>
      <c r="AV252" s="26">
        <v>0</v>
      </c>
      <c r="AW252" s="26">
        <v>1</v>
      </c>
      <c r="AX252" s="26">
        <v>1</v>
      </c>
      <c r="AY252" s="34" t="s">
        <v>1030</v>
      </c>
      <c r="AZ252" s="25" t="s">
        <v>1016</v>
      </c>
      <c r="BA252" s="25" t="s">
        <v>83</v>
      </c>
      <c r="BB252" s="35" t="s">
        <v>1031</v>
      </c>
      <c r="BC252" s="35" t="s">
        <v>1032</v>
      </c>
      <c r="BD252" s="17">
        <v>1</v>
      </c>
      <c r="BE252" s="17">
        <v>7</v>
      </c>
      <c r="BF252" s="17">
        <v>1</v>
      </c>
      <c r="BG252" s="17">
        <v>1</v>
      </c>
      <c r="BH252" s="17">
        <v>0</v>
      </c>
      <c r="BI252" s="17">
        <v>0</v>
      </c>
      <c r="BJ252" s="17"/>
      <c r="BK252" s="17">
        <v>0.8</v>
      </c>
      <c r="BL252" s="35"/>
      <c r="BM252" s="17">
        <v>8</v>
      </c>
      <c r="BN252" s="17"/>
      <c r="BO252" s="17"/>
      <c r="BP252" s="17"/>
      <c r="BQ252" s="17"/>
      <c r="BR252" s="36"/>
      <c r="BS252" s="36"/>
      <c r="BT252" s="17"/>
      <c r="BU252" s="17">
        <f>(3.17+4.12)/2</f>
        <v>3.645</v>
      </c>
      <c r="BV252" s="17">
        <f>(1.13+1.78)/2</f>
        <v>1.4550000000000001</v>
      </c>
      <c r="BW252" s="17"/>
      <c r="BX252" s="17">
        <v>100</v>
      </c>
      <c r="BY252" s="17">
        <f>(5.67+4.44)/2</f>
        <v>5.0549999999999997</v>
      </c>
      <c r="BZ252" s="17">
        <f>(0.95+1.75)/2</f>
        <v>1.35</v>
      </c>
      <c r="CA252" s="17"/>
      <c r="CB252" s="17">
        <v>103</v>
      </c>
      <c r="CC252" s="17">
        <v>1</v>
      </c>
      <c r="CD252" s="37">
        <f t="shared" si="41"/>
        <v>1.005204948292278</v>
      </c>
      <c r="CE252" s="17">
        <v>203</v>
      </c>
      <c r="CF252" s="22">
        <f t="shared" si="40"/>
        <v>1.005204948292278</v>
      </c>
      <c r="CG252" s="22">
        <f t="shared" si="33"/>
        <v>1.1238532978503475</v>
      </c>
      <c r="CH252" s="22"/>
      <c r="CI252" s="37">
        <f t="shared" si="39"/>
        <v>2.2197498918440434E-2</v>
      </c>
      <c r="CJ252" s="37">
        <f t="shared" si="34"/>
        <v>2.1726383607031507E-2</v>
      </c>
    </row>
    <row r="253" spans="1:88" s="150" customFormat="1" x14ac:dyDescent="0.35">
      <c r="A253" s="38" t="s">
        <v>1007</v>
      </c>
      <c r="B253" s="49" t="s">
        <v>1008</v>
      </c>
      <c r="C253" s="38" t="s">
        <v>1009</v>
      </c>
      <c r="D253" s="39" t="s">
        <v>1010</v>
      </c>
      <c r="E253" s="39" t="s">
        <v>1011</v>
      </c>
      <c r="F253" s="18" t="s">
        <v>1109</v>
      </c>
      <c r="G253" s="28">
        <v>1</v>
      </c>
      <c r="H253" s="28">
        <v>1</v>
      </c>
      <c r="I253" s="28">
        <v>6</v>
      </c>
      <c r="J253" s="18" t="s">
        <v>1106</v>
      </c>
      <c r="K253" s="83">
        <v>1</v>
      </c>
      <c r="L253" s="45" t="s">
        <v>1033</v>
      </c>
      <c r="M253" s="77">
        <v>6</v>
      </c>
      <c r="N253" s="77">
        <v>15</v>
      </c>
      <c r="O253" s="26">
        <v>276</v>
      </c>
      <c r="P253" s="26" t="s">
        <v>1028</v>
      </c>
      <c r="Q253" s="26">
        <v>2</v>
      </c>
      <c r="R253" s="26">
        <v>1</v>
      </c>
      <c r="S253" s="46">
        <v>0</v>
      </c>
      <c r="T253" s="26">
        <v>0</v>
      </c>
      <c r="U253" s="26">
        <v>0</v>
      </c>
      <c r="V253" s="26">
        <v>1</v>
      </c>
      <c r="W253" s="26">
        <v>0</v>
      </c>
      <c r="X253" s="26">
        <v>0</v>
      </c>
      <c r="Y253" s="26">
        <v>0</v>
      </c>
      <c r="Z253" s="26">
        <v>1</v>
      </c>
      <c r="AA253" s="109">
        <v>1</v>
      </c>
      <c r="AB253" s="26">
        <v>0</v>
      </c>
      <c r="AC253" s="26" t="s">
        <v>1034</v>
      </c>
      <c r="AD253" s="26">
        <v>2.4</v>
      </c>
      <c r="AE253" s="26">
        <v>3.5</v>
      </c>
      <c r="AF253" s="26" t="s">
        <v>58</v>
      </c>
      <c r="AG253" s="26">
        <v>0</v>
      </c>
      <c r="AH253" s="26" t="s">
        <v>465</v>
      </c>
      <c r="AI253" s="26">
        <v>30</v>
      </c>
      <c r="AJ253" s="26">
        <v>80</v>
      </c>
      <c r="AK253" s="26">
        <v>43</v>
      </c>
      <c r="AL253" s="26">
        <v>66</v>
      </c>
      <c r="AM253" s="26">
        <v>77</v>
      </c>
      <c r="AN253" s="26">
        <v>24</v>
      </c>
      <c r="AO253" s="47">
        <v>18.809999999999999</v>
      </c>
      <c r="AP253" s="26">
        <v>0</v>
      </c>
      <c r="AQ253" s="26">
        <v>0</v>
      </c>
      <c r="AR253" s="26">
        <v>1</v>
      </c>
      <c r="AS253" s="26">
        <v>0</v>
      </c>
      <c r="AT253" s="26">
        <v>0</v>
      </c>
      <c r="AU253" s="26">
        <v>0</v>
      </c>
      <c r="AV253" s="26">
        <v>0</v>
      </c>
      <c r="AW253" s="26">
        <v>1</v>
      </c>
      <c r="AX253" s="26">
        <v>1</v>
      </c>
      <c r="AY253" s="78" t="s">
        <v>1290</v>
      </c>
      <c r="AZ253" s="25" t="s">
        <v>1016</v>
      </c>
      <c r="BA253" s="25" t="s">
        <v>83</v>
      </c>
      <c r="BB253" s="35" t="s">
        <v>142</v>
      </c>
      <c r="BC253" s="35" t="s">
        <v>1017</v>
      </c>
      <c r="BD253" s="17">
        <v>3</v>
      </c>
      <c r="BE253" s="17">
        <v>7</v>
      </c>
      <c r="BF253" s="17">
        <v>1</v>
      </c>
      <c r="BG253" s="17">
        <v>1</v>
      </c>
      <c r="BH253" s="17">
        <v>0</v>
      </c>
      <c r="BI253" s="17">
        <v>0</v>
      </c>
      <c r="BJ253" s="17">
        <v>0.91</v>
      </c>
      <c r="BK253" s="17">
        <v>0.91</v>
      </c>
      <c r="BL253" s="35" t="s">
        <v>41</v>
      </c>
      <c r="BM253" s="17">
        <v>9</v>
      </c>
      <c r="BN253" s="17"/>
      <c r="BO253" s="17"/>
      <c r="BP253" s="17"/>
      <c r="BQ253" s="17"/>
      <c r="BR253" s="36"/>
      <c r="BS253" s="36"/>
      <c r="BT253" s="17"/>
      <c r="BU253" s="17">
        <f>(4.01+3.9)/2</f>
        <v>3.9550000000000001</v>
      </c>
      <c r="BV253" s="17">
        <f>(1.14+1.02)/2</f>
        <v>1.08</v>
      </c>
      <c r="BW253" s="17"/>
      <c r="BX253" s="17">
        <v>137</v>
      </c>
      <c r="BY253" s="17">
        <f>(4.9+3.81)/2</f>
        <v>4.3550000000000004</v>
      </c>
      <c r="BZ253" s="17">
        <f>(0.87+1.18)/2</f>
        <v>1.0249999999999999</v>
      </c>
      <c r="CA253" s="17"/>
      <c r="CB253" s="17">
        <v>139</v>
      </c>
      <c r="CC253" s="17">
        <v>1</v>
      </c>
      <c r="CD253" s="37">
        <f t="shared" si="41"/>
        <v>0.37999027388163548</v>
      </c>
      <c r="CE253" s="17">
        <v>276</v>
      </c>
      <c r="CF253" s="22">
        <f t="shared" si="40"/>
        <v>0.37999027388163548</v>
      </c>
      <c r="CG253" s="22">
        <f t="shared" si="33"/>
        <v>0.39833804221192726</v>
      </c>
      <c r="CH253" s="22"/>
      <c r="CI253" s="37">
        <f t="shared" si="39"/>
        <v>1.4755095489346639E-2</v>
      </c>
      <c r="CJ253" s="37">
        <f t="shared" si="34"/>
        <v>1.4886270112639028E-2</v>
      </c>
    </row>
    <row r="254" spans="1:88" s="159" customFormat="1" x14ac:dyDescent="0.35">
      <c r="A254" s="19" t="s">
        <v>1116</v>
      </c>
      <c r="B254" s="87" t="s">
        <v>1117</v>
      </c>
      <c r="C254" s="1" t="s">
        <v>52</v>
      </c>
      <c r="D254" t="s">
        <v>1118</v>
      </c>
      <c r="E254" t="s">
        <v>1119</v>
      </c>
      <c r="F254" s="11" t="s">
        <v>1109</v>
      </c>
      <c r="G254" s="12">
        <v>0</v>
      </c>
      <c r="H254" s="12">
        <v>1</v>
      </c>
      <c r="I254" s="12">
        <v>1</v>
      </c>
      <c r="J254" s="11" t="s">
        <v>1111</v>
      </c>
      <c r="K254" s="79">
        <v>0</v>
      </c>
      <c r="L254" s="174" t="s">
        <v>1274</v>
      </c>
      <c r="M254" s="177">
        <v>1</v>
      </c>
      <c r="N254" s="57">
        <v>413</v>
      </c>
      <c r="O254" s="177">
        <v>128</v>
      </c>
      <c r="P254" s="11" t="s">
        <v>31</v>
      </c>
      <c r="Q254" s="11">
        <v>2</v>
      </c>
      <c r="R254" s="11">
        <v>1</v>
      </c>
      <c r="S254" s="32">
        <v>0</v>
      </c>
      <c r="T254" s="11">
        <v>1</v>
      </c>
      <c r="U254" s="11">
        <v>0</v>
      </c>
      <c r="V254" s="11">
        <v>0</v>
      </c>
      <c r="W254" s="11">
        <v>0</v>
      </c>
      <c r="X254" s="11">
        <v>0</v>
      </c>
      <c r="Y254" s="11">
        <v>1</v>
      </c>
      <c r="Z254" s="11">
        <v>0</v>
      </c>
      <c r="AA254" s="11">
        <v>1</v>
      </c>
      <c r="AB254" s="11">
        <v>1</v>
      </c>
      <c r="AC254" s="11" t="s">
        <v>1120</v>
      </c>
      <c r="AD254" s="27">
        <v>4.5</v>
      </c>
      <c r="AE254" s="27">
        <v>3</v>
      </c>
      <c r="AF254" s="11" t="s">
        <v>1121</v>
      </c>
      <c r="AG254" s="11">
        <v>1</v>
      </c>
      <c r="AH254" s="11" t="s">
        <v>923</v>
      </c>
      <c r="AI254" s="11">
        <v>86</v>
      </c>
      <c r="AJ254" s="11">
        <v>57</v>
      </c>
      <c r="AK254" s="11">
        <v>67</v>
      </c>
      <c r="AL254" s="11">
        <v>42</v>
      </c>
      <c r="AM254" s="11">
        <v>47</v>
      </c>
      <c r="AN254" s="11">
        <v>44</v>
      </c>
      <c r="AO254" s="181">
        <v>45.3</v>
      </c>
      <c r="AP254" s="11">
        <v>1</v>
      </c>
      <c r="AQ254" s="11">
        <v>0</v>
      </c>
      <c r="AR254" s="11">
        <v>0</v>
      </c>
      <c r="AS254" s="11">
        <v>0</v>
      </c>
      <c r="AT254" s="11">
        <v>0</v>
      </c>
      <c r="AU254" s="11">
        <v>1</v>
      </c>
      <c r="AV254" s="11">
        <v>1</v>
      </c>
      <c r="AW254" s="11">
        <v>1</v>
      </c>
      <c r="AX254" s="11">
        <v>1</v>
      </c>
      <c r="AY254" s="91" t="s">
        <v>1291</v>
      </c>
      <c r="AZ254" s="13" t="s">
        <v>1122</v>
      </c>
      <c r="BA254" s="12" t="s">
        <v>61</v>
      </c>
      <c r="BB254" s="35" t="s">
        <v>422</v>
      </c>
      <c r="BC254" t="s">
        <v>1123</v>
      </c>
      <c r="BD254" s="2">
        <v>5</v>
      </c>
      <c r="BE254" s="2">
        <v>7</v>
      </c>
      <c r="BF254" s="12">
        <v>1</v>
      </c>
      <c r="BG254" s="12">
        <v>1</v>
      </c>
      <c r="BH254" s="12">
        <v>0</v>
      </c>
      <c r="BI254" s="12">
        <v>0</v>
      </c>
      <c r="BJ254" s="2">
        <v>0.87</v>
      </c>
      <c r="BK254" s="2">
        <v>0.87</v>
      </c>
      <c r="BL254" s="35" t="s">
        <v>41</v>
      </c>
      <c r="BM254" s="12">
        <v>420</v>
      </c>
      <c r="BN254" s="12"/>
      <c r="BO254" s="12"/>
      <c r="BP254" s="12"/>
      <c r="BQ254" s="12"/>
      <c r="BR254" s="15">
        <v>5.67</v>
      </c>
      <c r="BS254" s="15">
        <v>1</v>
      </c>
      <c r="BT254" s="12"/>
      <c r="BU254" s="12"/>
      <c r="BV254" s="12"/>
      <c r="BW254" s="12"/>
      <c r="BX254" s="12">
        <v>62</v>
      </c>
      <c r="BY254" s="12"/>
      <c r="BZ254" s="12"/>
      <c r="CA254" s="12"/>
      <c r="CB254" s="12">
        <v>66</v>
      </c>
      <c r="CC254" s="12">
        <v>1</v>
      </c>
      <c r="CD254" s="37">
        <f>2*SQRT(BR254/CE254)</f>
        <v>0.42093645601206842</v>
      </c>
      <c r="CE254" s="12">
        <v>128</v>
      </c>
      <c r="CF254" s="22">
        <f t="shared" si="40"/>
        <v>0.42093645601206842</v>
      </c>
      <c r="CG254" s="22">
        <f t="shared" si="33"/>
        <v>0.45129125086073663</v>
      </c>
      <c r="CH254" s="14"/>
      <c r="CI254" s="22">
        <f t="shared" si="39"/>
        <v>3.197268608145467E-2</v>
      </c>
      <c r="CJ254" s="37">
        <f t="shared" si="34"/>
        <v>3.2166042162203354E-2</v>
      </c>
    </row>
    <row r="255" spans="1:88" s="172" customFormat="1" x14ac:dyDescent="0.35">
      <c r="A255" s="88" t="s">
        <v>1116</v>
      </c>
      <c r="B255" s="202" t="s">
        <v>1117</v>
      </c>
      <c r="C255" s="88" t="s">
        <v>52</v>
      </c>
      <c r="D255" s="89" t="s">
        <v>1118</v>
      </c>
      <c r="E255" s="89" t="s">
        <v>1119</v>
      </c>
      <c r="F255" s="18" t="s">
        <v>1109</v>
      </c>
      <c r="G255" s="92">
        <v>0</v>
      </c>
      <c r="H255" s="92">
        <v>1</v>
      </c>
      <c r="I255" s="92">
        <v>1</v>
      </c>
      <c r="J255" s="92" t="s">
        <v>1111</v>
      </c>
      <c r="K255" s="92">
        <v>0</v>
      </c>
      <c r="L255" s="93" t="s">
        <v>1274</v>
      </c>
      <c r="M255" s="94">
        <v>1</v>
      </c>
      <c r="N255" s="94">
        <v>413</v>
      </c>
      <c r="O255" s="94">
        <v>128</v>
      </c>
      <c r="P255" s="92" t="s">
        <v>31</v>
      </c>
      <c r="Q255" s="92">
        <v>2</v>
      </c>
      <c r="R255" s="92">
        <v>1</v>
      </c>
      <c r="S255" s="41">
        <v>0</v>
      </c>
      <c r="T255" s="92">
        <v>1</v>
      </c>
      <c r="U255" s="92">
        <v>0</v>
      </c>
      <c r="V255" s="92">
        <v>0</v>
      </c>
      <c r="W255" s="92">
        <v>0</v>
      </c>
      <c r="X255" s="92">
        <v>0</v>
      </c>
      <c r="Y255" s="92">
        <v>1</v>
      </c>
      <c r="Z255" s="92">
        <v>0</v>
      </c>
      <c r="AA255" s="92">
        <v>1</v>
      </c>
      <c r="AB255" s="92">
        <v>1</v>
      </c>
      <c r="AC255" s="92" t="s">
        <v>1120</v>
      </c>
      <c r="AD255" s="168">
        <v>4.5</v>
      </c>
      <c r="AE255" s="168">
        <v>3</v>
      </c>
      <c r="AF255" s="92" t="s">
        <v>1121</v>
      </c>
      <c r="AG255" s="92">
        <v>1</v>
      </c>
      <c r="AH255" s="92" t="s">
        <v>923</v>
      </c>
      <c r="AI255" s="92">
        <v>86</v>
      </c>
      <c r="AJ255" s="18">
        <v>57</v>
      </c>
      <c r="AK255" s="18">
        <v>67</v>
      </c>
      <c r="AL255" s="18">
        <v>42</v>
      </c>
      <c r="AM255" s="18">
        <v>47</v>
      </c>
      <c r="AN255" s="18">
        <v>44</v>
      </c>
      <c r="AO255" s="95">
        <v>45.3</v>
      </c>
      <c r="AP255" s="92">
        <v>1</v>
      </c>
      <c r="AQ255" s="92">
        <v>0</v>
      </c>
      <c r="AR255" s="92">
        <v>0</v>
      </c>
      <c r="AS255" s="92">
        <v>0</v>
      </c>
      <c r="AT255" s="92">
        <v>0</v>
      </c>
      <c r="AU255" s="92">
        <v>1</v>
      </c>
      <c r="AV255" s="92">
        <v>1</v>
      </c>
      <c r="AW255" s="92">
        <v>1</v>
      </c>
      <c r="AX255" s="92">
        <v>1</v>
      </c>
      <c r="AY255" s="98" t="s">
        <v>1292</v>
      </c>
      <c r="AZ255" s="99" t="s">
        <v>1122</v>
      </c>
      <c r="BA255" s="97" t="s">
        <v>61</v>
      </c>
      <c r="BB255" s="30" t="s">
        <v>129</v>
      </c>
      <c r="BC255" s="96" t="s">
        <v>487</v>
      </c>
      <c r="BD255" s="97">
        <v>4</v>
      </c>
      <c r="BE255" s="97">
        <v>7</v>
      </c>
      <c r="BF255" s="97">
        <v>0</v>
      </c>
      <c r="BG255" s="97">
        <v>0</v>
      </c>
      <c r="BH255" s="97">
        <v>1</v>
      </c>
      <c r="BI255" s="97">
        <v>0</v>
      </c>
      <c r="BJ255" s="97">
        <v>0.94</v>
      </c>
      <c r="BK255" s="97">
        <v>0.94</v>
      </c>
      <c r="BL255" s="30" t="s">
        <v>41</v>
      </c>
      <c r="BM255" s="97">
        <v>420</v>
      </c>
      <c r="BN255" s="97"/>
      <c r="BO255" s="97"/>
      <c r="BP255" s="97"/>
      <c r="BQ255" s="97"/>
      <c r="BR255" s="100">
        <v>1.18</v>
      </c>
      <c r="BS255" s="100">
        <v>1</v>
      </c>
      <c r="BT255" s="97"/>
      <c r="BU255" s="97"/>
      <c r="BV255" s="97"/>
      <c r="BW255" s="97"/>
      <c r="BX255" s="97">
        <v>62</v>
      </c>
      <c r="BY255" s="97"/>
      <c r="BZ255" s="97"/>
      <c r="CA255" s="97"/>
      <c r="CB255" s="97">
        <v>66</v>
      </c>
      <c r="CC255" s="97">
        <v>0</v>
      </c>
      <c r="CD255" s="33">
        <f>2*SQRT(BR255/CE255)</f>
        <v>0.19202864369671521</v>
      </c>
      <c r="CE255" s="97">
        <v>128</v>
      </c>
      <c r="CF255" s="56">
        <f t="shared" si="40"/>
        <v>0.19202864369671521</v>
      </c>
      <c r="CG255" s="22">
        <f t="shared" si="33"/>
        <v>0.1980624229990518</v>
      </c>
      <c r="CH255" s="96"/>
      <c r="CI255" s="56">
        <f t="shared" si="39"/>
        <v>3.1424590378329668E-2</v>
      </c>
      <c r="CJ255" s="37">
        <f t="shared" si="34"/>
        <v>3.1451107076554692E-2</v>
      </c>
    </row>
    <row r="256" spans="1:88" s="101" customFormat="1" x14ac:dyDescent="0.35">
      <c r="A256" s="1" t="s">
        <v>1124</v>
      </c>
      <c r="B256" s="48" t="s">
        <v>1125</v>
      </c>
      <c r="C256" s="1" t="s">
        <v>1126</v>
      </c>
      <c r="D256" s="101" t="s">
        <v>1127</v>
      </c>
      <c r="E256" s="30" t="s">
        <v>415</v>
      </c>
      <c r="F256" s="11" t="s">
        <v>1109</v>
      </c>
      <c r="G256" s="27">
        <v>0</v>
      </c>
      <c r="H256" s="27">
        <v>1</v>
      </c>
      <c r="I256" s="27">
        <v>1</v>
      </c>
      <c r="J256" s="11" t="s">
        <v>1107</v>
      </c>
      <c r="K256" s="82">
        <v>0</v>
      </c>
      <c r="L256" s="102" t="s">
        <v>1275</v>
      </c>
      <c r="M256" s="4">
        <v>1</v>
      </c>
      <c r="N256" s="4">
        <v>4</v>
      </c>
      <c r="O256" s="2">
        <v>336</v>
      </c>
      <c r="P256" s="2" t="s">
        <v>882</v>
      </c>
      <c r="Q256" s="2">
        <v>3</v>
      </c>
      <c r="R256" s="2">
        <v>1</v>
      </c>
      <c r="S256" s="32">
        <v>0</v>
      </c>
      <c r="T256" s="2">
        <v>0</v>
      </c>
      <c r="U256" s="2">
        <v>0</v>
      </c>
      <c r="V256" s="2">
        <v>1</v>
      </c>
      <c r="W256" s="2">
        <v>0</v>
      </c>
      <c r="X256" s="2">
        <v>1</v>
      </c>
      <c r="Y256" s="2">
        <v>0</v>
      </c>
      <c r="Z256" s="2">
        <v>0</v>
      </c>
      <c r="AA256" s="2">
        <v>1</v>
      </c>
      <c r="AB256" s="2">
        <v>0</v>
      </c>
      <c r="AC256" s="2" t="s">
        <v>730</v>
      </c>
      <c r="AD256" s="2">
        <v>2.6</v>
      </c>
      <c r="AE256" s="2">
        <v>2.9</v>
      </c>
      <c r="AF256" s="2" t="s">
        <v>58</v>
      </c>
      <c r="AG256" s="198">
        <v>0</v>
      </c>
      <c r="AH256" s="2" t="s">
        <v>35</v>
      </c>
      <c r="AI256" s="2">
        <v>46</v>
      </c>
      <c r="AJ256" s="27">
        <v>40</v>
      </c>
      <c r="AK256" s="27">
        <v>60</v>
      </c>
      <c r="AL256" s="27">
        <v>62</v>
      </c>
      <c r="AM256" s="27">
        <v>50</v>
      </c>
      <c r="AN256" s="27">
        <v>68</v>
      </c>
      <c r="AO256" s="3">
        <v>33.31</v>
      </c>
      <c r="AP256" s="2">
        <v>1</v>
      </c>
      <c r="AQ256" s="2">
        <v>0</v>
      </c>
      <c r="AR256" s="2">
        <v>1</v>
      </c>
      <c r="AS256" s="2">
        <v>0</v>
      </c>
      <c r="AT256" s="2">
        <v>0</v>
      </c>
      <c r="AU256" s="2">
        <v>0</v>
      </c>
      <c r="AV256" s="2">
        <v>0</v>
      </c>
      <c r="AW256" s="2">
        <v>1</v>
      </c>
      <c r="AX256" s="2">
        <v>1</v>
      </c>
      <c r="AY256" s="103" t="s">
        <v>1293</v>
      </c>
      <c r="AZ256" s="5" t="s">
        <v>457</v>
      </c>
      <c r="BA256" s="2" t="s">
        <v>83</v>
      </c>
      <c r="BB256" s="30" t="s">
        <v>1132</v>
      </c>
      <c r="BC256" s="35" t="s">
        <v>1133</v>
      </c>
      <c r="BD256" s="2">
        <v>1</v>
      </c>
      <c r="BE256" s="2">
        <v>7</v>
      </c>
      <c r="BF256" s="2">
        <v>0</v>
      </c>
      <c r="BG256" s="97">
        <v>0</v>
      </c>
      <c r="BH256" s="97">
        <v>1</v>
      </c>
      <c r="BI256" s="97">
        <v>0</v>
      </c>
      <c r="BJ256" s="2"/>
      <c r="BK256" s="2">
        <v>0.8</v>
      </c>
      <c r="BL256"/>
      <c r="BM256" s="2">
        <v>9</v>
      </c>
      <c r="BN256" s="2"/>
      <c r="BO256" s="2"/>
      <c r="BP256" s="2"/>
      <c r="BQ256" s="2"/>
      <c r="BR256" s="6"/>
      <c r="BS256" s="6"/>
      <c r="BT256" s="2"/>
      <c r="BU256" s="2">
        <v>573.5</v>
      </c>
      <c r="BV256" s="2">
        <v>123.45</v>
      </c>
      <c r="BW256" s="2"/>
      <c r="BX256" s="2">
        <v>117</v>
      </c>
      <c r="BY256" s="2">
        <f>(606.76 + 639.81) /2</f>
        <v>623.28499999999997</v>
      </c>
      <c r="BZ256" s="2">
        <f>(167.93+191.15)/2</f>
        <v>179.54000000000002</v>
      </c>
      <c r="CA256" s="2"/>
      <c r="CB256" s="2">
        <f>(116+103)</f>
        <v>219</v>
      </c>
      <c r="CC256" s="2">
        <v>0</v>
      </c>
      <c r="CD256" s="37">
        <f t="shared" ref="CD256:CD287" si="42">(BY256-BU256)/SQRT((((CB256-1)*BZ256^2)+((BX256-1)*BV256^2))/((CB256+BX256)-2))</f>
        <v>0.30679937068834112</v>
      </c>
      <c r="CE256" s="2">
        <v>336</v>
      </c>
      <c r="CF256" s="22">
        <f t="shared" si="40"/>
        <v>0.30679937068834112</v>
      </c>
      <c r="CG256" s="22">
        <f t="shared" si="33"/>
        <v>0.34301212415664362</v>
      </c>
      <c r="CH256"/>
      <c r="CI256" s="22">
        <f t="shared" si="39"/>
        <v>1.3253286827573568E-2</v>
      </c>
      <c r="CJ256" s="37">
        <f t="shared" si="34"/>
        <v>1.3299385233997313E-2</v>
      </c>
    </row>
    <row r="257" spans="1:89" s="2" customFormat="1" x14ac:dyDescent="0.35">
      <c r="A257" s="170" t="s">
        <v>1124</v>
      </c>
      <c r="B257" s="48" t="s">
        <v>1125</v>
      </c>
      <c r="C257" s="170" t="s">
        <v>1126</v>
      </c>
      <c r="D257" s="172" t="s">
        <v>1127</v>
      </c>
      <c r="E257" s="30" t="s">
        <v>415</v>
      </c>
      <c r="F257" s="11" t="s">
        <v>1109</v>
      </c>
      <c r="G257" s="27">
        <v>0</v>
      </c>
      <c r="H257" s="27">
        <v>1</v>
      </c>
      <c r="I257" s="27">
        <v>1</v>
      </c>
      <c r="J257" s="11" t="s">
        <v>1107</v>
      </c>
      <c r="K257" s="82">
        <v>0</v>
      </c>
      <c r="L257" s="175" t="s">
        <v>1275</v>
      </c>
      <c r="M257" s="176">
        <v>1</v>
      </c>
      <c r="N257" s="176">
        <v>4</v>
      </c>
      <c r="O257" s="97">
        <v>336</v>
      </c>
      <c r="P257" s="97" t="s">
        <v>882</v>
      </c>
      <c r="Q257" s="97">
        <v>3</v>
      </c>
      <c r="R257" s="97">
        <v>2</v>
      </c>
      <c r="S257" s="32">
        <v>0</v>
      </c>
      <c r="T257" s="97">
        <v>0</v>
      </c>
      <c r="U257" s="97">
        <v>0</v>
      </c>
      <c r="V257" s="97">
        <v>1</v>
      </c>
      <c r="W257" s="97">
        <v>0</v>
      </c>
      <c r="X257" s="97">
        <v>1</v>
      </c>
      <c r="Y257" s="97">
        <v>0</v>
      </c>
      <c r="Z257" s="97">
        <v>0</v>
      </c>
      <c r="AA257" s="97">
        <v>1</v>
      </c>
      <c r="AB257" s="97">
        <v>0</v>
      </c>
      <c r="AC257" s="97" t="s">
        <v>1128</v>
      </c>
      <c r="AD257" s="180">
        <v>2.6</v>
      </c>
      <c r="AE257" s="180">
        <v>3.6</v>
      </c>
      <c r="AF257" s="97" t="s">
        <v>1130</v>
      </c>
      <c r="AG257" s="180">
        <v>1</v>
      </c>
      <c r="AH257" s="97" t="s">
        <v>35</v>
      </c>
      <c r="AI257" s="97">
        <v>46</v>
      </c>
      <c r="AJ257" s="27">
        <v>40</v>
      </c>
      <c r="AK257" s="27">
        <v>60</v>
      </c>
      <c r="AL257" s="27">
        <v>62</v>
      </c>
      <c r="AM257" s="27">
        <v>50</v>
      </c>
      <c r="AN257" s="27">
        <v>68</v>
      </c>
      <c r="AO257" s="182">
        <v>33.31</v>
      </c>
      <c r="AP257" s="97">
        <v>1</v>
      </c>
      <c r="AQ257" s="97">
        <v>0</v>
      </c>
      <c r="AR257" s="97">
        <v>1</v>
      </c>
      <c r="AS257" s="97">
        <v>0</v>
      </c>
      <c r="AT257" s="97">
        <v>0</v>
      </c>
      <c r="AU257" s="97">
        <v>0</v>
      </c>
      <c r="AV257" s="97">
        <v>0</v>
      </c>
      <c r="AW257" s="97">
        <v>1</v>
      </c>
      <c r="AX257" s="97">
        <v>1</v>
      </c>
      <c r="AY257" s="103" t="s">
        <v>1294</v>
      </c>
      <c r="AZ257" s="5" t="s">
        <v>457</v>
      </c>
      <c r="BA257" s="2" t="s">
        <v>83</v>
      </c>
      <c r="BB257" s="30" t="s">
        <v>1132</v>
      </c>
      <c r="BC257" s="35" t="s">
        <v>1134</v>
      </c>
      <c r="BD257" s="2">
        <v>1</v>
      </c>
      <c r="BE257" s="2">
        <v>7</v>
      </c>
      <c r="BF257" s="2">
        <v>0</v>
      </c>
      <c r="BG257" s="97">
        <v>0</v>
      </c>
      <c r="BH257" s="97">
        <v>1</v>
      </c>
      <c r="BI257" s="97">
        <v>0</v>
      </c>
      <c r="BK257" s="2">
        <v>0.8</v>
      </c>
      <c r="BL257"/>
      <c r="BM257" s="2">
        <v>9</v>
      </c>
      <c r="BR257" s="6"/>
      <c r="BS257" s="6"/>
      <c r="BU257" s="2">
        <v>449.57</v>
      </c>
      <c r="BV257" s="2">
        <v>174.01</v>
      </c>
      <c r="BX257" s="2">
        <v>117</v>
      </c>
      <c r="BY257" s="2">
        <f>(555.17+570.87)/2</f>
        <v>563.02</v>
      </c>
      <c r="BZ257" s="2">
        <f>(208.24+202.74)/2</f>
        <v>205.49</v>
      </c>
      <c r="CB257" s="2">
        <f>(116+103)</f>
        <v>219</v>
      </c>
      <c r="CC257" s="2">
        <v>1</v>
      </c>
      <c r="CD257" s="37">
        <f t="shared" si="42"/>
        <v>0.581397465544785</v>
      </c>
      <c r="CE257" s="2">
        <v>336</v>
      </c>
      <c r="CF257" s="56">
        <f t="shared" si="40"/>
        <v>0.581397465544785</v>
      </c>
      <c r="CG257" s="22">
        <f t="shared" si="33"/>
        <v>0.65002212745211552</v>
      </c>
      <c r="CH257"/>
      <c r="CI257" s="56">
        <f t="shared" si="39"/>
        <v>1.3616229028596093E-2</v>
      </c>
      <c r="CJ257" s="37">
        <f t="shared" si="34"/>
        <v>1.3725579123362495E-2</v>
      </c>
      <c r="CK257" s="101"/>
    </row>
    <row r="258" spans="1:89" s="2" customFormat="1" x14ac:dyDescent="0.35">
      <c r="A258" s="1" t="s">
        <v>1124</v>
      </c>
      <c r="B258" s="48" t="s">
        <v>1125</v>
      </c>
      <c r="C258" s="1" t="s">
        <v>1126</v>
      </c>
      <c r="D258" s="101" t="s">
        <v>1127</v>
      </c>
      <c r="E258" s="30" t="s">
        <v>415</v>
      </c>
      <c r="F258" s="11" t="s">
        <v>1109</v>
      </c>
      <c r="G258" s="27">
        <v>0</v>
      </c>
      <c r="H258" s="27">
        <v>1</v>
      </c>
      <c r="I258" s="27">
        <v>1</v>
      </c>
      <c r="J258" s="11" t="s">
        <v>1107</v>
      </c>
      <c r="K258" s="82">
        <v>0</v>
      </c>
      <c r="L258" s="102" t="s">
        <v>1275</v>
      </c>
      <c r="M258" s="4">
        <v>1</v>
      </c>
      <c r="N258" s="4">
        <v>4</v>
      </c>
      <c r="O258" s="2">
        <v>336</v>
      </c>
      <c r="P258" s="2" t="s">
        <v>882</v>
      </c>
      <c r="Q258" s="2">
        <v>3</v>
      </c>
      <c r="R258" s="2">
        <v>3</v>
      </c>
      <c r="S258" s="32">
        <v>0</v>
      </c>
      <c r="T258" s="2">
        <v>0</v>
      </c>
      <c r="U258" s="2">
        <v>0</v>
      </c>
      <c r="V258" s="2">
        <v>1</v>
      </c>
      <c r="W258" s="2">
        <v>0</v>
      </c>
      <c r="X258" s="2">
        <v>1</v>
      </c>
      <c r="Y258" s="2">
        <v>0</v>
      </c>
      <c r="Z258" s="2">
        <v>0</v>
      </c>
      <c r="AA258" s="2">
        <v>1</v>
      </c>
      <c r="AB258" s="2">
        <v>0</v>
      </c>
      <c r="AC258" s="2" t="s">
        <v>1129</v>
      </c>
      <c r="AD258" s="198">
        <v>2.7</v>
      </c>
      <c r="AE258" s="198">
        <v>3.4</v>
      </c>
      <c r="AF258" s="2" t="s">
        <v>1131</v>
      </c>
      <c r="AG258" s="198">
        <v>0</v>
      </c>
      <c r="AH258" s="2" t="s">
        <v>35</v>
      </c>
      <c r="AI258" s="2">
        <v>46</v>
      </c>
      <c r="AJ258" s="27">
        <v>40</v>
      </c>
      <c r="AK258" s="27">
        <v>60</v>
      </c>
      <c r="AL258" s="27">
        <v>62</v>
      </c>
      <c r="AM258" s="27">
        <v>50</v>
      </c>
      <c r="AN258" s="27">
        <v>68</v>
      </c>
      <c r="AO258" s="3">
        <v>33.31</v>
      </c>
      <c r="AP258" s="2">
        <v>1</v>
      </c>
      <c r="AQ258" s="2">
        <v>0</v>
      </c>
      <c r="AR258" s="2">
        <v>1</v>
      </c>
      <c r="AS258" s="2">
        <v>0</v>
      </c>
      <c r="AT258" s="2">
        <v>0</v>
      </c>
      <c r="AU258" s="2">
        <v>0</v>
      </c>
      <c r="AV258" s="2">
        <v>0</v>
      </c>
      <c r="AW258" s="2">
        <v>1</v>
      </c>
      <c r="AX258" s="2">
        <v>1</v>
      </c>
      <c r="AY258" s="103" t="s">
        <v>1295</v>
      </c>
      <c r="AZ258" s="5" t="s">
        <v>457</v>
      </c>
      <c r="BA258" s="2" t="s">
        <v>83</v>
      </c>
      <c r="BB258" s="30" t="s">
        <v>1132</v>
      </c>
      <c r="BC258" s="35" t="s">
        <v>1134</v>
      </c>
      <c r="BD258" s="2">
        <v>1</v>
      </c>
      <c r="BE258" s="2">
        <v>7</v>
      </c>
      <c r="BF258" s="2">
        <v>0</v>
      </c>
      <c r="BG258" s="97">
        <v>0</v>
      </c>
      <c r="BH258" s="97">
        <v>1</v>
      </c>
      <c r="BI258" s="97">
        <v>0</v>
      </c>
      <c r="BK258" s="2">
        <v>0.8</v>
      </c>
      <c r="BL258"/>
      <c r="BM258" s="2">
        <v>9</v>
      </c>
      <c r="BR258" s="6"/>
      <c r="BS258" s="6"/>
      <c r="BU258" s="2">
        <v>470.09</v>
      </c>
      <c r="BV258" s="2">
        <v>177.76</v>
      </c>
      <c r="BX258" s="2">
        <v>117</v>
      </c>
      <c r="BY258" s="2">
        <f>(572.41+600.97)/2</f>
        <v>586.69000000000005</v>
      </c>
      <c r="BZ258" s="2">
        <f>(190.01+196.29)/2</f>
        <v>193.14999999999998</v>
      </c>
      <c r="CB258" s="2">
        <v>219</v>
      </c>
      <c r="CC258" s="2">
        <v>1</v>
      </c>
      <c r="CD258" s="37">
        <f t="shared" si="42"/>
        <v>0.62038482931286965</v>
      </c>
      <c r="CE258" s="2">
        <v>336</v>
      </c>
      <c r="CF258" s="56">
        <f t="shared" si="40"/>
        <v>0.62038482931286965</v>
      </c>
      <c r="CG258" s="22">
        <f t="shared" si="33"/>
        <v>0.69361132527659031</v>
      </c>
      <c r="CH258"/>
      <c r="CI258" s="56">
        <f t="shared" si="39"/>
        <v>1.3685952724280109E-2</v>
      </c>
      <c r="CJ258" s="37">
        <f t="shared" si="34"/>
        <v>1.3741282131250214E-2</v>
      </c>
      <c r="CK258" s="101"/>
    </row>
    <row r="259" spans="1:89" s="2" customFormat="1" x14ac:dyDescent="0.35">
      <c r="A259" s="1" t="s">
        <v>1124</v>
      </c>
      <c r="B259" s="48" t="s">
        <v>1125</v>
      </c>
      <c r="C259" s="1" t="s">
        <v>1126</v>
      </c>
      <c r="D259" s="101" t="s">
        <v>1127</v>
      </c>
      <c r="E259" s="30" t="s">
        <v>415</v>
      </c>
      <c r="F259" s="11" t="s">
        <v>1109</v>
      </c>
      <c r="G259" s="27">
        <v>0</v>
      </c>
      <c r="H259" s="27">
        <v>1</v>
      </c>
      <c r="I259" s="27">
        <v>1</v>
      </c>
      <c r="J259" s="11" t="s">
        <v>1107</v>
      </c>
      <c r="K259" s="82">
        <v>0</v>
      </c>
      <c r="L259" s="102" t="s">
        <v>1275</v>
      </c>
      <c r="M259" s="4">
        <v>1</v>
      </c>
      <c r="N259" s="4">
        <v>4</v>
      </c>
      <c r="O259" s="2">
        <v>336</v>
      </c>
      <c r="P259" s="2" t="s">
        <v>882</v>
      </c>
      <c r="Q259" s="2">
        <v>3</v>
      </c>
      <c r="R259" s="2">
        <v>1</v>
      </c>
      <c r="S259" s="32">
        <v>0</v>
      </c>
      <c r="T259" s="2">
        <v>0</v>
      </c>
      <c r="U259" s="2">
        <v>0</v>
      </c>
      <c r="V259" s="2">
        <v>1</v>
      </c>
      <c r="W259" s="2">
        <v>0</v>
      </c>
      <c r="X259" s="2">
        <v>1</v>
      </c>
      <c r="Y259" s="2">
        <v>0</v>
      </c>
      <c r="Z259" s="2">
        <v>0</v>
      </c>
      <c r="AA259" s="2">
        <v>1</v>
      </c>
      <c r="AB259" s="2">
        <v>0</v>
      </c>
      <c r="AC259" s="2" t="s">
        <v>730</v>
      </c>
      <c r="AD259" s="2">
        <v>2.6</v>
      </c>
      <c r="AE259" s="2">
        <v>2.9</v>
      </c>
      <c r="AF259" s="2" t="s">
        <v>58</v>
      </c>
      <c r="AG259" s="198">
        <v>0</v>
      </c>
      <c r="AH259" s="2" t="s">
        <v>35</v>
      </c>
      <c r="AI259" s="2">
        <v>46</v>
      </c>
      <c r="AJ259" s="27">
        <v>40</v>
      </c>
      <c r="AK259" s="27">
        <v>60</v>
      </c>
      <c r="AL259" s="27">
        <v>62</v>
      </c>
      <c r="AM259" s="27">
        <v>50</v>
      </c>
      <c r="AN259" s="27">
        <v>68</v>
      </c>
      <c r="AO259" s="3">
        <v>33.31</v>
      </c>
      <c r="AP259" s="2">
        <v>1</v>
      </c>
      <c r="AQ259" s="2">
        <v>0</v>
      </c>
      <c r="AR259" s="2">
        <v>1</v>
      </c>
      <c r="AS259" s="2">
        <v>0</v>
      </c>
      <c r="AT259" s="2">
        <v>0</v>
      </c>
      <c r="AU259" s="2">
        <v>0</v>
      </c>
      <c r="AV259" s="2">
        <v>0</v>
      </c>
      <c r="AW259" s="2">
        <v>1</v>
      </c>
      <c r="AX259" s="2">
        <v>1</v>
      </c>
      <c r="AY259" s="103" t="s">
        <v>1296</v>
      </c>
      <c r="AZ259" s="5" t="s">
        <v>457</v>
      </c>
      <c r="BA259" s="2" t="s">
        <v>83</v>
      </c>
      <c r="BB259" s="30" t="s">
        <v>620</v>
      </c>
      <c r="BC259" s="35" t="s">
        <v>1135</v>
      </c>
      <c r="BD259" s="2">
        <v>1</v>
      </c>
      <c r="BE259" s="2">
        <v>7</v>
      </c>
      <c r="BF259" s="2">
        <v>0</v>
      </c>
      <c r="BG259" s="97">
        <v>0</v>
      </c>
      <c r="BH259" s="97">
        <v>1</v>
      </c>
      <c r="BI259" s="97">
        <v>0</v>
      </c>
      <c r="BK259" s="2">
        <v>0.8</v>
      </c>
      <c r="BL259"/>
      <c r="BM259" s="2">
        <v>9</v>
      </c>
      <c r="BR259" s="6"/>
      <c r="BS259" s="6"/>
      <c r="BU259" s="2">
        <v>5.21</v>
      </c>
      <c r="BV259" s="2">
        <v>1.34</v>
      </c>
      <c r="BX259" s="2">
        <v>117</v>
      </c>
      <c r="BY259" s="2">
        <f>(5.5+5.74)/2</f>
        <v>5.62</v>
      </c>
      <c r="BZ259" s="2">
        <f>(1.21+1.39)/2</f>
        <v>1.2999999999999998</v>
      </c>
      <c r="CB259" s="2">
        <v>219</v>
      </c>
      <c r="CC259" s="2">
        <v>0</v>
      </c>
      <c r="CD259" s="37">
        <f t="shared" si="42"/>
        <v>0.31201717448694055</v>
      </c>
      <c r="CE259" s="2">
        <v>336</v>
      </c>
      <c r="CF259" s="56">
        <f t="shared" si="40"/>
        <v>0.31201717448694055</v>
      </c>
      <c r="CG259" s="22">
        <f t="shared" ref="CG259:CG308" si="43">(CF259/SQRT(BK259))</f>
        <v>0.34884580615010607</v>
      </c>
      <c r="CH259"/>
      <c r="CI259" s="56">
        <f t="shared" si="39"/>
        <v>1.3258091683704598E-2</v>
      </c>
      <c r="CJ259" s="37">
        <f t="shared" ref="CJ259:CJ308" si="44">((BX259+CB259)/(BX259*CB259))+((CG259^2)/(2*(BX279+CB259)))</f>
        <v>1.3339414496887223E-2</v>
      </c>
      <c r="CK259" s="101"/>
    </row>
    <row r="260" spans="1:89" s="101" customFormat="1" x14ac:dyDescent="0.35">
      <c r="A260" s="1" t="s">
        <v>1124</v>
      </c>
      <c r="B260" s="48" t="s">
        <v>1125</v>
      </c>
      <c r="C260" s="1" t="s">
        <v>1126</v>
      </c>
      <c r="D260" s="101" t="s">
        <v>1127</v>
      </c>
      <c r="E260" s="30" t="s">
        <v>415</v>
      </c>
      <c r="F260" s="11" t="s">
        <v>1109</v>
      </c>
      <c r="G260" s="27">
        <v>0</v>
      </c>
      <c r="H260" s="27">
        <v>1</v>
      </c>
      <c r="I260" s="27">
        <v>1</v>
      </c>
      <c r="J260" s="11" t="s">
        <v>1107</v>
      </c>
      <c r="K260" s="82">
        <v>0</v>
      </c>
      <c r="L260" s="102" t="s">
        <v>1275</v>
      </c>
      <c r="M260" s="4">
        <v>1</v>
      </c>
      <c r="N260" s="4">
        <v>4</v>
      </c>
      <c r="O260" s="2">
        <v>336</v>
      </c>
      <c r="P260" s="2" t="s">
        <v>882</v>
      </c>
      <c r="Q260" s="2">
        <v>3</v>
      </c>
      <c r="R260" s="2">
        <v>2</v>
      </c>
      <c r="S260" s="32">
        <v>0</v>
      </c>
      <c r="T260" s="2">
        <v>0</v>
      </c>
      <c r="U260" s="2">
        <v>0</v>
      </c>
      <c r="V260" s="2">
        <v>1</v>
      </c>
      <c r="W260" s="2">
        <v>0</v>
      </c>
      <c r="X260" s="2">
        <v>1</v>
      </c>
      <c r="Y260" s="2">
        <v>0</v>
      </c>
      <c r="Z260" s="2">
        <v>0</v>
      </c>
      <c r="AA260" s="2">
        <v>1</v>
      </c>
      <c r="AB260" s="2">
        <v>0</v>
      </c>
      <c r="AC260" s="2" t="s">
        <v>1128</v>
      </c>
      <c r="AD260" s="198">
        <v>2.6</v>
      </c>
      <c r="AE260" s="198">
        <v>3.6</v>
      </c>
      <c r="AF260" s="2" t="s">
        <v>1130</v>
      </c>
      <c r="AG260" s="198">
        <v>1</v>
      </c>
      <c r="AH260" s="2" t="s">
        <v>35</v>
      </c>
      <c r="AI260" s="2">
        <v>46</v>
      </c>
      <c r="AJ260" s="27">
        <v>40</v>
      </c>
      <c r="AK260" s="27">
        <v>60</v>
      </c>
      <c r="AL260" s="27">
        <v>62</v>
      </c>
      <c r="AM260" s="27">
        <v>50</v>
      </c>
      <c r="AN260" s="27">
        <v>68</v>
      </c>
      <c r="AO260" s="3">
        <v>33.31</v>
      </c>
      <c r="AP260" s="2">
        <v>1</v>
      </c>
      <c r="AQ260" s="2">
        <v>0</v>
      </c>
      <c r="AR260" s="2">
        <v>1</v>
      </c>
      <c r="AS260" s="2">
        <v>0</v>
      </c>
      <c r="AT260" s="2">
        <v>0</v>
      </c>
      <c r="AU260" s="2">
        <v>0</v>
      </c>
      <c r="AV260" s="2">
        <v>0</v>
      </c>
      <c r="AW260" s="2">
        <v>1</v>
      </c>
      <c r="AX260" s="2">
        <v>1</v>
      </c>
      <c r="AY260" s="103" t="s">
        <v>1297</v>
      </c>
      <c r="AZ260" s="5" t="s">
        <v>457</v>
      </c>
      <c r="BA260" s="2" t="s">
        <v>83</v>
      </c>
      <c r="BB260" s="30" t="s">
        <v>620</v>
      </c>
      <c r="BC260" s="35" t="s">
        <v>1135</v>
      </c>
      <c r="BD260" s="2">
        <v>1</v>
      </c>
      <c r="BE260" s="2">
        <v>7</v>
      </c>
      <c r="BF260" s="2">
        <v>0</v>
      </c>
      <c r="BG260" s="97">
        <v>0</v>
      </c>
      <c r="BH260" s="97">
        <v>1</v>
      </c>
      <c r="BI260" s="97">
        <v>0</v>
      </c>
      <c r="BJ260" s="2"/>
      <c r="BK260" s="2">
        <v>0.8</v>
      </c>
      <c r="BL260"/>
      <c r="BM260" s="2">
        <v>9</v>
      </c>
      <c r="BN260" s="2"/>
      <c r="BO260" s="2"/>
      <c r="BP260" s="2"/>
      <c r="BQ260" s="2"/>
      <c r="BR260" s="6"/>
      <c r="BS260" s="6"/>
      <c r="BT260" s="2"/>
      <c r="BU260" s="2">
        <v>5.07</v>
      </c>
      <c r="BV260" s="2">
        <v>1.43</v>
      </c>
      <c r="BW260" s="2"/>
      <c r="BX260" s="2">
        <v>117</v>
      </c>
      <c r="BY260" s="2">
        <f>(5.7+5.92)/2</f>
        <v>5.8100000000000005</v>
      </c>
      <c r="BZ260" s="2">
        <f>(1.27+1.3)/2</f>
        <v>1.2850000000000001</v>
      </c>
      <c r="CA260" s="2"/>
      <c r="CB260" s="2">
        <v>219</v>
      </c>
      <c r="CC260" s="2">
        <v>1</v>
      </c>
      <c r="CD260" s="3">
        <f t="shared" si="42"/>
        <v>0.55341889183614779</v>
      </c>
      <c r="CE260" s="2">
        <v>336</v>
      </c>
      <c r="CF260" s="56">
        <f t="shared" si="40"/>
        <v>0.55341889183614779</v>
      </c>
      <c r="CG260" s="22">
        <f t="shared" si="43"/>
        <v>0.61874113108911499</v>
      </c>
      <c r="CH260"/>
      <c r="CI260" s="56">
        <f t="shared" si="39"/>
        <v>1.3568981196600931E-2</v>
      </c>
      <c r="CJ260" s="37">
        <f t="shared" si="44"/>
        <v>1.3824818197320159E-2</v>
      </c>
    </row>
    <row r="261" spans="1:89" s="101" customFormat="1" x14ac:dyDescent="0.35">
      <c r="A261" s="88" t="s">
        <v>1124</v>
      </c>
      <c r="B261" s="49" t="s">
        <v>1125</v>
      </c>
      <c r="C261" s="88" t="s">
        <v>1126</v>
      </c>
      <c r="D261" s="104" t="s">
        <v>1127</v>
      </c>
      <c r="E261" s="39" t="s">
        <v>415</v>
      </c>
      <c r="F261" s="18" t="s">
        <v>1109</v>
      </c>
      <c r="G261" s="28">
        <v>0</v>
      </c>
      <c r="H261" s="28">
        <v>1</v>
      </c>
      <c r="I261" s="28">
        <v>1</v>
      </c>
      <c r="J261" s="18" t="s">
        <v>1107</v>
      </c>
      <c r="K261" s="83">
        <v>0</v>
      </c>
      <c r="L261" s="175" t="s">
        <v>1275</v>
      </c>
      <c r="M261" s="94">
        <v>1</v>
      </c>
      <c r="N261" s="94">
        <v>4</v>
      </c>
      <c r="O261" s="92">
        <v>336</v>
      </c>
      <c r="P261" s="92" t="s">
        <v>882</v>
      </c>
      <c r="Q261" s="92">
        <v>3</v>
      </c>
      <c r="R261" s="92">
        <v>3</v>
      </c>
      <c r="S261" s="41">
        <v>0</v>
      </c>
      <c r="T261" s="92">
        <v>0</v>
      </c>
      <c r="U261" s="92">
        <v>0</v>
      </c>
      <c r="V261" s="92">
        <v>1</v>
      </c>
      <c r="W261" s="92">
        <v>0</v>
      </c>
      <c r="X261" s="92">
        <v>1</v>
      </c>
      <c r="Y261" s="92">
        <v>0</v>
      </c>
      <c r="Z261" s="92">
        <v>0</v>
      </c>
      <c r="AA261" s="92">
        <v>1</v>
      </c>
      <c r="AB261" s="92">
        <v>0</v>
      </c>
      <c r="AC261" s="92" t="s">
        <v>1129</v>
      </c>
      <c r="AD261" s="168">
        <v>2.7</v>
      </c>
      <c r="AE261" s="168">
        <v>3.4</v>
      </c>
      <c r="AF261" s="92" t="s">
        <v>1131</v>
      </c>
      <c r="AG261" s="168">
        <v>0</v>
      </c>
      <c r="AH261" s="92" t="s">
        <v>35</v>
      </c>
      <c r="AI261" s="92">
        <v>46</v>
      </c>
      <c r="AJ261" s="27">
        <v>40</v>
      </c>
      <c r="AK261" s="27">
        <v>60</v>
      </c>
      <c r="AL261" s="27">
        <v>62</v>
      </c>
      <c r="AM261" s="27">
        <v>50</v>
      </c>
      <c r="AN261" s="27">
        <v>68</v>
      </c>
      <c r="AO261" s="95">
        <v>33.31</v>
      </c>
      <c r="AP261" s="92">
        <v>1</v>
      </c>
      <c r="AQ261" s="92">
        <v>0</v>
      </c>
      <c r="AR261" s="92">
        <v>1</v>
      </c>
      <c r="AS261" s="92">
        <v>0</v>
      </c>
      <c r="AT261" s="92">
        <v>0</v>
      </c>
      <c r="AU261" s="92">
        <v>0</v>
      </c>
      <c r="AV261" s="92">
        <v>0</v>
      </c>
      <c r="AW261" s="92">
        <v>1</v>
      </c>
      <c r="AX261" s="92">
        <v>1</v>
      </c>
      <c r="AY261" s="103" t="s">
        <v>1298</v>
      </c>
      <c r="AZ261" s="5" t="s">
        <v>457</v>
      </c>
      <c r="BA261" s="2" t="s">
        <v>83</v>
      </c>
      <c r="BB261" s="30" t="s">
        <v>620</v>
      </c>
      <c r="BC261" s="35" t="s">
        <v>1135</v>
      </c>
      <c r="BD261" s="2">
        <v>1</v>
      </c>
      <c r="BE261" s="2">
        <v>7</v>
      </c>
      <c r="BF261" s="2">
        <v>0</v>
      </c>
      <c r="BG261" s="97">
        <v>0</v>
      </c>
      <c r="BH261" s="97">
        <v>1</v>
      </c>
      <c r="BI261" s="97">
        <v>0</v>
      </c>
      <c r="BJ261" s="2"/>
      <c r="BK261" s="2">
        <v>0.8</v>
      </c>
      <c r="BL261"/>
      <c r="BM261" s="2">
        <v>9</v>
      </c>
      <c r="BN261" s="2"/>
      <c r="BO261" s="2"/>
      <c r="BP261" s="2"/>
      <c r="BQ261" s="2"/>
      <c r="BR261" s="6"/>
      <c r="BS261" s="6"/>
      <c r="BT261" s="2"/>
      <c r="BU261" s="2">
        <v>5.22</v>
      </c>
      <c r="BV261" s="2">
        <v>1.38</v>
      </c>
      <c r="BW261" s="2"/>
      <c r="BX261" s="2">
        <v>117</v>
      </c>
      <c r="BY261" s="2">
        <f>(5.83+6.03)/2</f>
        <v>5.93</v>
      </c>
      <c r="BZ261" s="2">
        <f>(2.17+1.01)/2</f>
        <v>1.5899999999999999</v>
      </c>
      <c r="CA261" s="2"/>
      <c r="CB261" s="2">
        <v>219</v>
      </c>
      <c r="CC261" s="2">
        <v>1</v>
      </c>
      <c r="CD261" s="3">
        <f t="shared" si="42"/>
        <v>0.46699555828897171</v>
      </c>
      <c r="CE261" s="2">
        <v>336</v>
      </c>
      <c r="CF261" s="56">
        <f t="shared" si="40"/>
        <v>0.46699555828897171</v>
      </c>
      <c r="CG261" s="22">
        <f t="shared" si="43"/>
        <v>0.52211690676230305</v>
      </c>
      <c r="CH261"/>
      <c r="CI261" s="56">
        <f t="shared" si="39"/>
        <v>1.3437749621631405E-2</v>
      </c>
      <c r="CJ261" s="37">
        <f t="shared" si="44"/>
        <v>1.3601759926590067E-2</v>
      </c>
    </row>
    <row r="262" spans="1:89" s="101" customFormat="1" x14ac:dyDescent="0.35">
      <c r="A262" s="1" t="s">
        <v>1136</v>
      </c>
      <c r="B262" s="48" t="s">
        <v>1137</v>
      </c>
      <c r="C262" s="1" t="s">
        <v>1126</v>
      </c>
      <c r="D262" s="101" t="s">
        <v>1138</v>
      </c>
      <c r="E262" s="30" t="s">
        <v>1139</v>
      </c>
      <c r="F262" s="11" t="s">
        <v>1109</v>
      </c>
      <c r="G262" s="2">
        <v>0</v>
      </c>
      <c r="H262" s="2">
        <v>1</v>
      </c>
      <c r="I262" s="2">
        <v>2</v>
      </c>
      <c r="J262" s="2" t="s">
        <v>1107</v>
      </c>
      <c r="K262" s="81">
        <v>0</v>
      </c>
      <c r="L262" s="107" t="s">
        <v>1144</v>
      </c>
      <c r="M262" s="108">
        <v>1</v>
      </c>
      <c r="N262" s="108">
        <v>6</v>
      </c>
      <c r="O262" s="109">
        <v>150</v>
      </c>
      <c r="P262" s="109" t="s">
        <v>31</v>
      </c>
      <c r="Q262" s="109">
        <v>2</v>
      </c>
      <c r="R262" s="109">
        <v>1</v>
      </c>
      <c r="S262" s="46">
        <v>0</v>
      </c>
      <c r="T262" s="109">
        <v>0</v>
      </c>
      <c r="U262" s="109">
        <v>0</v>
      </c>
      <c r="V262" s="109">
        <v>1</v>
      </c>
      <c r="W262" s="109">
        <v>0</v>
      </c>
      <c r="X262" s="109">
        <v>1</v>
      </c>
      <c r="Y262" s="109">
        <v>0</v>
      </c>
      <c r="Z262" s="109">
        <v>0</v>
      </c>
      <c r="AA262" s="109">
        <v>1</v>
      </c>
      <c r="AB262" s="109">
        <v>0</v>
      </c>
      <c r="AC262" s="109" t="s">
        <v>1140</v>
      </c>
      <c r="AD262" s="199">
        <v>3.8</v>
      </c>
      <c r="AE262" s="199">
        <v>2.9</v>
      </c>
      <c r="AF262" s="109" t="s">
        <v>220</v>
      </c>
      <c r="AG262" s="109">
        <v>0</v>
      </c>
      <c r="AH262" s="109" t="s">
        <v>465</v>
      </c>
      <c r="AI262" s="109">
        <v>30</v>
      </c>
      <c r="AJ262" s="26">
        <v>80</v>
      </c>
      <c r="AK262" s="26">
        <v>43</v>
      </c>
      <c r="AL262" s="26">
        <v>66</v>
      </c>
      <c r="AM262" s="26">
        <v>77</v>
      </c>
      <c r="AN262" s="26">
        <v>24</v>
      </c>
      <c r="AO262" s="110">
        <v>21.1</v>
      </c>
      <c r="AP262" s="109">
        <v>0</v>
      </c>
      <c r="AQ262" s="109">
        <v>1</v>
      </c>
      <c r="AR262" s="109">
        <v>0</v>
      </c>
      <c r="AS262" s="109">
        <v>1</v>
      </c>
      <c r="AT262" s="109">
        <v>0</v>
      </c>
      <c r="AU262" s="109">
        <v>0</v>
      </c>
      <c r="AV262" s="109">
        <v>0</v>
      </c>
      <c r="AW262" s="109">
        <v>1</v>
      </c>
      <c r="AX262" s="109">
        <v>1</v>
      </c>
      <c r="AY262" s="103" t="s">
        <v>1299</v>
      </c>
      <c r="AZ262" s="5" t="s">
        <v>269</v>
      </c>
      <c r="BA262" s="2" t="s">
        <v>1141</v>
      </c>
      <c r="BB262" s="30" t="s">
        <v>1142</v>
      </c>
      <c r="BC262" s="101" t="s">
        <v>1143</v>
      </c>
      <c r="BD262" s="2">
        <v>3</v>
      </c>
      <c r="BE262" s="2">
        <v>7</v>
      </c>
      <c r="BF262" s="2">
        <v>0</v>
      </c>
      <c r="BG262" s="97">
        <v>0</v>
      </c>
      <c r="BH262" s="97">
        <v>1</v>
      </c>
      <c r="BI262" s="97">
        <v>0</v>
      </c>
      <c r="BJ262" s="2">
        <v>0.91</v>
      </c>
      <c r="BK262" s="2">
        <v>0.91</v>
      </c>
      <c r="BL262" t="s">
        <v>41</v>
      </c>
      <c r="BM262" s="2">
        <v>7</v>
      </c>
      <c r="BN262" s="2"/>
      <c r="BO262" s="2"/>
      <c r="BP262" s="2">
        <v>2.11</v>
      </c>
      <c r="BQ262" s="2">
        <v>148</v>
      </c>
      <c r="BR262" s="6"/>
      <c r="BS262" s="6"/>
      <c r="BT262" s="2"/>
      <c r="BU262" s="2">
        <v>3.54</v>
      </c>
      <c r="BV262" s="2">
        <v>1.36</v>
      </c>
      <c r="BW262" s="2"/>
      <c r="BX262" s="2">
        <v>75</v>
      </c>
      <c r="BY262" s="2">
        <v>4.7</v>
      </c>
      <c r="BZ262" s="2">
        <v>1.65</v>
      </c>
      <c r="CA262" s="2"/>
      <c r="CB262" s="2">
        <v>75</v>
      </c>
      <c r="CC262" s="2">
        <v>1</v>
      </c>
      <c r="CD262" s="3">
        <f t="shared" si="42"/>
        <v>0.76721154017990889</v>
      </c>
      <c r="CE262" s="2">
        <v>150</v>
      </c>
      <c r="CF262" s="56">
        <f t="shared" si="40"/>
        <v>0.76721154017990889</v>
      </c>
      <c r="CG262" s="22">
        <f t="shared" si="43"/>
        <v>0.80425622412866726</v>
      </c>
      <c r="CH262"/>
      <c r="CI262" s="56">
        <f t="shared" si="39"/>
        <v>2.8628711824617428E-2</v>
      </c>
      <c r="CJ262" s="37">
        <f t="shared" si="44"/>
        <v>2.9062326200184081E-2</v>
      </c>
    </row>
    <row r="263" spans="1:89" s="101" customFormat="1" x14ac:dyDescent="0.35">
      <c r="A263" s="88" t="s">
        <v>1136</v>
      </c>
      <c r="B263" s="49" t="s">
        <v>1137</v>
      </c>
      <c r="C263" s="88" t="s">
        <v>1126</v>
      </c>
      <c r="D263" s="104" t="s">
        <v>1138</v>
      </c>
      <c r="E263" s="39" t="s">
        <v>1139</v>
      </c>
      <c r="F263" s="18" t="s">
        <v>1109</v>
      </c>
      <c r="G263" s="92">
        <v>0</v>
      </c>
      <c r="H263" s="92">
        <v>1</v>
      </c>
      <c r="I263" s="92">
        <v>2</v>
      </c>
      <c r="J263" s="92" t="s">
        <v>1107</v>
      </c>
      <c r="K263" s="106">
        <v>0</v>
      </c>
      <c r="L263" s="107" t="s">
        <v>1276</v>
      </c>
      <c r="M263" s="108">
        <v>2</v>
      </c>
      <c r="N263" s="108">
        <v>7</v>
      </c>
      <c r="O263" s="109">
        <v>300</v>
      </c>
      <c r="P263" s="109" t="s">
        <v>147</v>
      </c>
      <c r="Q263" s="109">
        <v>2</v>
      </c>
      <c r="R263" s="109">
        <v>1</v>
      </c>
      <c r="S263" s="46">
        <v>0</v>
      </c>
      <c r="T263" s="109">
        <v>0</v>
      </c>
      <c r="U263" s="109">
        <v>0</v>
      </c>
      <c r="V263" s="109">
        <v>1</v>
      </c>
      <c r="W263" s="109">
        <v>0</v>
      </c>
      <c r="X263" s="109">
        <v>1</v>
      </c>
      <c r="Y263" s="109">
        <v>0</v>
      </c>
      <c r="Z263" s="109">
        <v>0</v>
      </c>
      <c r="AA263" s="109">
        <v>0</v>
      </c>
      <c r="AB263" s="109">
        <v>0</v>
      </c>
      <c r="AC263" s="109" t="s">
        <v>1145</v>
      </c>
      <c r="AD263" s="199">
        <v>2.4</v>
      </c>
      <c r="AE263" s="199">
        <v>3.4</v>
      </c>
      <c r="AF263" s="109" t="s">
        <v>1146</v>
      </c>
      <c r="AG263" s="109">
        <v>1</v>
      </c>
      <c r="AH263" s="109" t="s">
        <v>35</v>
      </c>
      <c r="AI263" s="109">
        <v>46</v>
      </c>
      <c r="AJ263" s="26">
        <v>40</v>
      </c>
      <c r="AK263" s="26">
        <v>60</v>
      </c>
      <c r="AL263" s="26">
        <v>62</v>
      </c>
      <c r="AM263" s="26">
        <v>50</v>
      </c>
      <c r="AN263" s="26">
        <v>68</v>
      </c>
      <c r="AO263" s="110">
        <v>32.549999999999997</v>
      </c>
      <c r="AP263" s="109">
        <v>0</v>
      </c>
      <c r="AQ263" s="109">
        <v>1</v>
      </c>
      <c r="AR263" s="109">
        <v>0</v>
      </c>
      <c r="AS263" s="109">
        <v>1</v>
      </c>
      <c r="AT263" s="109">
        <v>0</v>
      </c>
      <c r="AU263" s="109">
        <v>0</v>
      </c>
      <c r="AV263" s="109">
        <v>0</v>
      </c>
      <c r="AW263" s="109">
        <v>1</v>
      </c>
      <c r="AX263" s="109">
        <v>1</v>
      </c>
      <c r="AY263" s="103" t="s">
        <v>1300</v>
      </c>
      <c r="AZ263" s="5" t="s">
        <v>269</v>
      </c>
      <c r="BA263" s="2" t="s">
        <v>1147</v>
      </c>
      <c r="BB263" s="30" t="s">
        <v>1142</v>
      </c>
      <c r="BC263" s="101" t="s">
        <v>1143</v>
      </c>
      <c r="BD263" s="2">
        <v>3</v>
      </c>
      <c r="BE263" s="2">
        <v>7</v>
      </c>
      <c r="BF263" s="2">
        <v>0</v>
      </c>
      <c r="BG263" s="97">
        <v>0</v>
      </c>
      <c r="BH263" s="97">
        <v>1</v>
      </c>
      <c r="BI263" s="97">
        <v>0</v>
      </c>
      <c r="BJ263" s="2">
        <v>0.88</v>
      </c>
      <c r="BK263" s="2">
        <v>0.88</v>
      </c>
      <c r="BL263" t="s">
        <v>41</v>
      </c>
      <c r="BM263" s="2">
        <v>8</v>
      </c>
      <c r="BN263" s="2"/>
      <c r="BO263" s="2"/>
      <c r="BP263" s="2"/>
      <c r="BQ263" s="2"/>
      <c r="BR263" s="6"/>
      <c r="BS263" s="6"/>
      <c r="BT263" s="2"/>
      <c r="BU263" s="2">
        <v>5.23</v>
      </c>
      <c r="BV263" s="2">
        <v>1.19</v>
      </c>
      <c r="BW263" s="2"/>
      <c r="BX263" s="2">
        <v>150</v>
      </c>
      <c r="BY263" s="2">
        <v>6.41</v>
      </c>
      <c r="BZ263" s="2">
        <v>1.36</v>
      </c>
      <c r="CA263" s="2"/>
      <c r="CB263" s="2">
        <v>150</v>
      </c>
      <c r="CC263" s="2">
        <v>1</v>
      </c>
      <c r="CD263" s="3">
        <f t="shared" si="42"/>
        <v>0.92344038138886142</v>
      </c>
      <c r="CE263" s="2">
        <v>300</v>
      </c>
      <c r="CF263" s="111">
        <f t="shared" si="40"/>
        <v>0.92344038138886142</v>
      </c>
      <c r="CG263" s="22">
        <f t="shared" si="43"/>
        <v>0.98439075411901678</v>
      </c>
      <c r="CH263" s="112"/>
      <c r="CI263" s="3">
        <f t="shared" si="39"/>
        <v>1.4754570229966011E-2</v>
      </c>
      <c r="CJ263" s="37">
        <f t="shared" si="44"/>
        <v>1.5640536087607161E-2</v>
      </c>
    </row>
    <row r="264" spans="1:89" s="101" customFormat="1" x14ac:dyDescent="0.35">
      <c r="A264" s="1" t="s">
        <v>1148</v>
      </c>
      <c r="B264" s="48" t="s">
        <v>1149</v>
      </c>
      <c r="C264" s="1" t="s">
        <v>1150</v>
      </c>
      <c r="D264" s="101" t="s">
        <v>1151</v>
      </c>
      <c r="E264" s="30" t="s">
        <v>1152</v>
      </c>
      <c r="F264" s="11" t="s">
        <v>1109</v>
      </c>
      <c r="G264" s="2">
        <v>1</v>
      </c>
      <c r="H264" s="2">
        <v>1</v>
      </c>
      <c r="I264" s="2">
        <v>1</v>
      </c>
      <c r="J264" s="2" t="s">
        <v>1107</v>
      </c>
      <c r="K264" s="81">
        <v>0</v>
      </c>
      <c r="L264" s="102" t="s">
        <v>1277</v>
      </c>
      <c r="M264" s="4">
        <v>1</v>
      </c>
      <c r="N264" s="4">
        <v>738</v>
      </c>
      <c r="O264" s="2">
        <v>445</v>
      </c>
      <c r="P264" s="2" t="s">
        <v>31</v>
      </c>
      <c r="Q264" s="2">
        <v>2</v>
      </c>
      <c r="R264" s="2">
        <v>1</v>
      </c>
      <c r="S264" s="32">
        <v>0</v>
      </c>
      <c r="T264" s="2">
        <v>0</v>
      </c>
      <c r="U264" s="2">
        <v>1</v>
      </c>
      <c r="V264" s="2">
        <v>0</v>
      </c>
      <c r="W264" s="2">
        <v>0</v>
      </c>
      <c r="X264" s="2">
        <v>0</v>
      </c>
      <c r="Y264" s="2">
        <v>0</v>
      </c>
      <c r="Z264" s="2">
        <v>1</v>
      </c>
      <c r="AA264" s="2">
        <v>1</v>
      </c>
      <c r="AB264" s="2">
        <v>0</v>
      </c>
      <c r="AC264" s="2" t="s">
        <v>1153</v>
      </c>
      <c r="AD264" s="198">
        <v>1.5</v>
      </c>
      <c r="AE264" s="198">
        <v>2.9</v>
      </c>
      <c r="AF264" s="2" t="s">
        <v>991</v>
      </c>
      <c r="AG264" s="2">
        <v>0</v>
      </c>
      <c r="AH264" s="2" t="s">
        <v>35</v>
      </c>
      <c r="AI264" s="2">
        <v>46</v>
      </c>
      <c r="AJ264" s="27">
        <v>40</v>
      </c>
      <c r="AK264" s="27">
        <v>60</v>
      </c>
      <c r="AL264" s="27">
        <v>62</v>
      </c>
      <c r="AM264" s="27">
        <v>50</v>
      </c>
      <c r="AN264" s="27">
        <v>68</v>
      </c>
      <c r="AO264" s="3">
        <v>22</v>
      </c>
      <c r="AP264" s="2">
        <v>1</v>
      </c>
      <c r="AQ264" s="2">
        <v>0</v>
      </c>
      <c r="AR264" s="2">
        <v>1</v>
      </c>
      <c r="AS264" s="2">
        <v>0</v>
      </c>
      <c r="AT264" s="2">
        <v>0</v>
      </c>
      <c r="AU264" s="2">
        <v>0</v>
      </c>
      <c r="AV264" s="2">
        <v>0</v>
      </c>
      <c r="AW264" s="2">
        <v>1</v>
      </c>
      <c r="AX264" s="2">
        <v>1</v>
      </c>
      <c r="AY264" s="103" t="s">
        <v>1301</v>
      </c>
      <c r="AZ264" s="5" t="s">
        <v>619</v>
      </c>
      <c r="BA264" s="2" t="s">
        <v>61</v>
      </c>
      <c r="BB264" s="30" t="s">
        <v>1154</v>
      </c>
      <c r="BC264" s="101" t="s">
        <v>1155</v>
      </c>
      <c r="BD264" s="2">
        <v>3</v>
      </c>
      <c r="BE264" s="2">
        <v>7</v>
      </c>
      <c r="BF264" s="2">
        <v>0</v>
      </c>
      <c r="BG264" s="97">
        <v>0</v>
      </c>
      <c r="BH264" s="97">
        <v>1</v>
      </c>
      <c r="BI264" s="97">
        <v>0</v>
      </c>
      <c r="BJ264" s="2">
        <v>0.99</v>
      </c>
      <c r="BK264" s="2">
        <v>0.99</v>
      </c>
      <c r="BL264" t="s">
        <v>1157</v>
      </c>
      <c r="BM264" s="2" t="s">
        <v>1158</v>
      </c>
      <c r="BN264" s="2"/>
      <c r="BO264" s="2"/>
      <c r="BP264" s="2"/>
      <c r="BQ264" s="2"/>
      <c r="BR264" s="6"/>
      <c r="BS264" s="6"/>
      <c r="BT264" s="2"/>
      <c r="BU264" s="2">
        <f>(4.32+4.13+4.39)/3</f>
        <v>4.28</v>
      </c>
      <c r="BV264" s="2">
        <f>(1.35+1.31+1.38)/3</f>
        <v>1.3466666666666667</v>
      </c>
      <c r="BW264" s="2"/>
      <c r="BX264" s="2">
        <v>174</v>
      </c>
      <c r="BY264" s="2">
        <f>(4.3+4.31+4.5)/3</f>
        <v>4.37</v>
      </c>
      <c r="BZ264" s="2">
        <f>(1.39+1.37+1.42)/3</f>
        <v>1.3933333333333333</v>
      </c>
      <c r="CA264" s="2"/>
      <c r="CB264" s="2">
        <v>271</v>
      </c>
      <c r="CC264" s="2">
        <v>0</v>
      </c>
      <c r="CD264" s="3">
        <f t="shared" si="42"/>
        <v>6.5440383463714419E-2</v>
      </c>
      <c r="CE264" s="2">
        <v>445</v>
      </c>
      <c r="CF264" s="111">
        <f t="shared" si="40"/>
        <v>6.5440383463714419E-2</v>
      </c>
      <c r="CG264" s="22">
        <f t="shared" si="43"/>
        <v>6.5770060026096602E-2</v>
      </c>
      <c r="CH264" s="112"/>
      <c r="CI264" s="3">
        <f t="shared" si="39"/>
        <v>9.4419750717437342E-3</v>
      </c>
      <c r="CJ264" s="37">
        <f t="shared" si="44"/>
        <v>9.4436976283829941E-3</v>
      </c>
    </row>
    <row r="265" spans="1:89" s="101" customFormat="1" x14ac:dyDescent="0.35">
      <c r="A265" s="88" t="s">
        <v>1148</v>
      </c>
      <c r="B265" s="49" t="s">
        <v>1149</v>
      </c>
      <c r="C265" s="88" t="s">
        <v>1150</v>
      </c>
      <c r="D265" s="104" t="s">
        <v>1151</v>
      </c>
      <c r="E265" s="39" t="s">
        <v>1152</v>
      </c>
      <c r="F265" s="18" t="s">
        <v>1109</v>
      </c>
      <c r="G265" s="92">
        <v>1</v>
      </c>
      <c r="H265" s="92">
        <v>1</v>
      </c>
      <c r="I265" s="92">
        <v>1</v>
      </c>
      <c r="J265" s="92" t="s">
        <v>1107</v>
      </c>
      <c r="K265" s="106">
        <v>0</v>
      </c>
      <c r="L265" s="105" t="s">
        <v>1277</v>
      </c>
      <c r="M265" s="94">
        <v>1</v>
      </c>
      <c r="N265" s="94">
        <v>738</v>
      </c>
      <c r="O265" s="92">
        <v>445</v>
      </c>
      <c r="P265" s="92" t="s">
        <v>31</v>
      </c>
      <c r="Q265" s="92">
        <v>2</v>
      </c>
      <c r="R265" s="92">
        <v>1</v>
      </c>
      <c r="S265" s="41">
        <v>0</v>
      </c>
      <c r="T265" s="92">
        <v>0</v>
      </c>
      <c r="U265" s="92">
        <v>1</v>
      </c>
      <c r="V265" s="92">
        <v>0</v>
      </c>
      <c r="W265" s="92">
        <v>0</v>
      </c>
      <c r="X265" s="92">
        <v>0</v>
      </c>
      <c r="Y265" s="92">
        <v>0</v>
      </c>
      <c r="Z265" s="92">
        <v>1</v>
      </c>
      <c r="AA265" s="92">
        <v>1</v>
      </c>
      <c r="AB265" s="92">
        <v>0</v>
      </c>
      <c r="AC265" s="92" t="s">
        <v>1153</v>
      </c>
      <c r="AD265" s="168">
        <v>1.5</v>
      </c>
      <c r="AE265" s="168">
        <v>2.9</v>
      </c>
      <c r="AF265" s="92" t="s">
        <v>991</v>
      </c>
      <c r="AG265" s="92">
        <v>0</v>
      </c>
      <c r="AH265" s="92" t="s">
        <v>35</v>
      </c>
      <c r="AI265" s="92">
        <v>46</v>
      </c>
      <c r="AJ265" s="28">
        <v>40</v>
      </c>
      <c r="AK265" s="28">
        <v>60</v>
      </c>
      <c r="AL265" s="28">
        <v>62</v>
      </c>
      <c r="AM265" s="28">
        <v>50</v>
      </c>
      <c r="AN265" s="28">
        <v>68</v>
      </c>
      <c r="AO265" s="95">
        <v>22</v>
      </c>
      <c r="AP265" s="92">
        <v>1</v>
      </c>
      <c r="AQ265" s="92">
        <v>0</v>
      </c>
      <c r="AR265" s="92">
        <v>1</v>
      </c>
      <c r="AS265" s="92">
        <v>0</v>
      </c>
      <c r="AT265" s="92">
        <v>0</v>
      </c>
      <c r="AU265" s="92">
        <v>0</v>
      </c>
      <c r="AV265" s="92">
        <v>0</v>
      </c>
      <c r="AW265" s="92">
        <v>1</v>
      </c>
      <c r="AX265" s="92">
        <v>1</v>
      </c>
      <c r="AY265" s="103" t="s">
        <v>1302</v>
      </c>
      <c r="AZ265" s="5" t="s">
        <v>619</v>
      </c>
      <c r="BA265" s="2" t="s">
        <v>61</v>
      </c>
      <c r="BB265" s="30" t="s">
        <v>170</v>
      </c>
      <c r="BC265" s="101" t="s">
        <v>1156</v>
      </c>
      <c r="BD265" s="2">
        <v>3</v>
      </c>
      <c r="BE265" s="2">
        <v>7</v>
      </c>
      <c r="BF265" s="2">
        <v>0</v>
      </c>
      <c r="BG265" s="97">
        <v>0</v>
      </c>
      <c r="BH265" s="97">
        <v>1</v>
      </c>
      <c r="BI265" s="97">
        <v>0</v>
      </c>
      <c r="BJ265" s="2">
        <v>0.95</v>
      </c>
      <c r="BK265" s="2">
        <v>0.95</v>
      </c>
      <c r="BL265" t="s">
        <v>1157</v>
      </c>
      <c r="BM265" s="2" t="s">
        <v>1158</v>
      </c>
      <c r="BN265" s="2"/>
      <c r="BO265" s="2"/>
      <c r="BP265" s="2"/>
      <c r="BQ265" s="2"/>
      <c r="BR265" s="6"/>
      <c r="BS265" s="6"/>
      <c r="BT265" s="2"/>
      <c r="BU265" s="2">
        <f>(4.3+4.22+3.73)/3</f>
        <v>4.083333333333333</v>
      </c>
      <c r="BV265" s="2">
        <f>(1.66+1.65+1.7)/3</f>
        <v>1.67</v>
      </c>
      <c r="BW265" s="2"/>
      <c r="BX265" s="2">
        <v>174</v>
      </c>
      <c r="BY265" s="2">
        <f>(4.56+4.58+4.26)/3</f>
        <v>4.4666666666666668</v>
      </c>
      <c r="BZ265" s="2">
        <f>(1.64+1.57+1.66)</f>
        <v>4.87</v>
      </c>
      <c r="CA265" s="2"/>
      <c r="CB265" s="2">
        <v>271</v>
      </c>
      <c r="CC265" s="2">
        <v>0</v>
      </c>
      <c r="CD265" s="3">
        <f t="shared" si="42"/>
        <v>9.7228501644431128E-2</v>
      </c>
      <c r="CE265" s="2">
        <v>445</v>
      </c>
      <c r="CF265" s="111">
        <f t="shared" si="40"/>
        <v>9.7228501644431128E-2</v>
      </c>
      <c r="CG265" s="22">
        <f t="shared" si="43"/>
        <v>9.9754337892862144E-2</v>
      </c>
      <c r="CH265" s="112"/>
      <c r="CI265" s="3">
        <f t="shared" si="39"/>
        <v>9.4477851141528835E-3</v>
      </c>
      <c r="CJ265" s="37">
        <f t="shared" si="44"/>
        <v>9.452194950335573E-3</v>
      </c>
    </row>
    <row r="266" spans="1:89" s="101" customFormat="1" x14ac:dyDescent="0.35">
      <c r="A266" s="113" t="s">
        <v>1159</v>
      </c>
      <c r="B266" s="51" t="s">
        <v>1160</v>
      </c>
      <c r="C266" s="113" t="s">
        <v>1161</v>
      </c>
      <c r="D266" s="114" t="s">
        <v>1162</v>
      </c>
      <c r="E266" s="204" t="s">
        <v>54</v>
      </c>
      <c r="F266" s="20" t="s">
        <v>1109</v>
      </c>
      <c r="G266" s="109">
        <v>0</v>
      </c>
      <c r="H266" s="109">
        <v>1</v>
      </c>
      <c r="I266" s="109">
        <v>4</v>
      </c>
      <c r="J266" s="109" t="s">
        <v>1106</v>
      </c>
      <c r="K266" s="115">
        <v>1</v>
      </c>
      <c r="L266" s="116" t="s">
        <v>1278</v>
      </c>
      <c r="M266" s="108">
        <v>1</v>
      </c>
      <c r="N266" s="108">
        <v>9</v>
      </c>
      <c r="O266" s="109">
        <v>184</v>
      </c>
      <c r="P266" s="109" t="s">
        <v>31</v>
      </c>
      <c r="Q266" s="109">
        <v>2</v>
      </c>
      <c r="R266" s="108">
        <v>1</v>
      </c>
      <c r="S266" s="46">
        <v>0</v>
      </c>
      <c r="T266" s="109">
        <v>1</v>
      </c>
      <c r="U266" s="109">
        <v>0</v>
      </c>
      <c r="V266" s="109">
        <v>0</v>
      </c>
      <c r="W266" s="109">
        <v>0</v>
      </c>
      <c r="X266" s="109">
        <v>0</v>
      </c>
      <c r="Y266" s="109">
        <v>1</v>
      </c>
      <c r="Z266" s="109">
        <v>0</v>
      </c>
      <c r="AA266" s="109">
        <v>1</v>
      </c>
      <c r="AB266" s="109">
        <v>1</v>
      </c>
      <c r="AC266" s="109" t="s">
        <v>1163</v>
      </c>
      <c r="AD266" s="199">
        <v>2.2999999999999998</v>
      </c>
      <c r="AE266" s="199">
        <v>3.1</v>
      </c>
      <c r="AF266" s="109" t="s">
        <v>58</v>
      </c>
      <c r="AG266" s="109">
        <v>0</v>
      </c>
      <c r="AH266" s="109" t="s">
        <v>1164</v>
      </c>
      <c r="AI266" s="109">
        <f>(51+30)/2</f>
        <v>40.5</v>
      </c>
      <c r="AJ266" s="26">
        <v>80</v>
      </c>
      <c r="AK266" s="26">
        <v>43</v>
      </c>
      <c r="AL266" s="26">
        <v>66</v>
      </c>
      <c r="AM266" s="26">
        <v>77</v>
      </c>
      <c r="AN266" s="26">
        <v>24</v>
      </c>
      <c r="AO266" s="110">
        <v>21</v>
      </c>
      <c r="AP266" s="109">
        <v>0</v>
      </c>
      <c r="AQ266" s="109">
        <v>0</v>
      </c>
      <c r="AR266" s="109">
        <v>1</v>
      </c>
      <c r="AS266" s="109">
        <v>0</v>
      </c>
      <c r="AT266" s="109">
        <v>0</v>
      </c>
      <c r="AU266" s="109">
        <v>0</v>
      </c>
      <c r="AV266" s="109">
        <v>0</v>
      </c>
      <c r="AW266" s="109">
        <v>0</v>
      </c>
      <c r="AX266" s="109">
        <v>1</v>
      </c>
      <c r="AY266" s="103" t="s">
        <v>1303</v>
      </c>
      <c r="AZ266" s="5" t="s">
        <v>619</v>
      </c>
      <c r="BA266" s="2" t="s">
        <v>61</v>
      </c>
      <c r="BB266" s="30" t="s">
        <v>46</v>
      </c>
      <c r="BC266" s="101" t="s">
        <v>1165</v>
      </c>
      <c r="BD266" s="2">
        <v>3</v>
      </c>
      <c r="BE266" s="2">
        <v>7</v>
      </c>
      <c r="BF266" s="2">
        <v>0</v>
      </c>
      <c r="BG266" s="97">
        <v>0</v>
      </c>
      <c r="BH266" s="97">
        <v>1</v>
      </c>
      <c r="BI266" s="97">
        <v>0</v>
      </c>
      <c r="BJ266" s="2">
        <v>0.9</v>
      </c>
      <c r="BK266" s="2">
        <v>0.9</v>
      </c>
      <c r="BL266" t="s">
        <v>41</v>
      </c>
      <c r="BM266" s="2">
        <v>12</v>
      </c>
      <c r="BN266" s="2"/>
      <c r="BO266" s="2"/>
      <c r="BP266" s="2"/>
      <c r="BQ266" s="2"/>
      <c r="BR266" s="6"/>
      <c r="BS266" s="6"/>
      <c r="BT266" s="2"/>
      <c r="BU266" s="2">
        <v>3.52</v>
      </c>
      <c r="BV266" s="2">
        <v>1.45</v>
      </c>
      <c r="BW266" s="2"/>
      <c r="BX266" s="2">
        <v>94</v>
      </c>
      <c r="BY266" s="2">
        <v>4.51</v>
      </c>
      <c r="BZ266" s="2">
        <v>1.29</v>
      </c>
      <c r="CA266" s="2"/>
      <c r="CB266" s="2">
        <v>90</v>
      </c>
      <c r="CC266" s="2">
        <v>1</v>
      </c>
      <c r="CD266" s="3">
        <f t="shared" si="42"/>
        <v>0.72047792089362273</v>
      </c>
      <c r="CE266" s="2">
        <v>184</v>
      </c>
      <c r="CF266" s="111">
        <f t="shared" si="40"/>
        <v>0.72047792089362273</v>
      </c>
      <c r="CG266" s="22">
        <f t="shared" si="43"/>
        <v>0.75945041129548807</v>
      </c>
      <c r="CH266" s="112"/>
      <c r="CI266" s="3">
        <f t="shared" si="39"/>
        <v>2.3159975381536312E-2</v>
      </c>
      <c r="CJ266" s="37">
        <f t="shared" si="44"/>
        <v>2.3671958740841156E-2</v>
      </c>
    </row>
    <row r="267" spans="1:89" s="101" customFormat="1" x14ac:dyDescent="0.35">
      <c r="A267" s="1" t="s">
        <v>1166</v>
      </c>
      <c r="B267" s="117" t="s">
        <v>1167</v>
      </c>
      <c r="C267" s="1" t="s">
        <v>1126</v>
      </c>
      <c r="D267" t="s">
        <v>1168</v>
      </c>
      <c r="E267" t="s">
        <v>216</v>
      </c>
      <c r="F267" s="2" t="s">
        <v>1109</v>
      </c>
      <c r="G267" s="2">
        <v>1</v>
      </c>
      <c r="H267" s="2">
        <v>1</v>
      </c>
      <c r="I267" s="81">
        <v>2</v>
      </c>
      <c r="J267" s="2" t="s">
        <v>1111</v>
      </c>
      <c r="K267" s="81">
        <v>0</v>
      </c>
      <c r="L267" s="107" t="s">
        <v>1170</v>
      </c>
      <c r="M267" s="108">
        <v>1</v>
      </c>
      <c r="N267" s="108">
        <v>5</v>
      </c>
      <c r="O267" s="109">
        <v>80</v>
      </c>
      <c r="P267" s="109" t="s">
        <v>31</v>
      </c>
      <c r="Q267" s="109">
        <v>2</v>
      </c>
      <c r="R267" s="109">
        <v>1</v>
      </c>
      <c r="S267" s="46">
        <v>0</v>
      </c>
      <c r="T267" s="109">
        <v>0</v>
      </c>
      <c r="U267" s="109">
        <v>0</v>
      </c>
      <c r="V267" s="109">
        <v>1</v>
      </c>
      <c r="W267" s="109">
        <v>0</v>
      </c>
      <c r="X267" s="109">
        <v>1</v>
      </c>
      <c r="Y267" s="109">
        <v>0</v>
      </c>
      <c r="Z267" s="109">
        <v>0</v>
      </c>
      <c r="AA267" s="109">
        <v>1</v>
      </c>
      <c r="AB267" s="109">
        <v>0</v>
      </c>
      <c r="AC267" s="109" t="s">
        <v>1171</v>
      </c>
      <c r="AD267" s="109">
        <v>3.7</v>
      </c>
      <c r="AE267" s="109">
        <v>2.9</v>
      </c>
      <c r="AF267" s="109" t="s">
        <v>58</v>
      </c>
      <c r="AG267" s="109">
        <v>0</v>
      </c>
      <c r="AH267" s="109" t="s">
        <v>267</v>
      </c>
      <c r="AI267" s="109">
        <v>86</v>
      </c>
      <c r="AJ267" s="27">
        <v>68</v>
      </c>
      <c r="AK267" s="27">
        <v>74</v>
      </c>
      <c r="AL267" s="27">
        <v>43</v>
      </c>
      <c r="AM267" s="27">
        <v>60</v>
      </c>
      <c r="AN267" s="27">
        <v>48</v>
      </c>
      <c r="AO267" s="110">
        <v>21</v>
      </c>
      <c r="AP267" s="109">
        <v>0</v>
      </c>
      <c r="AQ267" s="109">
        <v>0</v>
      </c>
      <c r="AR267" s="109">
        <v>1</v>
      </c>
      <c r="AS267" s="109">
        <v>0</v>
      </c>
      <c r="AT267" s="109">
        <v>0</v>
      </c>
      <c r="AU267" s="109">
        <v>0</v>
      </c>
      <c r="AV267" s="109">
        <v>0</v>
      </c>
      <c r="AW267" s="109">
        <v>1</v>
      </c>
      <c r="AX267" s="109">
        <v>1</v>
      </c>
      <c r="AY267" s="103" t="s">
        <v>1304</v>
      </c>
      <c r="AZ267" s="5" t="s">
        <v>619</v>
      </c>
      <c r="BA267" s="2" t="s">
        <v>83</v>
      </c>
      <c r="BB267" s="30" t="s">
        <v>201</v>
      </c>
      <c r="BC267" s="101" t="s">
        <v>1169</v>
      </c>
      <c r="BD267" s="2">
        <v>4</v>
      </c>
      <c r="BE267" s="2">
        <v>7</v>
      </c>
      <c r="BF267" s="2">
        <v>1</v>
      </c>
      <c r="BG267" s="2">
        <v>1</v>
      </c>
      <c r="BH267" s="2">
        <v>0</v>
      </c>
      <c r="BI267" s="2">
        <v>0</v>
      </c>
      <c r="BJ267" s="2">
        <v>0.78</v>
      </c>
      <c r="BK267" s="2">
        <v>0.78</v>
      </c>
      <c r="BL267" t="s">
        <v>41</v>
      </c>
      <c r="BM267" s="2">
        <v>6</v>
      </c>
      <c r="BN267" s="2"/>
      <c r="BO267" s="2"/>
      <c r="BP267" s="2">
        <v>2.1</v>
      </c>
      <c r="BQ267" s="2">
        <v>78</v>
      </c>
      <c r="BR267" s="6"/>
      <c r="BS267" s="6"/>
      <c r="BT267" s="2"/>
      <c r="BU267" s="2">
        <v>5.19</v>
      </c>
      <c r="BV267" s="2">
        <v>1.05</v>
      </c>
      <c r="BW267" s="2"/>
      <c r="BX267" s="2">
        <v>40</v>
      </c>
      <c r="BY267" s="2">
        <v>5.64</v>
      </c>
      <c r="BZ267" s="2">
        <v>0.86</v>
      </c>
      <c r="CA267" s="2"/>
      <c r="CB267" s="2">
        <v>40</v>
      </c>
      <c r="CC267" s="2">
        <v>1</v>
      </c>
      <c r="CD267" s="3">
        <f t="shared" si="42"/>
        <v>0.46888993486979674</v>
      </c>
      <c r="CE267" s="2">
        <v>80</v>
      </c>
      <c r="CF267" s="111">
        <f t="shared" si="40"/>
        <v>0.46888993486979674</v>
      </c>
      <c r="CG267" s="22">
        <f t="shared" si="43"/>
        <v>0.53091330479462617</v>
      </c>
      <c r="CH267" s="112"/>
      <c r="CI267" s="3">
        <f t="shared" si="39"/>
        <v>5.137411106888877E-2</v>
      </c>
      <c r="CJ267" s="37">
        <f t="shared" si="44"/>
        <v>5.1118527528602985E-2</v>
      </c>
    </row>
    <row r="268" spans="1:89" s="101" customFormat="1" x14ac:dyDescent="0.35">
      <c r="A268" s="88" t="s">
        <v>1166</v>
      </c>
      <c r="B268" s="118" t="s">
        <v>1167</v>
      </c>
      <c r="C268" s="88" t="s">
        <v>1126</v>
      </c>
      <c r="D268" s="89" t="s">
        <v>1168</v>
      </c>
      <c r="E268" s="89" t="s">
        <v>216</v>
      </c>
      <c r="F268" s="92" t="s">
        <v>1109</v>
      </c>
      <c r="G268" s="92">
        <v>1</v>
      </c>
      <c r="H268" s="92">
        <v>1</v>
      </c>
      <c r="I268" s="106">
        <v>2</v>
      </c>
      <c r="J268" s="92" t="s">
        <v>1111</v>
      </c>
      <c r="K268" s="106">
        <v>0</v>
      </c>
      <c r="L268" s="107" t="s">
        <v>1341</v>
      </c>
      <c r="M268" s="108">
        <v>2</v>
      </c>
      <c r="N268" s="108">
        <v>6</v>
      </c>
      <c r="O268" s="109">
        <v>246</v>
      </c>
      <c r="P268" s="109" t="s">
        <v>147</v>
      </c>
      <c r="Q268" s="109">
        <v>2</v>
      </c>
      <c r="R268" s="109">
        <v>1</v>
      </c>
      <c r="S268" s="46">
        <v>0</v>
      </c>
      <c r="T268" s="109">
        <v>0</v>
      </c>
      <c r="U268" s="109">
        <v>0</v>
      </c>
      <c r="V268" s="109">
        <v>1</v>
      </c>
      <c r="W268" s="109">
        <v>0</v>
      </c>
      <c r="X268" s="109">
        <v>1</v>
      </c>
      <c r="Y268" s="109">
        <v>0</v>
      </c>
      <c r="Z268" s="109">
        <v>0</v>
      </c>
      <c r="AA268" s="109">
        <v>1</v>
      </c>
      <c r="AB268" s="109">
        <v>0</v>
      </c>
      <c r="AC268" s="109" t="s">
        <v>1172</v>
      </c>
      <c r="AD268" s="109">
        <v>3.5</v>
      </c>
      <c r="AE268" s="109">
        <v>3</v>
      </c>
      <c r="AF268" s="109" t="s">
        <v>662</v>
      </c>
      <c r="AG268" s="109">
        <v>1</v>
      </c>
      <c r="AH268" s="109" t="s">
        <v>35</v>
      </c>
      <c r="AI268" s="109">
        <v>46</v>
      </c>
      <c r="AJ268" s="26">
        <v>40</v>
      </c>
      <c r="AK268" s="26">
        <v>60</v>
      </c>
      <c r="AL268" s="26">
        <v>62</v>
      </c>
      <c r="AM268" s="26">
        <v>50</v>
      </c>
      <c r="AN268" s="26">
        <v>68</v>
      </c>
      <c r="AO268" s="110">
        <v>41</v>
      </c>
      <c r="AP268" s="109">
        <v>0</v>
      </c>
      <c r="AQ268" s="109">
        <v>0</v>
      </c>
      <c r="AR268" s="109">
        <v>0</v>
      </c>
      <c r="AS268" s="109">
        <v>0</v>
      </c>
      <c r="AT268" s="109">
        <v>0</v>
      </c>
      <c r="AU268" s="109">
        <v>1</v>
      </c>
      <c r="AV268" s="109">
        <v>0</v>
      </c>
      <c r="AW268" s="109">
        <v>1</v>
      </c>
      <c r="AX268" s="109">
        <v>1</v>
      </c>
      <c r="AY268" s="103" t="s">
        <v>1305</v>
      </c>
      <c r="AZ268" s="5" t="s">
        <v>619</v>
      </c>
      <c r="BA268" s="2" t="s">
        <v>83</v>
      </c>
      <c r="BB268" s="30" t="s">
        <v>620</v>
      </c>
      <c r="BC268" s="101" t="s">
        <v>1173</v>
      </c>
      <c r="BD268" s="2">
        <v>4</v>
      </c>
      <c r="BE268" s="2">
        <v>7</v>
      </c>
      <c r="BF268" s="2">
        <v>0</v>
      </c>
      <c r="BG268" s="2">
        <v>0</v>
      </c>
      <c r="BH268" s="2">
        <v>1</v>
      </c>
      <c r="BI268" s="2">
        <v>0</v>
      </c>
      <c r="BJ268" s="2">
        <v>0.93</v>
      </c>
      <c r="BK268" s="2">
        <v>0.93</v>
      </c>
      <c r="BL268" t="s">
        <v>41</v>
      </c>
      <c r="BM268" s="2">
        <v>7</v>
      </c>
      <c r="BN268" s="2"/>
      <c r="BO268" s="2"/>
      <c r="BP268" s="2">
        <v>3.72</v>
      </c>
      <c r="BQ268" s="2">
        <v>244</v>
      </c>
      <c r="BR268" s="6"/>
      <c r="BS268" s="6"/>
      <c r="BT268" s="2"/>
      <c r="BU268" s="2">
        <v>4.45</v>
      </c>
      <c r="BV268" s="2">
        <v>1.28</v>
      </c>
      <c r="BW268" s="2"/>
      <c r="BX268" s="2">
        <v>133</v>
      </c>
      <c r="BY268" s="2">
        <v>5.07</v>
      </c>
      <c r="BZ268" s="2">
        <v>1.32</v>
      </c>
      <c r="CA268" s="2"/>
      <c r="CB268" s="2">
        <v>113</v>
      </c>
      <c r="CC268" s="2">
        <v>1</v>
      </c>
      <c r="CD268" s="3">
        <f t="shared" si="42"/>
        <v>0.47746898845106917</v>
      </c>
      <c r="CE268" s="2">
        <v>246</v>
      </c>
      <c r="CF268" s="111">
        <f t="shared" si="40"/>
        <v>0.47746898845106917</v>
      </c>
      <c r="CG268" s="22">
        <f t="shared" si="43"/>
        <v>0.49511227675555797</v>
      </c>
      <c r="CH268" s="112"/>
      <c r="CI268" s="3">
        <f t="shared" si="39"/>
        <v>1.6831721658776819E-2</v>
      </c>
      <c r="CJ268" s="37">
        <f t="shared" si="44"/>
        <v>1.7159116342327911E-2</v>
      </c>
    </row>
    <row r="269" spans="1:89" s="101" customFormat="1" x14ac:dyDescent="0.35">
      <c r="A269" s="1" t="s">
        <v>1174</v>
      </c>
      <c r="B269" s="48" t="s">
        <v>1175</v>
      </c>
      <c r="C269" s="1" t="s">
        <v>52</v>
      </c>
      <c r="D269" s="101" t="s">
        <v>1176</v>
      </c>
      <c r="E269" s="119" t="s">
        <v>1177</v>
      </c>
      <c r="F269" s="11" t="s">
        <v>1109</v>
      </c>
      <c r="G269" s="2">
        <v>0</v>
      </c>
      <c r="H269" s="2">
        <v>1</v>
      </c>
      <c r="I269" s="2">
        <v>6</v>
      </c>
      <c r="J269" s="2" t="s">
        <v>1111</v>
      </c>
      <c r="K269" s="81">
        <v>0</v>
      </c>
      <c r="L269" s="107" t="s">
        <v>1180</v>
      </c>
      <c r="M269" s="108">
        <v>1</v>
      </c>
      <c r="N269" s="108">
        <v>140</v>
      </c>
      <c r="O269" s="109">
        <v>92</v>
      </c>
      <c r="P269" s="109" t="s">
        <v>31</v>
      </c>
      <c r="Q269" s="109">
        <v>2</v>
      </c>
      <c r="R269" s="109">
        <v>1</v>
      </c>
      <c r="S269" s="46">
        <v>0</v>
      </c>
      <c r="T269" s="109">
        <v>0</v>
      </c>
      <c r="U269" s="109">
        <v>0</v>
      </c>
      <c r="V269" s="109">
        <v>1</v>
      </c>
      <c r="W269" s="109">
        <v>0</v>
      </c>
      <c r="X269" s="109">
        <v>1</v>
      </c>
      <c r="Y269" s="109">
        <v>0</v>
      </c>
      <c r="Z269" s="109">
        <v>0</v>
      </c>
      <c r="AA269" s="109">
        <v>1</v>
      </c>
      <c r="AB269" s="109">
        <v>0</v>
      </c>
      <c r="AC269" s="109" t="s">
        <v>1172</v>
      </c>
      <c r="AD269" s="109">
        <v>3.5</v>
      </c>
      <c r="AE269" s="109">
        <v>3</v>
      </c>
      <c r="AF269" s="109" t="s">
        <v>1178</v>
      </c>
      <c r="AG269" s="109">
        <v>0</v>
      </c>
      <c r="AH269" s="109" t="s">
        <v>465</v>
      </c>
      <c r="AI269" s="109">
        <v>30</v>
      </c>
      <c r="AJ269" s="26">
        <v>80</v>
      </c>
      <c r="AK269" s="26">
        <v>43</v>
      </c>
      <c r="AL269" s="26">
        <v>66</v>
      </c>
      <c r="AM269" s="26">
        <v>77</v>
      </c>
      <c r="AN269" s="26">
        <v>24</v>
      </c>
      <c r="AO269" s="110">
        <v>29.37</v>
      </c>
      <c r="AP269" s="109">
        <v>1</v>
      </c>
      <c r="AQ269" s="109">
        <v>0</v>
      </c>
      <c r="AR269" s="109">
        <v>0</v>
      </c>
      <c r="AS269" s="109">
        <v>0</v>
      </c>
      <c r="AT269" s="109">
        <v>0</v>
      </c>
      <c r="AU269" s="109">
        <v>1</v>
      </c>
      <c r="AV269" s="109">
        <v>0</v>
      </c>
      <c r="AW269" s="109">
        <v>1</v>
      </c>
      <c r="AX269" s="109">
        <v>1</v>
      </c>
      <c r="AY269" s="103" t="s">
        <v>1306</v>
      </c>
      <c r="AZ269" s="5" t="s">
        <v>619</v>
      </c>
      <c r="BA269" s="2" t="s">
        <v>83</v>
      </c>
      <c r="BB269" s="30" t="s">
        <v>620</v>
      </c>
      <c r="BC269" s="101" t="s">
        <v>1179</v>
      </c>
      <c r="BD269" s="2">
        <v>1</v>
      </c>
      <c r="BE269" s="2">
        <v>7</v>
      </c>
      <c r="BF269" s="2">
        <v>0</v>
      </c>
      <c r="BG269" s="2">
        <v>0</v>
      </c>
      <c r="BH269" s="2">
        <v>1</v>
      </c>
      <c r="BI269" s="2">
        <v>0</v>
      </c>
      <c r="BJ269" s="2"/>
      <c r="BK269" s="2">
        <v>0.8</v>
      </c>
      <c r="BL269"/>
      <c r="BM269" s="2">
        <v>141</v>
      </c>
      <c r="BN269" s="2"/>
      <c r="BO269" s="2"/>
      <c r="BP269" s="2"/>
      <c r="BQ269" s="2"/>
      <c r="BR269" s="6"/>
      <c r="BS269" s="6"/>
      <c r="BT269" s="2"/>
      <c r="BU269" s="2">
        <v>2.63</v>
      </c>
      <c r="BV269" s="2">
        <v>1.1100000000000001</v>
      </c>
      <c r="BW269" s="2"/>
      <c r="BX269" s="2">
        <v>46</v>
      </c>
      <c r="BY269" s="2">
        <v>4.3499999999999996</v>
      </c>
      <c r="BZ269" s="2">
        <v>1.66</v>
      </c>
      <c r="CA269" s="2"/>
      <c r="CB269" s="2">
        <v>46</v>
      </c>
      <c r="CC269" s="2">
        <v>1</v>
      </c>
      <c r="CD269" s="3">
        <f t="shared" si="42"/>
        <v>1.2180979311625357</v>
      </c>
      <c r="CE269" s="2">
        <v>92</v>
      </c>
      <c r="CF269" s="111">
        <f t="shared" si="40"/>
        <v>1.2180979311625357</v>
      </c>
      <c r="CG269" s="22">
        <f t="shared" si="43"/>
        <v>1.3618748886656447</v>
      </c>
      <c r="CH269" s="112"/>
      <c r="CI269" s="3">
        <f t="shared" si="39"/>
        <v>5.1542187879904618E-2</v>
      </c>
      <c r="CJ269" s="37">
        <f t="shared" si="44"/>
        <v>5.4016347303531477E-2</v>
      </c>
    </row>
    <row r="270" spans="1:89" s="101" customFormat="1" x14ac:dyDescent="0.35">
      <c r="A270" s="170" t="s">
        <v>1174</v>
      </c>
      <c r="B270" s="48" t="s">
        <v>1175</v>
      </c>
      <c r="C270" s="170" t="s">
        <v>52</v>
      </c>
      <c r="D270" s="172" t="s">
        <v>1176</v>
      </c>
      <c r="E270" s="119" t="s">
        <v>1177</v>
      </c>
      <c r="F270" s="11" t="s">
        <v>1109</v>
      </c>
      <c r="G270" s="97">
        <v>0</v>
      </c>
      <c r="H270" s="97">
        <v>1</v>
      </c>
      <c r="I270" s="97">
        <v>6</v>
      </c>
      <c r="J270" s="97" t="s">
        <v>1111</v>
      </c>
      <c r="K270" s="81">
        <v>0</v>
      </c>
      <c r="L270" s="107" t="s">
        <v>1181</v>
      </c>
      <c r="M270" s="108">
        <v>2</v>
      </c>
      <c r="N270" s="108">
        <v>142</v>
      </c>
      <c r="O270" s="109">
        <v>82</v>
      </c>
      <c r="P270" s="109" t="s">
        <v>31</v>
      </c>
      <c r="Q270" s="109">
        <v>2</v>
      </c>
      <c r="R270" s="109">
        <v>1</v>
      </c>
      <c r="S270" s="46">
        <v>0</v>
      </c>
      <c r="T270" s="109">
        <v>0</v>
      </c>
      <c r="U270" s="109">
        <v>0</v>
      </c>
      <c r="V270" s="109">
        <v>1</v>
      </c>
      <c r="W270" s="109">
        <v>0</v>
      </c>
      <c r="X270" s="109">
        <v>1</v>
      </c>
      <c r="Y270" s="109">
        <v>0</v>
      </c>
      <c r="Z270" s="109">
        <v>0</v>
      </c>
      <c r="AA270" s="109">
        <v>1</v>
      </c>
      <c r="AB270" s="109">
        <v>0</v>
      </c>
      <c r="AC270" s="109" t="s">
        <v>1172</v>
      </c>
      <c r="AD270" s="109">
        <v>3.5</v>
      </c>
      <c r="AE270" s="109">
        <v>3</v>
      </c>
      <c r="AF270" s="109" t="s">
        <v>1178</v>
      </c>
      <c r="AG270" s="109">
        <v>0</v>
      </c>
      <c r="AH270" s="109" t="s">
        <v>465</v>
      </c>
      <c r="AI270" s="109">
        <v>30</v>
      </c>
      <c r="AJ270" s="26">
        <v>80</v>
      </c>
      <c r="AK270" s="26">
        <v>43</v>
      </c>
      <c r="AL270" s="26">
        <v>66</v>
      </c>
      <c r="AM270" s="26">
        <v>77</v>
      </c>
      <c r="AN270" s="26">
        <v>24</v>
      </c>
      <c r="AO270" s="110">
        <v>27.85</v>
      </c>
      <c r="AP270" s="109">
        <v>1</v>
      </c>
      <c r="AQ270" s="109">
        <v>0</v>
      </c>
      <c r="AR270" s="109">
        <v>0</v>
      </c>
      <c r="AS270" s="109">
        <v>0</v>
      </c>
      <c r="AT270" s="109">
        <v>0</v>
      </c>
      <c r="AU270" s="109">
        <v>1</v>
      </c>
      <c r="AV270" s="109">
        <v>0</v>
      </c>
      <c r="AW270" s="109">
        <v>1</v>
      </c>
      <c r="AX270" s="109">
        <v>1</v>
      </c>
      <c r="AY270" s="103" t="s">
        <v>1307</v>
      </c>
      <c r="AZ270" s="5" t="s">
        <v>619</v>
      </c>
      <c r="BA270" s="2" t="s">
        <v>83</v>
      </c>
      <c r="BB270" s="30" t="s">
        <v>620</v>
      </c>
      <c r="BC270" s="101" t="s">
        <v>1179</v>
      </c>
      <c r="BD270" s="2">
        <v>1</v>
      </c>
      <c r="BE270" s="2">
        <v>7</v>
      </c>
      <c r="BF270" s="2">
        <v>0</v>
      </c>
      <c r="BG270" s="2">
        <v>0</v>
      </c>
      <c r="BH270" s="2">
        <v>1</v>
      </c>
      <c r="BI270" s="2">
        <v>0</v>
      </c>
      <c r="BJ270" s="2"/>
      <c r="BK270" s="2">
        <v>0.8</v>
      </c>
      <c r="BL270"/>
      <c r="BM270" s="2">
        <v>143</v>
      </c>
      <c r="BN270" s="2"/>
      <c r="BO270" s="2"/>
      <c r="BP270" s="2"/>
      <c r="BQ270" s="2"/>
      <c r="BR270" s="6"/>
      <c r="BS270" s="6"/>
      <c r="BT270" s="2"/>
      <c r="BU270" s="2">
        <v>2.39</v>
      </c>
      <c r="BV270" s="2">
        <v>0.97</v>
      </c>
      <c r="BW270" s="2"/>
      <c r="BX270" s="2">
        <v>41</v>
      </c>
      <c r="BY270" s="2">
        <v>5.17</v>
      </c>
      <c r="BZ270" s="2">
        <v>1.0900000000000001</v>
      </c>
      <c r="CA270" s="2"/>
      <c r="CB270" s="2">
        <v>41</v>
      </c>
      <c r="CC270" s="2">
        <v>1</v>
      </c>
      <c r="CD270" s="3">
        <f t="shared" si="42"/>
        <v>2.6944613790259582</v>
      </c>
      <c r="CE270" s="2">
        <v>82</v>
      </c>
      <c r="CF270" s="111">
        <f t="shared" si="40"/>
        <v>2.6944613790259582</v>
      </c>
      <c r="CG270" s="22">
        <f t="shared" si="43"/>
        <v>3.0124994031249344</v>
      </c>
      <c r="CH270" s="112"/>
      <c r="CI270" s="3">
        <f t="shared" si="39"/>
        <v>9.3049525140624811E-2</v>
      </c>
      <c r="CJ270" s="37">
        <f t="shared" si="44"/>
        <v>0.10279925360147379</v>
      </c>
    </row>
    <row r="271" spans="1:89" s="101" customFormat="1" x14ac:dyDescent="0.35">
      <c r="A271" s="170" t="s">
        <v>1174</v>
      </c>
      <c r="B271" s="48" t="s">
        <v>1175</v>
      </c>
      <c r="C271" s="170" t="s">
        <v>52</v>
      </c>
      <c r="D271" s="172" t="s">
        <v>1176</v>
      </c>
      <c r="E271" s="119" t="s">
        <v>1177</v>
      </c>
      <c r="F271" s="11" t="s">
        <v>1109</v>
      </c>
      <c r="G271" s="97">
        <v>0</v>
      </c>
      <c r="H271" s="97">
        <v>1</v>
      </c>
      <c r="I271" s="97">
        <v>6</v>
      </c>
      <c r="J271" s="97" t="s">
        <v>1111</v>
      </c>
      <c r="K271" s="81">
        <v>0</v>
      </c>
      <c r="L271" s="107" t="s">
        <v>1182</v>
      </c>
      <c r="M271" s="108">
        <v>3</v>
      </c>
      <c r="N271" s="108">
        <v>144</v>
      </c>
      <c r="O271" s="109">
        <v>211</v>
      </c>
      <c r="P271" s="109" t="s">
        <v>31</v>
      </c>
      <c r="Q271" s="109">
        <v>2</v>
      </c>
      <c r="R271" s="109">
        <v>1</v>
      </c>
      <c r="S271" s="46">
        <v>0</v>
      </c>
      <c r="T271" s="109">
        <v>0</v>
      </c>
      <c r="U271" s="109">
        <v>0</v>
      </c>
      <c r="V271" s="109">
        <v>1</v>
      </c>
      <c r="W271" s="109">
        <v>0</v>
      </c>
      <c r="X271" s="109">
        <v>1</v>
      </c>
      <c r="Y271" s="109">
        <v>0</v>
      </c>
      <c r="Z271" s="109">
        <v>0</v>
      </c>
      <c r="AA271" s="109">
        <v>1</v>
      </c>
      <c r="AB271" s="109">
        <v>0</v>
      </c>
      <c r="AC271" s="109" t="s">
        <v>1172</v>
      </c>
      <c r="AD271" s="109">
        <v>3.5</v>
      </c>
      <c r="AE271" s="109">
        <v>3</v>
      </c>
      <c r="AF271" s="109" t="s">
        <v>1178</v>
      </c>
      <c r="AG271" s="109">
        <v>0</v>
      </c>
      <c r="AH271" s="109" t="s">
        <v>465</v>
      </c>
      <c r="AI271" s="109">
        <v>30</v>
      </c>
      <c r="AJ271" s="26">
        <v>80</v>
      </c>
      <c r="AK271" s="26">
        <v>43</v>
      </c>
      <c r="AL271" s="26">
        <v>66</v>
      </c>
      <c r="AM271" s="26">
        <v>77</v>
      </c>
      <c r="AN271" s="26">
        <v>24</v>
      </c>
      <c r="AO271" s="110">
        <v>29.58</v>
      </c>
      <c r="AP271" s="109">
        <v>1</v>
      </c>
      <c r="AQ271" s="109">
        <v>0</v>
      </c>
      <c r="AR271" s="109">
        <v>0</v>
      </c>
      <c r="AS271" s="109">
        <v>0</v>
      </c>
      <c r="AT271" s="109">
        <v>0</v>
      </c>
      <c r="AU271" s="109">
        <v>1</v>
      </c>
      <c r="AV271" s="109">
        <v>0</v>
      </c>
      <c r="AW271" s="109">
        <v>1</v>
      </c>
      <c r="AX271" s="109">
        <v>1</v>
      </c>
      <c r="AY271" s="103" t="s">
        <v>1308</v>
      </c>
      <c r="AZ271" s="5" t="s">
        <v>619</v>
      </c>
      <c r="BA271" s="2" t="s">
        <v>83</v>
      </c>
      <c r="BB271" s="30" t="s">
        <v>620</v>
      </c>
      <c r="BC271" s="101" t="s">
        <v>1179</v>
      </c>
      <c r="BD271" s="2">
        <v>1</v>
      </c>
      <c r="BE271" s="2">
        <v>7</v>
      </c>
      <c r="BF271" s="2">
        <v>0</v>
      </c>
      <c r="BG271" s="2">
        <v>0</v>
      </c>
      <c r="BH271" s="2">
        <v>1</v>
      </c>
      <c r="BI271" s="2">
        <v>0</v>
      </c>
      <c r="BJ271" s="2"/>
      <c r="BK271" s="2">
        <v>0.8</v>
      </c>
      <c r="BL271"/>
      <c r="BM271" s="2">
        <v>145</v>
      </c>
      <c r="BN271" s="2"/>
      <c r="BO271" s="2"/>
      <c r="BP271" s="2"/>
      <c r="BQ271" s="2"/>
      <c r="BR271" s="6"/>
      <c r="BS271" s="6"/>
      <c r="BT271" s="2"/>
      <c r="BU271" s="2">
        <v>2.13</v>
      </c>
      <c r="BV271" s="2">
        <v>1</v>
      </c>
      <c r="BW271" s="2"/>
      <c r="BX271" s="2">
        <v>106</v>
      </c>
      <c r="BY271" s="2">
        <v>4.7699999999999996</v>
      </c>
      <c r="BZ271" s="2">
        <v>1.4</v>
      </c>
      <c r="CA271" s="2"/>
      <c r="CB271" s="2">
        <v>105</v>
      </c>
      <c r="CC271" s="2">
        <v>1</v>
      </c>
      <c r="CD271" s="3">
        <f t="shared" si="42"/>
        <v>2.1717523395459422</v>
      </c>
      <c r="CE271" s="2">
        <v>211</v>
      </c>
      <c r="CF271" s="111">
        <f t="shared" si="40"/>
        <v>2.1717523395459422</v>
      </c>
      <c r="CG271" s="22">
        <f t="shared" si="43"/>
        <v>2.4280929307594659</v>
      </c>
      <c r="CH271" s="112"/>
      <c r="CI271" s="3">
        <f t="shared" si="39"/>
        <v>3.0134331561238362E-2</v>
      </c>
      <c r="CJ271" s="37">
        <f t="shared" si="44"/>
        <v>3.8875458546082403E-2</v>
      </c>
    </row>
    <row r="272" spans="1:89" s="101" customFormat="1" x14ac:dyDescent="0.35">
      <c r="A272" s="88" t="s">
        <v>1174</v>
      </c>
      <c r="B272" s="49" t="s">
        <v>1175</v>
      </c>
      <c r="C272" s="88" t="s">
        <v>52</v>
      </c>
      <c r="D272" s="104" t="s">
        <v>1176</v>
      </c>
      <c r="E272" s="120" t="s">
        <v>1177</v>
      </c>
      <c r="F272" s="18" t="s">
        <v>1109</v>
      </c>
      <c r="G272" s="92">
        <v>0</v>
      </c>
      <c r="H272" s="92">
        <v>1</v>
      </c>
      <c r="I272" s="92">
        <v>6</v>
      </c>
      <c r="J272" s="92" t="s">
        <v>1111</v>
      </c>
      <c r="K272" s="106">
        <v>0</v>
      </c>
      <c r="L272" s="107" t="s">
        <v>1279</v>
      </c>
      <c r="M272" s="108">
        <v>4</v>
      </c>
      <c r="N272" s="108">
        <v>146</v>
      </c>
      <c r="O272" s="109">
        <v>421</v>
      </c>
      <c r="P272" s="109" t="s">
        <v>31</v>
      </c>
      <c r="Q272" s="109">
        <v>2</v>
      </c>
      <c r="R272" s="109">
        <v>1</v>
      </c>
      <c r="S272" s="46">
        <v>0</v>
      </c>
      <c r="T272" s="109">
        <v>0</v>
      </c>
      <c r="U272" s="109">
        <v>0</v>
      </c>
      <c r="V272" s="109">
        <v>1</v>
      </c>
      <c r="W272" s="109">
        <v>0</v>
      </c>
      <c r="X272" s="109">
        <v>1</v>
      </c>
      <c r="Y272" s="109">
        <v>0</v>
      </c>
      <c r="Z272" s="109">
        <v>0</v>
      </c>
      <c r="AA272" s="109">
        <v>1</v>
      </c>
      <c r="AB272" s="109">
        <v>0</v>
      </c>
      <c r="AC272" s="109" t="s">
        <v>1172</v>
      </c>
      <c r="AD272" s="109">
        <v>3.5</v>
      </c>
      <c r="AE272" s="109">
        <v>3</v>
      </c>
      <c r="AF272" s="109" t="s">
        <v>1178</v>
      </c>
      <c r="AG272" s="109">
        <v>0</v>
      </c>
      <c r="AH272" s="109" t="s">
        <v>465</v>
      </c>
      <c r="AI272" s="109">
        <v>30</v>
      </c>
      <c r="AJ272" s="26">
        <v>80</v>
      </c>
      <c r="AK272" s="26">
        <v>43</v>
      </c>
      <c r="AL272" s="26">
        <v>66</v>
      </c>
      <c r="AM272" s="26">
        <v>77</v>
      </c>
      <c r="AN272" s="26">
        <v>24</v>
      </c>
      <c r="AO272" s="110">
        <v>28.18</v>
      </c>
      <c r="AP272" s="109">
        <v>1</v>
      </c>
      <c r="AQ272" s="109">
        <v>0</v>
      </c>
      <c r="AR272" s="109">
        <v>0</v>
      </c>
      <c r="AS272" s="109">
        <v>0</v>
      </c>
      <c r="AT272" s="109">
        <v>0</v>
      </c>
      <c r="AU272" s="109">
        <v>1</v>
      </c>
      <c r="AV272" s="109">
        <v>0</v>
      </c>
      <c r="AW272" s="109">
        <v>1</v>
      </c>
      <c r="AX272" s="109">
        <v>1</v>
      </c>
      <c r="AY272" s="103" t="s">
        <v>1309</v>
      </c>
      <c r="AZ272" s="5" t="s">
        <v>619</v>
      </c>
      <c r="BA272" s="2" t="s">
        <v>83</v>
      </c>
      <c r="BB272" s="30" t="s">
        <v>620</v>
      </c>
      <c r="BC272" s="101" t="s">
        <v>1179</v>
      </c>
      <c r="BD272" s="2">
        <v>1</v>
      </c>
      <c r="BE272" s="2">
        <v>7</v>
      </c>
      <c r="BF272" s="2">
        <v>0</v>
      </c>
      <c r="BG272" s="2">
        <v>0</v>
      </c>
      <c r="BH272" s="2">
        <v>1</v>
      </c>
      <c r="BI272" s="2">
        <v>0</v>
      </c>
      <c r="BJ272" s="2"/>
      <c r="BK272" s="2">
        <v>0.8</v>
      </c>
      <c r="BL272"/>
      <c r="BM272" s="2">
        <v>147</v>
      </c>
      <c r="BN272" s="2"/>
      <c r="BO272" s="2"/>
      <c r="BP272" s="2"/>
      <c r="BQ272" s="2"/>
      <c r="BR272" s="6"/>
      <c r="BS272" s="6"/>
      <c r="BT272" s="2"/>
      <c r="BU272" s="2">
        <v>2.5</v>
      </c>
      <c r="BV272" s="2">
        <v>1</v>
      </c>
      <c r="BW272" s="2"/>
      <c r="BX272" s="2">
        <v>210</v>
      </c>
      <c r="BY272" s="2">
        <v>5.35</v>
      </c>
      <c r="BZ272" s="2">
        <v>1.4</v>
      </c>
      <c r="CA272" s="2"/>
      <c r="CB272" s="2">
        <v>211</v>
      </c>
      <c r="CC272" s="2">
        <v>1</v>
      </c>
      <c r="CD272" s="3">
        <f t="shared" si="42"/>
        <v>2.3417794245719157</v>
      </c>
      <c r="CE272" s="2">
        <v>421</v>
      </c>
      <c r="CF272" s="111">
        <f t="shared" si="40"/>
        <v>2.3417794245719157</v>
      </c>
      <c r="CG272" s="22">
        <f t="shared" si="43"/>
        <v>2.6181889908265723</v>
      </c>
      <c r="CH272" s="112"/>
      <c r="CI272" s="3">
        <f t="shared" ref="CI272:CI278" si="45">((BX272+CB272)/(BX272*CB272))+((CF272^2)/(2*(BX272+CB272)))</f>
        <v>1.6014223289651307E-2</v>
      </c>
      <c r="CJ272" s="37">
        <f t="shared" si="44"/>
        <v>2.3156447612734929E-2</v>
      </c>
    </row>
    <row r="273" spans="1:88" s="101" customFormat="1" x14ac:dyDescent="0.35">
      <c r="A273" s="113" t="s">
        <v>1183</v>
      </c>
      <c r="B273" s="51" t="s">
        <v>1184</v>
      </c>
      <c r="C273" s="113" t="s">
        <v>1126</v>
      </c>
      <c r="D273" s="203" t="s">
        <v>1185</v>
      </c>
      <c r="E273" s="123" t="s">
        <v>415</v>
      </c>
      <c r="F273" s="20" t="s">
        <v>1109</v>
      </c>
      <c r="G273" s="109">
        <v>0</v>
      </c>
      <c r="H273" s="109">
        <v>1</v>
      </c>
      <c r="I273" s="109">
        <v>1</v>
      </c>
      <c r="J273" s="109" t="s">
        <v>1107</v>
      </c>
      <c r="K273" s="115">
        <v>0</v>
      </c>
      <c r="L273" s="116" t="s">
        <v>1280</v>
      </c>
      <c r="M273" s="108">
        <v>1</v>
      </c>
      <c r="N273" s="108">
        <v>4</v>
      </c>
      <c r="O273" s="109">
        <v>125</v>
      </c>
      <c r="P273" s="109" t="s">
        <v>31</v>
      </c>
      <c r="Q273" s="109">
        <v>2</v>
      </c>
      <c r="R273" s="109">
        <v>1</v>
      </c>
      <c r="S273" s="46">
        <v>0</v>
      </c>
      <c r="T273" s="109">
        <v>0</v>
      </c>
      <c r="U273" s="109">
        <v>0</v>
      </c>
      <c r="V273" s="109">
        <v>1</v>
      </c>
      <c r="W273" s="109">
        <v>0</v>
      </c>
      <c r="X273" s="109">
        <v>1</v>
      </c>
      <c r="Y273" s="109">
        <v>0</v>
      </c>
      <c r="Z273" s="109">
        <v>0</v>
      </c>
      <c r="AA273" s="109">
        <v>1</v>
      </c>
      <c r="AB273" s="109">
        <v>1</v>
      </c>
      <c r="AC273" s="109" t="s">
        <v>826</v>
      </c>
      <c r="AD273" s="109">
        <v>4.3</v>
      </c>
      <c r="AE273" s="109">
        <v>2.6</v>
      </c>
      <c r="AF273" s="109" t="s">
        <v>1186</v>
      </c>
      <c r="AG273" s="109">
        <v>1</v>
      </c>
      <c r="AH273" s="109" t="s">
        <v>570</v>
      </c>
      <c r="AI273" s="109">
        <v>40</v>
      </c>
      <c r="AJ273" s="27">
        <v>77</v>
      </c>
      <c r="AK273" s="27">
        <v>24</v>
      </c>
      <c r="AL273" s="27">
        <v>56</v>
      </c>
      <c r="AM273" s="27">
        <v>51</v>
      </c>
      <c r="AN273" s="27">
        <v>26</v>
      </c>
      <c r="AO273" s="110">
        <v>24</v>
      </c>
      <c r="AP273" s="109">
        <v>1</v>
      </c>
      <c r="AQ273" s="109">
        <v>0</v>
      </c>
      <c r="AR273" s="109">
        <v>0</v>
      </c>
      <c r="AS273" s="109">
        <v>0</v>
      </c>
      <c r="AT273" s="109">
        <v>0</v>
      </c>
      <c r="AU273" s="109">
        <v>1</v>
      </c>
      <c r="AV273" s="109">
        <v>1</v>
      </c>
      <c r="AW273" s="109">
        <v>1</v>
      </c>
      <c r="AX273" s="109">
        <v>1</v>
      </c>
      <c r="AY273" s="103" t="s">
        <v>1310</v>
      </c>
      <c r="AZ273" s="5" t="s">
        <v>619</v>
      </c>
      <c r="BA273" s="2" t="s">
        <v>83</v>
      </c>
      <c r="BB273" s="30" t="s">
        <v>620</v>
      </c>
      <c r="BC273" s="101" t="s">
        <v>1187</v>
      </c>
      <c r="BD273" s="2">
        <v>4</v>
      </c>
      <c r="BE273" s="2">
        <v>7</v>
      </c>
      <c r="BF273" s="2">
        <v>0</v>
      </c>
      <c r="BG273" s="2">
        <v>0</v>
      </c>
      <c r="BH273" s="2">
        <v>1</v>
      </c>
      <c r="BI273" s="2">
        <v>0</v>
      </c>
      <c r="BJ273" s="2">
        <f>(0.836+0.956)/2</f>
        <v>0.89599999999999991</v>
      </c>
      <c r="BK273" s="2">
        <f>(0.836+0.956)/2</f>
        <v>0.89599999999999991</v>
      </c>
      <c r="BL273" t="s">
        <v>41</v>
      </c>
      <c r="BM273" s="2">
        <v>8</v>
      </c>
      <c r="BN273" s="2"/>
      <c r="BO273" s="2"/>
      <c r="BP273" s="2"/>
      <c r="BQ273" s="2"/>
      <c r="BR273" s="6"/>
      <c r="BS273" s="6"/>
      <c r="BT273" s="2"/>
      <c r="BU273" s="2">
        <v>5.0199999999999996</v>
      </c>
      <c r="BV273" s="2">
        <v>1.03</v>
      </c>
      <c r="BW273" s="2"/>
      <c r="BX273" s="2">
        <v>63</v>
      </c>
      <c r="BY273" s="2">
        <v>6.02</v>
      </c>
      <c r="BZ273" s="2">
        <v>0.7</v>
      </c>
      <c r="CA273" s="2"/>
      <c r="CB273" s="2">
        <v>62</v>
      </c>
      <c r="CC273" s="2">
        <v>1</v>
      </c>
      <c r="CD273" s="3">
        <f t="shared" si="42"/>
        <v>1.1338985551651737</v>
      </c>
      <c r="CE273" s="2">
        <v>125</v>
      </c>
      <c r="CF273" s="111">
        <f t="shared" si="40"/>
        <v>1.1338985551651737</v>
      </c>
      <c r="CG273" s="22">
        <f t="shared" si="43"/>
        <v>1.1978989854104551</v>
      </c>
      <c r="CH273" s="112"/>
      <c r="CI273" s="3">
        <f t="shared" si="45"/>
        <v>3.7144951864703062E-2</v>
      </c>
      <c r="CJ273" s="37">
        <f t="shared" si="44"/>
        <v>3.9036175480332336E-2</v>
      </c>
    </row>
    <row r="274" spans="1:88" s="122" customFormat="1" x14ac:dyDescent="0.35">
      <c r="A274" s="135" t="s">
        <v>1188</v>
      </c>
      <c r="B274" s="124" t="s">
        <v>1189</v>
      </c>
      <c r="C274" s="135" t="s">
        <v>133</v>
      </c>
      <c r="D274" s="136" t="s">
        <v>1190</v>
      </c>
      <c r="E274" s="137" t="s">
        <v>1177</v>
      </c>
      <c r="F274" s="138" t="s">
        <v>1109</v>
      </c>
      <c r="G274" s="139">
        <v>0</v>
      </c>
      <c r="H274" s="128">
        <v>1</v>
      </c>
      <c r="I274" s="128">
        <v>3</v>
      </c>
      <c r="J274" s="128" t="s">
        <v>1111</v>
      </c>
      <c r="K274" s="129">
        <v>0</v>
      </c>
      <c r="L274" s="130" t="s">
        <v>1281</v>
      </c>
      <c r="M274" s="128">
        <v>1</v>
      </c>
      <c r="N274" s="128">
        <v>166</v>
      </c>
      <c r="O274" s="128">
        <v>148</v>
      </c>
      <c r="P274" s="128" t="s">
        <v>31</v>
      </c>
      <c r="Q274" s="128">
        <v>3</v>
      </c>
      <c r="R274" s="128">
        <v>1</v>
      </c>
      <c r="S274" s="32">
        <v>0</v>
      </c>
      <c r="T274" s="128">
        <v>0</v>
      </c>
      <c r="U274" s="128">
        <v>0</v>
      </c>
      <c r="V274" s="128">
        <v>1</v>
      </c>
      <c r="W274" s="109">
        <v>0</v>
      </c>
      <c r="X274" s="128">
        <v>1</v>
      </c>
      <c r="Y274" s="128">
        <v>0</v>
      </c>
      <c r="Z274" s="128">
        <v>0</v>
      </c>
      <c r="AA274" s="128">
        <v>0</v>
      </c>
      <c r="AB274" s="128">
        <v>0</v>
      </c>
      <c r="AC274" s="128" t="s">
        <v>1191</v>
      </c>
      <c r="AD274" s="200">
        <v>3.8</v>
      </c>
      <c r="AE274" s="200">
        <v>2.6</v>
      </c>
      <c r="AF274" s="128" t="s">
        <v>1178</v>
      </c>
      <c r="AG274" s="128">
        <v>0</v>
      </c>
      <c r="AH274" s="128" t="s">
        <v>465</v>
      </c>
      <c r="AI274" s="128">
        <v>30</v>
      </c>
      <c r="AJ274" s="63">
        <v>80</v>
      </c>
      <c r="AK274" s="63">
        <v>43</v>
      </c>
      <c r="AL274" s="63">
        <v>66</v>
      </c>
      <c r="AM274" s="63">
        <v>77</v>
      </c>
      <c r="AN274" s="63">
        <v>24</v>
      </c>
      <c r="AO274" s="131"/>
      <c r="AP274" s="128">
        <v>0</v>
      </c>
      <c r="AQ274" s="128">
        <v>0</v>
      </c>
      <c r="AR274" s="128">
        <v>1</v>
      </c>
      <c r="AS274" s="128">
        <v>0</v>
      </c>
      <c r="AT274" s="128">
        <v>0</v>
      </c>
      <c r="AU274" s="128">
        <v>0</v>
      </c>
      <c r="AV274" s="128">
        <v>0</v>
      </c>
      <c r="AW274" s="128">
        <v>1</v>
      </c>
      <c r="AX274" s="128">
        <v>1</v>
      </c>
      <c r="AY274" s="130" t="s">
        <v>1311</v>
      </c>
      <c r="AZ274" s="132" t="s">
        <v>619</v>
      </c>
      <c r="BA274" s="128" t="s">
        <v>83</v>
      </c>
      <c r="BB274" s="133" t="s">
        <v>142</v>
      </c>
      <c r="BC274" s="122" t="s">
        <v>1192</v>
      </c>
      <c r="BD274" s="128">
        <v>1</v>
      </c>
      <c r="BE274" s="128">
        <v>7</v>
      </c>
      <c r="BF274" s="128">
        <v>1</v>
      </c>
      <c r="BG274" s="128">
        <v>1</v>
      </c>
      <c r="BH274" s="128">
        <v>0</v>
      </c>
      <c r="BI274" s="128">
        <v>0</v>
      </c>
      <c r="BJ274" s="128"/>
      <c r="BK274" s="128">
        <v>0.8</v>
      </c>
      <c r="BM274" s="128">
        <v>167</v>
      </c>
      <c r="BN274" s="128"/>
      <c r="BO274" s="128"/>
      <c r="BP274" s="128"/>
      <c r="BQ274" s="128"/>
      <c r="BR274" s="134"/>
      <c r="BS274" s="134"/>
      <c r="BT274" s="128"/>
      <c r="BU274" s="128">
        <v>5.16</v>
      </c>
      <c r="BV274" s="128">
        <v>1.43</v>
      </c>
      <c r="BW274" s="128"/>
      <c r="BX274" s="128">
        <v>49</v>
      </c>
      <c r="BY274" s="128">
        <v>4.2</v>
      </c>
      <c r="BZ274" s="128">
        <v>1.33</v>
      </c>
      <c r="CA274" s="128"/>
      <c r="CB274" s="128">
        <v>49</v>
      </c>
      <c r="CC274" s="128">
        <v>1</v>
      </c>
      <c r="CD274" s="131">
        <f t="shared" si="42"/>
        <v>-0.69519601448646762</v>
      </c>
      <c r="CE274" s="128">
        <v>98</v>
      </c>
      <c r="CF274" s="131">
        <f t="shared" si="40"/>
        <v>-0.69519601448646762</v>
      </c>
      <c r="CG274" s="22">
        <f t="shared" si="43"/>
        <v>-0.77725277303933504</v>
      </c>
      <c r="CH274" s="145"/>
      <c r="CI274" s="131">
        <f t="shared" si="45"/>
        <v>4.3282130094683E-2</v>
      </c>
      <c r="CJ274" s="37">
        <f t="shared" si="44"/>
        <v>4.4210269638462446E-2</v>
      </c>
    </row>
    <row r="275" spans="1:88" s="122" customFormat="1" x14ac:dyDescent="0.35">
      <c r="A275" s="140" t="s">
        <v>1188</v>
      </c>
      <c r="B275" s="141" t="s">
        <v>1189</v>
      </c>
      <c r="C275" s="140" t="s">
        <v>133</v>
      </c>
      <c r="D275" s="142" t="s">
        <v>1190</v>
      </c>
      <c r="E275" s="125" t="s">
        <v>1177</v>
      </c>
      <c r="F275" s="126" t="s">
        <v>1109</v>
      </c>
      <c r="G275" s="127">
        <v>0</v>
      </c>
      <c r="H275" s="127">
        <v>1</v>
      </c>
      <c r="I275" s="127">
        <v>3</v>
      </c>
      <c r="J275" s="127" t="s">
        <v>1111</v>
      </c>
      <c r="K275" s="143">
        <v>1</v>
      </c>
      <c r="L275" s="206" t="s">
        <v>1281</v>
      </c>
      <c r="M275" s="127">
        <v>1</v>
      </c>
      <c r="N275" s="127">
        <v>166</v>
      </c>
      <c r="O275" s="127">
        <v>148</v>
      </c>
      <c r="P275" s="127" t="s">
        <v>31</v>
      </c>
      <c r="Q275" s="127">
        <v>3</v>
      </c>
      <c r="R275" s="127">
        <v>2</v>
      </c>
      <c r="S275" s="41">
        <v>0</v>
      </c>
      <c r="T275" s="127">
        <v>0</v>
      </c>
      <c r="U275" s="127">
        <v>0</v>
      </c>
      <c r="V275" s="127">
        <v>0</v>
      </c>
      <c r="W275" s="109">
        <v>1</v>
      </c>
      <c r="X275" s="127">
        <v>1</v>
      </c>
      <c r="Y275" s="127">
        <v>0</v>
      </c>
      <c r="Z275" s="127">
        <v>0</v>
      </c>
      <c r="AA275" s="127">
        <v>0</v>
      </c>
      <c r="AB275" s="127">
        <v>0</v>
      </c>
      <c r="AC275" s="127" t="s">
        <v>1191</v>
      </c>
      <c r="AD275" s="201">
        <v>3.8</v>
      </c>
      <c r="AE275" s="201">
        <v>2.6</v>
      </c>
      <c r="AF275" s="127" t="s">
        <v>1178</v>
      </c>
      <c r="AG275" s="127">
        <v>0</v>
      </c>
      <c r="AH275" s="127" t="s">
        <v>465</v>
      </c>
      <c r="AI275" s="127">
        <v>30</v>
      </c>
      <c r="AJ275" s="28">
        <v>80</v>
      </c>
      <c r="AK275" s="28">
        <v>43</v>
      </c>
      <c r="AL275" s="28">
        <v>66</v>
      </c>
      <c r="AM275" s="28">
        <v>77</v>
      </c>
      <c r="AN275" s="28">
        <v>24</v>
      </c>
      <c r="AO275" s="144"/>
      <c r="AP275" s="127">
        <v>0</v>
      </c>
      <c r="AQ275" s="127">
        <v>0</v>
      </c>
      <c r="AR275" s="127">
        <v>1</v>
      </c>
      <c r="AS275" s="127">
        <v>0</v>
      </c>
      <c r="AT275" s="127">
        <v>0</v>
      </c>
      <c r="AU275" s="127">
        <v>0</v>
      </c>
      <c r="AV275" s="127">
        <v>0</v>
      </c>
      <c r="AW275" s="127">
        <v>1</v>
      </c>
      <c r="AX275" s="127">
        <v>1</v>
      </c>
      <c r="AY275" s="130" t="s">
        <v>1312</v>
      </c>
      <c r="AZ275" s="132" t="s">
        <v>619</v>
      </c>
      <c r="BA275" s="128" t="s">
        <v>183</v>
      </c>
      <c r="BB275" s="133" t="s">
        <v>142</v>
      </c>
      <c r="BC275" s="122" t="s">
        <v>1192</v>
      </c>
      <c r="BD275" s="128">
        <v>1</v>
      </c>
      <c r="BE275" s="128">
        <v>7</v>
      </c>
      <c r="BF275" s="128">
        <v>1</v>
      </c>
      <c r="BG275" s="128">
        <v>1</v>
      </c>
      <c r="BH275" s="128">
        <v>0</v>
      </c>
      <c r="BI275" s="128">
        <v>0</v>
      </c>
      <c r="BJ275" s="128"/>
      <c r="BK275" s="128">
        <v>0.8</v>
      </c>
      <c r="BM275" s="128">
        <v>167</v>
      </c>
      <c r="BN275" s="128"/>
      <c r="BO275" s="128"/>
      <c r="BP275" s="128"/>
      <c r="BQ275" s="128"/>
      <c r="BR275" s="134"/>
      <c r="BS275" s="134"/>
      <c r="BT275" s="128"/>
      <c r="BU275" s="128">
        <v>5.16</v>
      </c>
      <c r="BV275" s="128">
        <v>1.43</v>
      </c>
      <c r="BW275" s="128"/>
      <c r="BX275" s="128">
        <v>49</v>
      </c>
      <c r="BY275" s="128">
        <v>4.62</v>
      </c>
      <c r="BZ275" s="128">
        <v>1.54</v>
      </c>
      <c r="CA275" s="128"/>
      <c r="CB275" s="128">
        <v>50</v>
      </c>
      <c r="CC275" s="128">
        <v>1</v>
      </c>
      <c r="CD275" s="131">
        <f t="shared" si="42"/>
        <v>-0.36324873118006279</v>
      </c>
      <c r="CE275" s="128">
        <v>99</v>
      </c>
      <c r="CF275" s="131">
        <f t="shared" si="40"/>
        <v>-0.36324873118006279</v>
      </c>
      <c r="CG275" s="22">
        <f t="shared" si="43"/>
        <v>-0.40612442782958391</v>
      </c>
      <c r="CH275" s="145"/>
      <c r="CI275" s="131">
        <f t="shared" si="45"/>
        <v>4.1074575592093626E-2</v>
      </c>
      <c r="CJ275" s="37">
        <f t="shared" si="44"/>
        <v>4.1324480214638935E-2</v>
      </c>
    </row>
    <row r="276" spans="1:88" s="101" customFormat="1" x14ac:dyDescent="0.35">
      <c r="A276" s="170" t="s">
        <v>1193</v>
      </c>
      <c r="B276" s="48" t="s">
        <v>1194</v>
      </c>
      <c r="C276" s="170" t="s">
        <v>1126</v>
      </c>
      <c r="D276" s="172" t="s">
        <v>1195</v>
      </c>
      <c r="E276" s="119" t="s">
        <v>216</v>
      </c>
      <c r="F276" s="11" t="s">
        <v>1109</v>
      </c>
      <c r="G276" s="97">
        <v>0</v>
      </c>
      <c r="H276" s="97">
        <v>1</v>
      </c>
      <c r="I276" s="97">
        <v>3</v>
      </c>
      <c r="J276" s="97" t="s">
        <v>1111</v>
      </c>
      <c r="K276" s="81">
        <v>0</v>
      </c>
      <c r="L276" s="107" t="s">
        <v>1200</v>
      </c>
      <c r="M276" s="108">
        <v>1</v>
      </c>
      <c r="N276" s="108">
        <v>5</v>
      </c>
      <c r="O276" s="109">
        <v>383</v>
      </c>
      <c r="P276" s="109" t="s">
        <v>1196</v>
      </c>
      <c r="Q276" s="109">
        <v>4</v>
      </c>
      <c r="R276" s="109">
        <v>1</v>
      </c>
      <c r="S276" s="46">
        <v>0</v>
      </c>
      <c r="T276" s="109">
        <v>0</v>
      </c>
      <c r="U276" s="109">
        <v>0</v>
      </c>
      <c r="V276" s="109">
        <v>1</v>
      </c>
      <c r="W276" s="109">
        <v>0</v>
      </c>
      <c r="X276" s="109">
        <v>1</v>
      </c>
      <c r="Y276" s="109">
        <v>0</v>
      </c>
      <c r="Z276" s="109">
        <v>0</v>
      </c>
      <c r="AA276" s="109">
        <v>1</v>
      </c>
      <c r="AB276" s="109">
        <v>0</v>
      </c>
      <c r="AC276" s="109" t="s">
        <v>1197</v>
      </c>
      <c r="AD276" s="199">
        <v>2.7</v>
      </c>
      <c r="AE276" s="199">
        <v>3.6</v>
      </c>
      <c r="AF276" s="109" t="s">
        <v>1178</v>
      </c>
      <c r="AG276" s="109">
        <v>0</v>
      </c>
      <c r="AH276" s="109" t="s">
        <v>465</v>
      </c>
      <c r="AI276" s="109">
        <v>30</v>
      </c>
      <c r="AJ276" s="26">
        <v>80</v>
      </c>
      <c r="AK276" s="26">
        <v>43</v>
      </c>
      <c r="AL276" s="26">
        <v>66</v>
      </c>
      <c r="AM276" s="26">
        <v>77</v>
      </c>
      <c r="AN276" s="26">
        <v>24</v>
      </c>
      <c r="AO276" s="110">
        <v>31.73</v>
      </c>
      <c r="AP276" s="109">
        <v>0</v>
      </c>
      <c r="AQ276" s="109">
        <v>0</v>
      </c>
      <c r="AR276" s="109">
        <v>0</v>
      </c>
      <c r="AS276" s="109">
        <v>0</v>
      </c>
      <c r="AT276" s="109">
        <v>0</v>
      </c>
      <c r="AU276" s="109">
        <v>1</v>
      </c>
      <c r="AV276" s="109">
        <v>0</v>
      </c>
      <c r="AW276" s="109">
        <v>1</v>
      </c>
      <c r="AX276" s="109">
        <v>1</v>
      </c>
      <c r="AY276" s="103" t="s">
        <v>1313</v>
      </c>
      <c r="AZ276" s="5" t="s">
        <v>619</v>
      </c>
      <c r="BA276" s="2" t="s">
        <v>83</v>
      </c>
      <c r="BB276" s="30" t="s">
        <v>46</v>
      </c>
      <c r="BC276" s="101" t="s">
        <v>1198</v>
      </c>
      <c r="BD276" s="2">
        <v>3</v>
      </c>
      <c r="BE276" s="2">
        <v>7</v>
      </c>
      <c r="BF276" s="2">
        <v>0</v>
      </c>
      <c r="BG276" s="2">
        <v>0</v>
      </c>
      <c r="BH276" s="2">
        <v>1</v>
      </c>
      <c r="BI276" s="2">
        <v>0</v>
      </c>
      <c r="BJ276" s="2">
        <v>0.92</v>
      </c>
      <c r="BK276" s="2">
        <v>0.92</v>
      </c>
      <c r="BL276" t="s">
        <v>41</v>
      </c>
      <c r="BM276" s="2" t="s">
        <v>1199</v>
      </c>
      <c r="BN276" s="2"/>
      <c r="BO276" s="2"/>
      <c r="BP276" s="2"/>
      <c r="BQ276" s="2"/>
      <c r="BR276" s="6"/>
      <c r="BS276" s="6"/>
      <c r="BT276" s="2"/>
      <c r="BU276" s="2">
        <v>4.04</v>
      </c>
      <c r="BV276" s="2">
        <v>1.27</v>
      </c>
      <c r="BW276" s="2"/>
      <c r="BX276" s="2">
        <v>97</v>
      </c>
      <c r="BY276" s="2">
        <v>4.3600000000000003</v>
      </c>
      <c r="BZ276" s="2">
        <v>1.39</v>
      </c>
      <c r="CA276" s="2"/>
      <c r="CB276" s="2">
        <v>95</v>
      </c>
      <c r="CC276" s="2">
        <v>1</v>
      </c>
      <c r="CD276" s="3">
        <f t="shared" si="42"/>
        <v>0.24047103308111453</v>
      </c>
      <c r="CE276" s="2">
        <f>(BX276+CB276)</f>
        <v>192</v>
      </c>
      <c r="CF276" s="111">
        <f t="shared" si="40"/>
        <v>0.24047103308111453</v>
      </c>
      <c r="CG276" s="22">
        <f t="shared" si="43"/>
        <v>0.2507083828030402</v>
      </c>
      <c r="CH276" s="112"/>
      <c r="CI276" s="3">
        <f t="shared" si="45"/>
        <v>2.0986183509132634E-2</v>
      </c>
      <c r="CJ276" s="37">
        <f t="shared" si="44"/>
        <v>2.1083053562066769E-2</v>
      </c>
    </row>
    <row r="277" spans="1:88" s="101" customFormat="1" x14ac:dyDescent="0.35">
      <c r="A277" s="1" t="s">
        <v>1193</v>
      </c>
      <c r="B277" s="48" t="s">
        <v>1194</v>
      </c>
      <c r="C277" s="170" t="s">
        <v>1126</v>
      </c>
      <c r="D277" s="172" t="s">
        <v>1195</v>
      </c>
      <c r="E277" s="119" t="s">
        <v>216</v>
      </c>
      <c r="F277" s="11" t="s">
        <v>1109</v>
      </c>
      <c r="G277" s="97">
        <v>0</v>
      </c>
      <c r="H277" s="97">
        <v>1</v>
      </c>
      <c r="I277" s="97">
        <v>3</v>
      </c>
      <c r="J277" s="97" t="s">
        <v>1111</v>
      </c>
      <c r="K277" s="81">
        <v>0</v>
      </c>
      <c r="L277" s="107" t="s">
        <v>1202</v>
      </c>
      <c r="M277" s="108">
        <v>2</v>
      </c>
      <c r="N277" s="108">
        <v>9</v>
      </c>
      <c r="O277" s="109">
        <v>250</v>
      </c>
      <c r="P277" s="109" t="s">
        <v>147</v>
      </c>
      <c r="Q277" s="109">
        <v>2</v>
      </c>
      <c r="R277" s="109">
        <v>1</v>
      </c>
      <c r="S277" s="46">
        <v>0</v>
      </c>
      <c r="T277" s="109">
        <v>0</v>
      </c>
      <c r="U277" s="109">
        <v>0</v>
      </c>
      <c r="V277" s="109">
        <v>1</v>
      </c>
      <c r="W277" s="109">
        <v>0</v>
      </c>
      <c r="X277" s="109">
        <v>1</v>
      </c>
      <c r="Y277" s="109">
        <v>0</v>
      </c>
      <c r="Z277" s="109">
        <v>0</v>
      </c>
      <c r="AA277" s="109">
        <v>1</v>
      </c>
      <c r="AB277" s="109">
        <v>0</v>
      </c>
      <c r="AC277" s="109" t="s">
        <v>1201</v>
      </c>
      <c r="AD277" s="199">
        <v>4.21</v>
      </c>
      <c r="AE277" s="199">
        <v>3.1</v>
      </c>
      <c r="AF277" s="109" t="s">
        <v>1178</v>
      </c>
      <c r="AG277" s="109">
        <v>0</v>
      </c>
      <c r="AH277" s="109" t="s">
        <v>465</v>
      </c>
      <c r="AI277" s="109">
        <v>30</v>
      </c>
      <c r="AJ277" s="26">
        <v>80</v>
      </c>
      <c r="AK277" s="26">
        <v>43</v>
      </c>
      <c r="AL277" s="26">
        <v>66</v>
      </c>
      <c r="AM277" s="26">
        <v>77</v>
      </c>
      <c r="AN277" s="26">
        <v>24</v>
      </c>
      <c r="AO277" s="110">
        <v>26.18</v>
      </c>
      <c r="AP277" s="109">
        <v>0</v>
      </c>
      <c r="AQ277" s="109">
        <v>0</v>
      </c>
      <c r="AR277" s="109">
        <v>0</v>
      </c>
      <c r="AS277" s="109">
        <v>0</v>
      </c>
      <c r="AT277" s="109">
        <v>0</v>
      </c>
      <c r="AU277" s="109">
        <v>1</v>
      </c>
      <c r="AV277" s="109">
        <v>0</v>
      </c>
      <c r="AW277" s="109">
        <v>1</v>
      </c>
      <c r="AX277" s="109">
        <v>1</v>
      </c>
      <c r="AY277" s="103" t="s">
        <v>1314</v>
      </c>
      <c r="AZ277" s="5" t="s">
        <v>619</v>
      </c>
      <c r="BA277" s="2" t="s">
        <v>83</v>
      </c>
      <c r="BB277" s="30" t="s">
        <v>46</v>
      </c>
      <c r="BC277" s="101" t="s">
        <v>1198</v>
      </c>
      <c r="BD277" s="2">
        <v>3</v>
      </c>
      <c r="BE277" s="2">
        <v>7</v>
      </c>
      <c r="BF277" s="2">
        <v>0</v>
      </c>
      <c r="BG277" s="2">
        <v>0</v>
      </c>
      <c r="BH277" s="2">
        <v>1</v>
      </c>
      <c r="BI277" s="2">
        <v>0</v>
      </c>
      <c r="BJ277" s="2">
        <v>0.79</v>
      </c>
      <c r="BK277" s="2">
        <v>0.79</v>
      </c>
      <c r="BL277" t="s">
        <v>41</v>
      </c>
      <c r="BM277" s="2" t="s">
        <v>1199</v>
      </c>
      <c r="BN277" s="2"/>
      <c r="BO277" s="2"/>
      <c r="BP277" s="2"/>
      <c r="BQ277" s="2"/>
      <c r="BR277" s="6"/>
      <c r="BS277" s="6"/>
      <c r="BT277" s="2"/>
      <c r="BU277" s="2">
        <v>4.97</v>
      </c>
      <c r="BV277" s="2">
        <v>0.99</v>
      </c>
      <c r="BW277" s="2"/>
      <c r="BX277" s="2">
        <v>126</v>
      </c>
      <c r="BY277" s="2">
        <v>5.29</v>
      </c>
      <c r="BZ277" s="2">
        <v>0.9</v>
      </c>
      <c r="CA277" s="2"/>
      <c r="CB277" s="2">
        <v>124</v>
      </c>
      <c r="CC277" s="2">
        <v>1</v>
      </c>
      <c r="CD277" s="3">
        <f t="shared" si="42"/>
        <v>0.33811153794138282</v>
      </c>
      <c r="CE277" s="2">
        <f>(BX277+CB277)</f>
        <v>250</v>
      </c>
      <c r="CF277" s="111">
        <f t="shared" si="40"/>
        <v>0.33811153794138282</v>
      </c>
      <c r="CG277" s="22">
        <f t="shared" si="43"/>
        <v>0.38040520050134008</v>
      </c>
      <c r="CH277" s="112"/>
      <c r="CI277" s="3">
        <f t="shared" si="45"/>
        <v>1.6229662889718367E-2</v>
      </c>
      <c r="CJ277" s="37">
        <f t="shared" si="44"/>
        <v>1.6464832131464761E-2</v>
      </c>
    </row>
    <row r="278" spans="1:88" s="101" customFormat="1" x14ac:dyDescent="0.35">
      <c r="A278" s="88" t="s">
        <v>1193</v>
      </c>
      <c r="B278" s="49" t="s">
        <v>1194</v>
      </c>
      <c r="C278" s="88" t="s">
        <v>1126</v>
      </c>
      <c r="D278" s="104" t="s">
        <v>1195</v>
      </c>
      <c r="E278" s="120" t="s">
        <v>216</v>
      </c>
      <c r="F278" s="18" t="s">
        <v>1109</v>
      </c>
      <c r="G278" s="92">
        <v>0</v>
      </c>
      <c r="H278" s="92">
        <v>1</v>
      </c>
      <c r="I278" s="92">
        <v>3</v>
      </c>
      <c r="J278" s="92" t="s">
        <v>1111</v>
      </c>
      <c r="K278" s="106">
        <v>0</v>
      </c>
      <c r="L278" s="107" t="s">
        <v>1282</v>
      </c>
      <c r="M278" s="108">
        <v>3</v>
      </c>
      <c r="N278" s="108">
        <v>10</v>
      </c>
      <c r="O278" s="109">
        <v>324</v>
      </c>
      <c r="P278" s="109" t="s">
        <v>218</v>
      </c>
      <c r="Q278" s="109">
        <v>2</v>
      </c>
      <c r="R278" s="109">
        <v>1</v>
      </c>
      <c r="S278" s="46">
        <v>0</v>
      </c>
      <c r="T278" s="109">
        <v>0</v>
      </c>
      <c r="U278" s="109">
        <v>0</v>
      </c>
      <c r="V278" s="109">
        <v>1</v>
      </c>
      <c r="W278" s="109">
        <v>0</v>
      </c>
      <c r="X278" s="109">
        <v>1</v>
      </c>
      <c r="Y278" s="109">
        <v>0</v>
      </c>
      <c r="Z278" s="109">
        <v>0</v>
      </c>
      <c r="AA278" s="109">
        <v>1</v>
      </c>
      <c r="AB278" s="109">
        <v>0</v>
      </c>
      <c r="AC278" s="109" t="s">
        <v>1203</v>
      </c>
      <c r="AD278" s="26">
        <v>2.2000000000000002</v>
      </c>
      <c r="AE278" s="26">
        <v>3.4</v>
      </c>
      <c r="AF278" s="109" t="s">
        <v>1178</v>
      </c>
      <c r="AG278" s="109">
        <v>0</v>
      </c>
      <c r="AH278" s="109" t="s">
        <v>465</v>
      </c>
      <c r="AI278" s="109">
        <v>30</v>
      </c>
      <c r="AJ278" s="26">
        <v>80</v>
      </c>
      <c r="AK278" s="26">
        <v>43</v>
      </c>
      <c r="AL278" s="26">
        <v>66</v>
      </c>
      <c r="AM278" s="26">
        <v>77</v>
      </c>
      <c r="AN278" s="26">
        <v>24</v>
      </c>
      <c r="AO278" s="110">
        <v>25.3</v>
      </c>
      <c r="AP278" s="109">
        <v>0</v>
      </c>
      <c r="AQ278" s="109">
        <v>0</v>
      </c>
      <c r="AR278" s="109">
        <v>0</v>
      </c>
      <c r="AS278" s="109">
        <v>0</v>
      </c>
      <c r="AT278" s="109">
        <v>0</v>
      </c>
      <c r="AU278" s="109">
        <v>1</v>
      </c>
      <c r="AV278" s="109">
        <v>0</v>
      </c>
      <c r="AW278" s="109">
        <v>1</v>
      </c>
      <c r="AX278" s="109">
        <v>1</v>
      </c>
      <c r="AY278" s="103" t="s">
        <v>1315</v>
      </c>
      <c r="AZ278" s="5" t="s">
        <v>619</v>
      </c>
      <c r="BA278" s="2" t="s">
        <v>83</v>
      </c>
      <c r="BB278" s="30" t="s">
        <v>46</v>
      </c>
      <c r="BC278" s="101" t="s">
        <v>1198</v>
      </c>
      <c r="BD278" s="2">
        <v>3</v>
      </c>
      <c r="BE278" s="2">
        <v>7</v>
      </c>
      <c r="BF278" s="2">
        <v>0</v>
      </c>
      <c r="BG278" s="2">
        <v>0</v>
      </c>
      <c r="BH278" s="2">
        <v>1</v>
      </c>
      <c r="BI278" s="2">
        <v>0</v>
      </c>
      <c r="BJ278" s="2">
        <v>0.84</v>
      </c>
      <c r="BK278" s="2">
        <v>0.84</v>
      </c>
      <c r="BL278" t="s">
        <v>41</v>
      </c>
      <c r="BM278" s="2" t="s">
        <v>1199</v>
      </c>
      <c r="BN278" s="2"/>
      <c r="BO278" s="2"/>
      <c r="BP278" s="2"/>
      <c r="BQ278" s="2"/>
      <c r="BR278" s="6"/>
      <c r="BS278" s="6"/>
      <c r="BT278" s="2"/>
      <c r="BU278" s="2">
        <v>5.4</v>
      </c>
      <c r="BV278" s="2">
        <v>0.9</v>
      </c>
      <c r="BW278" s="2"/>
      <c r="BX278" s="2">
        <v>164</v>
      </c>
      <c r="BY278" s="2">
        <v>5.69</v>
      </c>
      <c r="BZ278" s="2">
        <v>0.79</v>
      </c>
      <c r="CA278" s="2"/>
      <c r="CB278" s="2">
        <v>161</v>
      </c>
      <c r="CC278" s="2">
        <v>1</v>
      </c>
      <c r="CD278" s="3">
        <f t="shared" si="42"/>
        <v>0.34226460912589285</v>
      </c>
      <c r="CE278" s="2">
        <f>(BX278+CB278)</f>
        <v>325</v>
      </c>
      <c r="CF278" s="111">
        <f t="shared" si="40"/>
        <v>0.34226460912589285</v>
      </c>
      <c r="CG278" s="22">
        <f t="shared" si="43"/>
        <v>0.37344130452949459</v>
      </c>
      <c r="CH278" s="112"/>
      <c r="CI278" s="3">
        <f t="shared" si="45"/>
        <v>1.2488964273156589E-2</v>
      </c>
      <c r="CJ278" s="37">
        <f t="shared" si="44"/>
        <v>1.2670032312083853E-2</v>
      </c>
    </row>
    <row r="279" spans="1:88" s="159" customFormat="1" x14ac:dyDescent="0.35">
      <c r="A279" s="19" t="s">
        <v>1215</v>
      </c>
      <c r="B279" s="152" t="s">
        <v>1216</v>
      </c>
      <c r="C279" s="19" t="s">
        <v>353</v>
      </c>
      <c r="D279" s="14" t="s">
        <v>1217</v>
      </c>
      <c r="E279" s="14" t="s">
        <v>1218</v>
      </c>
      <c r="F279" s="11" t="s">
        <v>1109</v>
      </c>
      <c r="G279" s="12">
        <v>0</v>
      </c>
      <c r="H279" s="12">
        <v>1</v>
      </c>
      <c r="I279" s="12">
        <v>1</v>
      </c>
      <c r="J279" s="12" t="s">
        <v>1111</v>
      </c>
      <c r="K279" s="79">
        <v>0</v>
      </c>
      <c r="L279" s="90" t="s">
        <v>1283</v>
      </c>
      <c r="M279" s="90">
        <v>1</v>
      </c>
      <c r="N279" s="90">
        <v>5</v>
      </c>
      <c r="O279" s="12">
        <v>50</v>
      </c>
      <c r="P279" s="12" t="s">
        <v>218</v>
      </c>
      <c r="Q279" s="12">
        <v>2</v>
      </c>
      <c r="R279" s="12">
        <v>1</v>
      </c>
      <c r="S279" s="12">
        <v>1</v>
      </c>
      <c r="T279" s="12">
        <v>0</v>
      </c>
      <c r="U279" s="12">
        <v>0</v>
      </c>
      <c r="V279" s="12">
        <v>0</v>
      </c>
      <c r="W279" s="12">
        <v>1</v>
      </c>
      <c r="X279" s="12">
        <v>0</v>
      </c>
      <c r="Y279" s="12">
        <v>0</v>
      </c>
      <c r="Z279" s="12">
        <v>1</v>
      </c>
      <c r="AA279" s="12">
        <v>1</v>
      </c>
      <c r="AB279" s="12">
        <v>0</v>
      </c>
      <c r="AC279" s="12" t="s">
        <v>1219</v>
      </c>
      <c r="AD279" s="12">
        <v>2.9</v>
      </c>
      <c r="AE279" s="12">
        <v>2.5</v>
      </c>
      <c r="AF279" s="12" t="s">
        <v>1220</v>
      </c>
      <c r="AG279" s="12">
        <v>1</v>
      </c>
      <c r="AH279" s="12" t="s">
        <v>723</v>
      </c>
      <c r="AI279" s="12">
        <v>53</v>
      </c>
      <c r="AJ279" s="27">
        <v>38</v>
      </c>
      <c r="AK279" s="27">
        <v>100</v>
      </c>
      <c r="AL279" s="27">
        <v>14</v>
      </c>
      <c r="AM279" s="27">
        <v>67</v>
      </c>
      <c r="AN279" s="27">
        <v>68</v>
      </c>
      <c r="AO279" s="16">
        <v>24.34</v>
      </c>
      <c r="AP279" s="12">
        <v>1</v>
      </c>
      <c r="AQ279" s="12">
        <v>0</v>
      </c>
      <c r="AR279" s="12">
        <v>0</v>
      </c>
      <c r="AS279" s="12">
        <v>0</v>
      </c>
      <c r="AT279" s="12">
        <v>0</v>
      </c>
      <c r="AU279" s="12">
        <v>1</v>
      </c>
      <c r="AV279" s="12">
        <v>0</v>
      </c>
      <c r="AW279" s="12">
        <v>1</v>
      </c>
      <c r="AX279" s="12">
        <v>1</v>
      </c>
      <c r="AY279" s="91" t="s">
        <v>1316</v>
      </c>
      <c r="AZ279" s="13" t="s">
        <v>686</v>
      </c>
      <c r="BA279" s="12" t="s">
        <v>183</v>
      </c>
      <c r="BB279" s="14" t="s">
        <v>530</v>
      </c>
      <c r="BC279" s="14"/>
      <c r="BD279" s="12"/>
      <c r="BE279" s="12"/>
      <c r="BF279" s="12">
        <v>0</v>
      </c>
      <c r="BG279" s="12">
        <v>0</v>
      </c>
      <c r="BH279" s="12">
        <v>1</v>
      </c>
      <c r="BI279" s="12">
        <v>0</v>
      </c>
      <c r="BJ279" s="12"/>
      <c r="BK279" s="12">
        <v>0.8</v>
      </c>
      <c r="BL279" s="14"/>
      <c r="BM279" s="12">
        <v>12</v>
      </c>
      <c r="BN279" s="12"/>
      <c r="BO279" s="12"/>
      <c r="BP279" s="12"/>
      <c r="BQ279" s="12"/>
      <c r="BR279" s="15"/>
      <c r="BS279" s="15"/>
      <c r="BT279" s="12"/>
      <c r="BU279" s="12">
        <v>1.85</v>
      </c>
      <c r="BV279" s="12">
        <v>0.5</v>
      </c>
      <c r="BW279" s="12"/>
      <c r="BX279" s="12">
        <v>50</v>
      </c>
      <c r="BY279" s="12">
        <v>1.87</v>
      </c>
      <c r="BZ279" s="12">
        <v>0.52</v>
      </c>
      <c r="CA279" s="12"/>
      <c r="CB279" s="12">
        <v>50</v>
      </c>
      <c r="CC279" s="12">
        <v>0</v>
      </c>
      <c r="CD279" s="3">
        <f t="shared" si="42"/>
        <v>3.9208149868891193E-2</v>
      </c>
      <c r="CE279" s="12">
        <v>50</v>
      </c>
      <c r="CF279" s="111">
        <f t="shared" si="40"/>
        <v>3.9208149868891193E-2</v>
      </c>
      <c r="CG279" s="22">
        <f t="shared" si="43"/>
        <v>4.3836044189420088E-2</v>
      </c>
      <c r="CH279" s="112"/>
      <c r="CI279" s="3">
        <f t="shared" ref="CI279:CI303" si="46">((2*(1-0.5))/CE279) +((CD279^2)/(2*CE279))</f>
        <v>2.0015372790161415E-2</v>
      </c>
      <c r="CJ279" s="37">
        <f t="shared" si="44"/>
        <v>4.001171706567181E-2</v>
      </c>
    </row>
    <row r="280" spans="1:88" s="159" customFormat="1" x14ac:dyDescent="0.35">
      <c r="A280" s="154" t="s">
        <v>1215</v>
      </c>
      <c r="B280" s="153" t="s">
        <v>1216</v>
      </c>
      <c r="C280" s="154" t="s">
        <v>353</v>
      </c>
      <c r="D280" s="120" t="s">
        <v>1217</v>
      </c>
      <c r="E280" s="120" t="s">
        <v>1218</v>
      </c>
      <c r="F280" s="18" t="s">
        <v>1109</v>
      </c>
      <c r="G280" s="18">
        <v>0</v>
      </c>
      <c r="H280" s="18">
        <v>1</v>
      </c>
      <c r="I280" s="18">
        <v>1</v>
      </c>
      <c r="J280" s="18" t="s">
        <v>1111</v>
      </c>
      <c r="K280" s="155">
        <v>0</v>
      </c>
      <c r="L280" s="205" t="s">
        <v>1283</v>
      </c>
      <c r="M280" s="93">
        <v>1</v>
      </c>
      <c r="N280" s="93">
        <v>5</v>
      </c>
      <c r="O280" s="18">
        <v>50</v>
      </c>
      <c r="P280" s="18" t="s">
        <v>218</v>
      </c>
      <c r="Q280" s="18">
        <v>2</v>
      </c>
      <c r="R280" s="18">
        <v>1</v>
      </c>
      <c r="S280" s="18">
        <v>1</v>
      </c>
      <c r="T280" s="18">
        <v>0</v>
      </c>
      <c r="U280" s="18">
        <v>0</v>
      </c>
      <c r="V280" s="18">
        <v>0</v>
      </c>
      <c r="W280" s="18">
        <v>1</v>
      </c>
      <c r="X280" s="18">
        <v>0</v>
      </c>
      <c r="Y280" s="18">
        <v>0</v>
      </c>
      <c r="Z280" s="18">
        <v>1</v>
      </c>
      <c r="AA280" s="18">
        <v>1</v>
      </c>
      <c r="AB280" s="18">
        <v>0</v>
      </c>
      <c r="AC280" s="18" t="s">
        <v>1219</v>
      </c>
      <c r="AD280" s="18">
        <v>2.9</v>
      </c>
      <c r="AE280" s="18">
        <v>2.5</v>
      </c>
      <c r="AF280" s="18" t="s">
        <v>1220</v>
      </c>
      <c r="AG280" s="18">
        <v>1</v>
      </c>
      <c r="AH280" s="18" t="s">
        <v>723</v>
      </c>
      <c r="AI280" s="18">
        <v>53</v>
      </c>
      <c r="AJ280" s="28">
        <v>38</v>
      </c>
      <c r="AK280" s="28">
        <v>100</v>
      </c>
      <c r="AL280" s="28">
        <v>14</v>
      </c>
      <c r="AM280" s="28">
        <v>67</v>
      </c>
      <c r="AN280" s="28">
        <v>68</v>
      </c>
      <c r="AO280" s="156">
        <v>24.34</v>
      </c>
      <c r="AP280" s="18">
        <v>1</v>
      </c>
      <c r="AQ280" s="18">
        <v>0</v>
      </c>
      <c r="AR280" s="18">
        <v>0</v>
      </c>
      <c r="AS280" s="18">
        <v>0</v>
      </c>
      <c r="AT280" s="18">
        <v>0</v>
      </c>
      <c r="AU280" s="18">
        <v>1</v>
      </c>
      <c r="AV280" s="18">
        <v>0</v>
      </c>
      <c r="AW280" s="18">
        <v>1</v>
      </c>
      <c r="AX280" s="18">
        <v>1</v>
      </c>
      <c r="AY280" s="91" t="s">
        <v>1317</v>
      </c>
      <c r="AZ280" s="13" t="s">
        <v>686</v>
      </c>
      <c r="BA280" s="12" t="s">
        <v>183</v>
      </c>
      <c r="BB280" s="14" t="s">
        <v>1221</v>
      </c>
      <c r="BC280" s="14"/>
      <c r="BD280" s="12"/>
      <c r="BE280" s="12"/>
      <c r="BF280" s="12">
        <v>0</v>
      </c>
      <c r="BG280" s="12">
        <v>0</v>
      </c>
      <c r="BH280" s="12">
        <v>1</v>
      </c>
      <c r="BI280" s="12">
        <v>0</v>
      </c>
      <c r="BJ280" s="12"/>
      <c r="BK280" s="12">
        <v>0.8</v>
      </c>
      <c r="BL280" s="14"/>
      <c r="BM280" s="12">
        <v>12</v>
      </c>
      <c r="BN280" s="12"/>
      <c r="BO280" s="12"/>
      <c r="BP280" s="12"/>
      <c r="BQ280" s="12"/>
      <c r="BR280" s="15"/>
      <c r="BS280" s="15"/>
      <c r="BT280" s="12"/>
      <c r="BU280" s="12">
        <v>1.06</v>
      </c>
      <c r="BV280" s="12">
        <v>0.14000000000000001</v>
      </c>
      <c r="BW280" s="12"/>
      <c r="BX280" s="12">
        <v>50</v>
      </c>
      <c r="BY280" s="12">
        <v>1.06</v>
      </c>
      <c r="BZ280" s="12">
        <v>0.17</v>
      </c>
      <c r="CA280" s="12"/>
      <c r="CB280" s="12">
        <v>50</v>
      </c>
      <c r="CC280" s="12">
        <v>0</v>
      </c>
      <c r="CD280" s="3">
        <f t="shared" si="42"/>
        <v>0</v>
      </c>
      <c r="CE280" s="12">
        <v>50</v>
      </c>
      <c r="CF280" s="111">
        <f t="shared" si="40"/>
        <v>0</v>
      </c>
      <c r="CG280" s="22">
        <f t="shared" si="43"/>
        <v>0</v>
      </c>
      <c r="CH280" s="112"/>
      <c r="CI280" s="3">
        <f t="shared" si="46"/>
        <v>0.02</v>
      </c>
      <c r="CJ280" s="37">
        <f t="shared" si="44"/>
        <v>0.04</v>
      </c>
    </row>
    <row r="281" spans="1:88" s="159" customFormat="1" x14ac:dyDescent="0.35">
      <c r="A281" s="171" t="s">
        <v>1222</v>
      </c>
      <c r="B281" s="169" t="s">
        <v>1223</v>
      </c>
      <c r="C281" s="171" t="s">
        <v>214</v>
      </c>
      <c r="D281" s="119" t="s">
        <v>1224</v>
      </c>
      <c r="E281" s="119" t="s">
        <v>1225</v>
      </c>
      <c r="F281" s="11" t="s">
        <v>1109</v>
      </c>
      <c r="G281" s="11">
        <v>0</v>
      </c>
      <c r="H281" s="11">
        <v>1</v>
      </c>
      <c r="I281" s="11">
        <v>1</v>
      </c>
      <c r="J281" s="11" t="s">
        <v>1107</v>
      </c>
      <c r="K281" s="79">
        <v>0</v>
      </c>
      <c r="L281" s="194" t="s">
        <v>1284</v>
      </c>
      <c r="M281" s="177">
        <v>1</v>
      </c>
      <c r="N281" s="177">
        <v>126</v>
      </c>
      <c r="O281" s="11">
        <v>60</v>
      </c>
      <c r="P281" s="11" t="s">
        <v>147</v>
      </c>
      <c r="Q281" s="11">
        <v>2</v>
      </c>
      <c r="R281" s="11">
        <v>1</v>
      </c>
      <c r="S281" s="11">
        <v>1</v>
      </c>
      <c r="T281" s="11">
        <v>0</v>
      </c>
      <c r="U281" s="11">
        <v>1</v>
      </c>
      <c r="V281" s="11">
        <v>0</v>
      </c>
      <c r="W281" s="11">
        <v>0</v>
      </c>
      <c r="X281" s="11">
        <v>0</v>
      </c>
      <c r="Y281" s="11">
        <v>0</v>
      </c>
      <c r="Z281" s="11">
        <v>1</v>
      </c>
      <c r="AA281" s="11">
        <v>1</v>
      </c>
      <c r="AB281" s="11">
        <v>0</v>
      </c>
      <c r="AC281" s="11" t="s">
        <v>32</v>
      </c>
      <c r="AD281" s="11">
        <v>2.4</v>
      </c>
      <c r="AE281" s="11">
        <v>3.1</v>
      </c>
      <c r="AF281" s="11" t="s">
        <v>1226</v>
      </c>
      <c r="AG281" s="11">
        <v>1</v>
      </c>
      <c r="AH281" s="11" t="s">
        <v>357</v>
      </c>
      <c r="AI281" s="11">
        <v>93</v>
      </c>
      <c r="AJ281" s="63">
        <v>68</v>
      </c>
      <c r="AK281" s="63">
        <v>47</v>
      </c>
      <c r="AL281" s="63">
        <v>64</v>
      </c>
      <c r="AM281" s="63">
        <v>49</v>
      </c>
      <c r="AN281" s="63">
        <v>29</v>
      </c>
      <c r="AO281" s="181">
        <v>23.52</v>
      </c>
      <c r="AP281" s="11">
        <v>1</v>
      </c>
      <c r="AQ281" s="11">
        <v>0</v>
      </c>
      <c r="AR281" s="11">
        <v>0</v>
      </c>
      <c r="AS281" s="11">
        <v>0</v>
      </c>
      <c r="AT281" s="11">
        <v>0</v>
      </c>
      <c r="AU281" s="11">
        <v>1</v>
      </c>
      <c r="AV281" s="11">
        <v>0</v>
      </c>
      <c r="AW281" s="11">
        <v>1</v>
      </c>
      <c r="AX281" s="11">
        <v>1</v>
      </c>
      <c r="AY281" s="98" t="s">
        <v>1318</v>
      </c>
      <c r="AZ281" s="195"/>
      <c r="BA281" s="11"/>
      <c r="BB281" s="119" t="s">
        <v>1228</v>
      </c>
      <c r="BC281" s="119" t="s">
        <v>1229</v>
      </c>
      <c r="BD281" s="11">
        <v>4</v>
      </c>
      <c r="BE281" s="11" t="s">
        <v>1230</v>
      </c>
      <c r="BF281" s="11">
        <v>1</v>
      </c>
      <c r="BG281" s="11">
        <v>1</v>
      </c>
      <c r="BH281" s="11">
        <v>0</v>
      </c>
      <c r="BI281" s="11">
        <v>0</v>
      </c>
      <c r="BJ281" s="11">
        <v>0.67</v>
      </c>
      <c r="BK281" s="11">
        <v>0.67</v>
      </c>
      <c r="BL281" s="119" t="s">
        <v>41</v>
      </c>
      <c r="BM281" s="11">
        <v>127</v>
      </c>
      <c r="BN281" s="11"/>
      <c r="BO281" s="11"/>
      <c r="BP281" s="11"/>
      <c r="BQ281" s="11"/>
      <c r="BR281" s="196"/>
      <c r="BS281" s="196"/>
      <c r="BT281" s="11"/>
      <c r="BU281" s="11">
        <f>(28.51+29.82)/2</f>
        <v>29.164999999999999</v>
      </c>
      <c r="BV281" s="11">
        <f>(11.34+9.5)/2</f>
        <v>10.42</v>
      </c>
      <c r="BW281" s="11"/>
      <c r="BX281" s="11">
        <v>60</v>
      </c>
      <c r="BY281" s="11">
        <f>(24.76+28.34)/2</f>
        <v>26.55</v>
      </c>
      <c r="BZ281" s="11">
        <f>(9.04+9.31)/2</f>
        <v>9.1750000000000007</v>
      </c>
      <c r="CA281" s="11"/>
      <c r="CB281" s="11">
        <v>60</v>
      </c>
      <c r="CC281" s="11">
        <v>1</v>
      </c>
      <c r="CD281" s="3">
        <f t="shared" si="42"/>
        <v>-0.26636771404646981</v>
      </c>
      <c r="CE281" s="11">
        <v>60</v>
      </c>
      <c r="CF281" s="197">
        <f t="shared" si="40"/>
        <v>-0.26636771404646981</v>
      </c>
      <c r="CG281" s="22">
        <f t="shared" si="43"/>
        <v>-0.32541995619516412</v>
      </c>
      <c r="CH281" s="119"/>
      <c r="CI281" s="3">
        <f t="shared" si="46"/>
        <v>1.7257931325719515E-2</v>
      </c>
      <c r="CJ281" s="37">
        <f t="shared" si="44"/>
        <v>3.3681682504024327E-2</v>
      </c>
    </row>
    <row r="282" spans="1:88" s="159" customFormat="1" x14ac:dyDescent="0.35">
      <c r="A282" s="19" t="s">
        <v>1222</v>
      </c>
      <c r="B282" s="152" t="s">
        <v>1223</v>
      </c>
      <c r="C282" s="19" t="s">
        <v>214</v>
      </c>
      <c r="D282" s="14" t="s">
        <v>1224</v>
      </c>
      <c r="E282" s="14" t="s">
        <v>1225</v>
      </c>
      <c r="F282" s="11" t="s">
        <v>1109</v>
      </c>
      <c r="G282" s="12">
        <v>0</v>
      </c>
      <c r="H282" s="12">
        <v>1</v>
      </c>
      <c r="I282" s="12">
        <v>1</v>
      </c>
      <c r="J282" s="12" t="s">
        <v>1107</v>
      </c>
      <c r="K282" s="79">
        <v>0</v>
      </c>
      <c r="L282" s="157" t="s">
        <v>1284</v>
      </c>
      <c r="M282" s="21">
        <v>1</v>
      </c>
      <c r="N282" s="21">
        <v>126</v>
      </c>
      <c r="O282" s="12">
        <v>60</v>
      </c>
      <c r="P282" s="12" t="s">
        <v>147</v>
      </c>
      <c r="Q282" s="12">
        <v>2</v>
      </c>
      <c r="R282" s="12">
        <v>1</v>
      </c>
      <c r="S282" s="12">
        <v>1</v>
      </c>
      <c r="T282" s="12">
        <v>0</v>
      </c>
      <c r="U282" s="12">
        <v>1</v>
      </c>
      <c r="V282" s="12">
        <v>0</v>
      </c>
      <c r="W282" s="12">
        <v>0</v>
      </c>
      <c r="X282" s="12">
        <v>0</v>
      </c>
      <c r="Y282" s="12">
        <v>0</v>
      </c>
      <c r="Z282" s="12">
        <v>1</v>
      </c>
      <c r="AA282" s="12">
        <v>1</v>
      </c>
      <c r="AB282" s="12">
        <v>0</v>
      </c>
      <c r="AC282" s="12" t="s">
        <v>32</v>
      </c>
      <c r="AD282" s="12">
        <v>2.4</v>
      </c>
      <c r="AE282" s="12">
        <v>3.1</v>
      </c>
      <c r="AF282" s="12" t="s">
        <v>1226</v>
      </c>
      <c r="AG282" s="12">
        <v>1</v>
      </c>
      <c r="AH282" s="12" t="s">
        <v>357</v>
      </c>
      <c r="AI282" s="12">
        <v>93</v>
      </c>
      <c r="AJ282" s="27">
        <v>68</v>
      </c>
      <c r="AK282" s="27">
        <v>47</v>
      </c>
      <c r="AL282" s="27">
        <v>64</v>
      </c>
      <c r="AM282" s="27">
        <v>49</v>
      </c>
      <c r="AN282" s="27">
        <v>29</v>
      </c>
      <c r="AO282" s="16">
        <v>23.52</v>
      </c>
      <c r="AP282" s="12">
        <v>1</v>
      </c>
      <c r="AQ282" s="12">
        <v>0</v>
      </c>
      <c r="AR282" s="12">
        <v>0</v>
      </c>
      <c r="AS282" s="12">
        <v>0</v>
      </c>
      <c r="AT282" s="12">
        <v>0</v>
      </c>
      <c r="AU282" s="12">
        <v>1</v>
      </c>
      <c r="AV282" s="12">
        <v>0</v>
      </c>
      <c r="AW282" s="12">
        <v>1</v>
      </c>
      <c r="AX282" s="12">
        <v>1</v>
      </c>
      <c r="AY282" s="91" t="s">
        <v>1319</v>
      </c>
      <c r="AZ282" s="13"/>
      <c r="BA282" s="12"/>
      <c r="BB282" s="14" t="s">
        <v>1231</v>
      </c>
      <c r="BC282" s="14" t="s">
        <v>1232</v>
      </c>
      <c r="BD282" s="12">
        <v>4</v>
      </c>
      <c r="BE282" s="12" t="s">
        <v>1230</v>
      </c>
      <c r="BF282" s="12">
        <v>1</v>
      </c>
      <c r="BG282" s="12">
        <v>1</v>
      </c>
      <c r="BH282" s="12">
        <v>0</v>
      </c>
      <c r="BI282" s="12">
        <v>0</v>
      </c>
      <c r="BJ282" s="12">
        <v>0.81</v>
      </c>
      <c r="BK282" s="12">
        <v>0.81</v>
      </c>
      <c r="BL282" s="14" t="s">
        <v>41</v>
      </c>
      <c r="BM282" s="12">
        <v>127</v>
      </c>
      <c r="BN282" s="12"/>
      <c r="BO282" s="12"/>
      <c r="BP282" s="12"/>
      <c r="BQ282" s="12"/>
      <c r="BR282" s="15"/>
      <c r="BS282" s="15"/>
      <c r="BT282" s="12"/>
      <c r="BU282" s="12">
        <f xml:space="preserve"> (31.92+28.98)/2</f>
        <v>30.450000000000003</v>
      </c>
      <c r="BV282" s="12">
        <f>(13.83+15.35)/2</f>
        <v>14.59</v>
      </c>
      <c r="BW282" s="12"/>
      <c r="BX282" s="12">
        <v>60</v>
      </c>
      <c r="BY282" s="12">
        <f>(26.63+33.75)/2</f>
        <v>30.189999999999998</v>
      </c>
      <c r="BZ282" s="12">
        <f>(10.7+12.25)/2</f>
        <v>11.475</v>
      </c>
      <c r="CA282" s="12"/>
      <c r="CB282" s="12">
        <v>60</v>
      </c>
      <c r="CC282" s="12">
        <v>0</v>
      </c>
      <c r="CD282" s="3">
        <f t="shared" si="42"/>
        <v>-1.9809165181535131E-2</v>
      </c>
      <c r="CE282" s="12">
        <v>60</v>
      </c>
      <c r="CF282" s="158">
        <f t="shared" si="40"/>
        <v>-1.9809165181535131E-2</v>
      </c>
      <c r="CG282" s="22">
        <f t="shared" si="43"/>
        <v>-2.2010183535039033E-2</v>
      </c>
      <c r="CH282" s="14"/>
      <c r="CI282" s="3">
        <f t="shared" si="46"/>
        <v>1.6669936691876577E-2</v>
      </c>
      <c r="CJ282" s="37">
        <f t="shared" si="44"/>
        <v>3.3335515532338947E-2</v>
      </c>
    </row>
    <row r="283" spans="1:88" s="159" customFormat="1" x14ac:dyDescent="0.35">
      <c r="A283" s="19" t="s">
        <v>1222</v>
      </c>
      <c r="B283" s="152" t="s">
        <v>1223</v>
      </c>
      <c r="C283" s="19" t="s">
        <v>214</v>
      </c>
      <c r="D283" s="14" t="s">
        <v>1224</v>
      </c>
      <c r="E283" s="14" t="s">
        <v>1225</v>
      </c>
      <c r="F283" s="11" t="s">
        <v>1109</v>
      </c>
      <c r="G283" s="12">
        <v>0</v>
      </c>
      <c r="H283" s="12">
        <v>1</v>
      </c>
      <c r="I283" s="12">
        <v>1</v>
      </c>
      <c r="J283" s="12" t="s">
        <v>1107</v>
      </c>
      <c r="K283" s="79">
        <v>0</v>
      </c>
      <c r="L283" s="194" t="s">
        <v>1284</v>
      </c>
      <c r="M283" s="177">
        <v>1</v>
      </c>
      <c r="N283" s="177">
        <v>126</v>
      </c>
      <c r="O283" s="11">
        <v>60</v>
      </c>
      <c r="P283" s="11" t="s">
        <v>147</v>
      </c>
      <c r="Q283" s="11">
        <v>2</v>
      </c>
      <c r="R283" s="11">
        <v>1</v>
      </c>
      <c r="S283" s="11">
        <v>1</v>
      </c>
      <c r="T283" s="11">
        <v>0</v>
      </c>
      <c r="U283" s="11">
        <v>1</v>
      </c>
      <c r="V283" s="11">
        <v>0</v>
      </c>
      <c r="W283" s="11">
        <v>0</v>
      </c>
      <c r="X283" s="11">
        <v>0</v>
      </c>
      <c r="Y283" s="11">
        <v>0</v>
      </c>
      <c r="Z283" s="11">
        <v>1</v>
      </c>
      <c r="AA283" s="11">
        <v>1</v>
      </c>
      <c r="AB283" s="11">
        <v>0</v>
      </c>
      <c r="AC283" s="11" t="s">
        <v>32</v>
      </c>
      <c r="AD283" s="11">
        <v>2.4</v>
      </c>
      <c r="AE283" s="11">
        <v>3.1</v>
      </c>
      <c r="AF283" s="11" t="s">
        <v>1226</v>
      </c>
      <c r="AG283" s="11">
        <v>1</v>
      </c>
      <c r="AH283" s="11" t="s">
        <v>357</v>
      </c>
      <c r="AI283" s="11">
        <v>93</v>
      </c>
      <c r="AJ283" s="27">
        <v>68</v>
      </c>
      <c r="AK283" s="27">
        <v>47</v>
      </c>
      <c r="AL283" s="27">
        <v>64</v>
      </c>
      <c r="AM283" s="27">
        <v>49</v>
      </c>
      <c r="AN283" s="27">
        <v>29</v>
      </c>
      <c r="AO283" s="181">
        <v>23.52</v>
      </c>
      <c r="AP283" s="11">
        <v>1</v>
      </c>
      <c r="AQ283" s="11">
        <v>0</v>
      </c>
      <c r="AR283" s="11">
        <v>0</v>
      </c>
      <c r="AS283" s="11">
        <v>0</v>
      </c>
      <c r="AT283" s="11">
        <v>0</v>
      </c>
      <c r="AU283" s="11">
        <v>1</v>
      </c>
      <c r="AV283" s="11">
        <v>0</v>
      </c>
      <c r="AW283" s="11">
        <v>1</v>
      </c>
      <c r="AX283" s="11">
        <v>1</v>
      </c>
      <c r="AY283" s="91" t="s">
        <v>1320</v>
      </c>
      <c r="AZ283" s="13"/>
      <c r="BA283" s="12"/>
      <c r="BB283" s="14" t="s">
        <v>1233</v>
      </c>
      <c r="BC283" s="159" t="s">
        <v>1234</v>
      </c>
      <c r="BD283" s="12">
        <v>8</v>
      </c>
      <c r="BE283" s="12"/>
      <c r="BF283" s="12">
        <v>1</v>
      </c>
      <c r="BG283" s="12">
        <v>1</v>
      </c>
      <c r="BH283" s="12">
        <v>0</v>
      </c>
      <c r="BI283" s="12">
        <v>0</v>
      </c>
      <c r="BJ283" s="121">
        <v>0.8</v>
      </c>
      <c r="BK283" s="121">
        <v>0.8</v>
      </c>
      <c r="BL283" s="14"/>
      <c r="BM283" s="12">
        <v>127</v>
      </c>
      <c r="BN283" s="12"/>
      <c r="BO283" s="12"/>
      <c r="BP283" s="12"/>
      <c r="BQ283" s="12"/>
      <c r="BR283" s="15"/>
      <c r="BS283" s="15"/>
      <c r="BT283" s="12"/>
      <c r="BU283" s="12">
        <f>(7.29+6.78)/2</f>
        <v>7.0350000000000001</v>
      </c>
      <c r="BV283" s="12">
        <f>(1.8+2.46)/2</f>
        <v>2.13</v>
      </c>
      <c r="BW283" s="12"/>
      <c r="BX283" s="12">
        <v>60</v>
      </c>
      <c r="BY283" s="12">
        <f>(6.39+6.81)/2</f>
        <v>6.6</v>
      </c>
      <c r="BZ283" s="12">
        <f>(2.72+2.44)/2</f>
        <v>2.58</v>
      </c>
      <c r="CA283" s="12"/>
      <c r="CB283" s="12">
        <v>60</v>
      </c>
      <c r="CC283" s="12">
        <v>1</v>
      </c>
      <c r="CD283" s="3">
        <f t="shared" si="42"/>
        <v>-0.1838760572732879</v>
      </c>
      <c r="CE283" s="12">
        <v>60</v>
      </c>
      <c r="CF283" s="158">
        <f t="shared" si="40"/>
        <v>-0.1838760572732879</v>
      </c>
      <c r="CG283" s="22">
        <f t="shared" si="43"/>
        <v>-0.20557968174885818</v>
      </c>
      <c r="CH283" s="14"/>
      <c r="CI283" s="3">
        <f t="shared" si="46"/>
        <v>1.6948420036986413E-2</v>
      </c>
      <c r="CJ283" s="37">
        <f t="shared" si="44"/>
        <v>3.3523707232198025E-2</v>
      </c>
    </row>
    <row r="284" spans="1:88" s="159" customFormat="1" x14ac:dyDescent="0.35">
      <c r="A284" s="19" t="s">
        <v>1222</v>
      </c>
      <c r="B284" s="152" t="s">
        <v>1223</v>
      </c>
      <c r="C284" s="19" t="s">
        <v>214</v>
      </c>
      <c r="D284" s="14" t="s">
        <v>1224</v>
      </c>
      <c r="E284" s="14" t="s">
        <v>1225</v>
      </c>
      <c r="F284" s="11" t="s">
        <v>1109</v>
      </c>
      <c r="G284" s="12">
        <v>0</v>
      </c>
      <c r="H284" s="12">
        <v>1</v>
      </c>
      <c r="I284" s="12">
        <v>1</v>
      </c>
      <c r="J284" s="12" t="s">
        <v>1107</v>
      </c>
      <c r="K284" s="79">
        <v>0</v>
      </c>
      <c r="L284" s="157" t="s">
        <v>1284</v>
      </c>
      <c r="M284" s="21">
        <v>1</v>
      </c>
      <c r="N284" s="21">
        <v>126</v>
      </c>
      <c r="O284" s="12">
        <v>60</v>
      </c>
      <c r="P284" s="12" t="s">
        <v>147</v>
      </c>
      <c r="Q284" s="12">
        <v>2</v>
      </c>
      <c r="R284" s="12">
        <v>2</v>
      </c>
      <c r="S284" s="12">
        <v>1</v>
      </c>
      <c r="T284" s="12">
        <v>0</v>
      </c>
      <c r="U284" s="12">
        <v>1</v>
      </c>
      <c r="V284" s="12">
        <v>0</v>
      </c>
      <c r="W284" s="12">
        <v>0</v>
      </c>
      <c r="X284" s="12">
        <v>0</v>
      </c>
      <c r="Y284" s="12">
        <v>0</v>
      </c>
      <c r="Z284" s="12">
        <v>1</v>
      </c>
      <c r="AA284" s="12">
        <v>1</v>
      </c>
      <c r="AB284" s="12">
        <v>0</v>
      </c>
      <c r="AC284" s="12" t="s">
        <v>32</v>
      </c>
      <c r="AD284" s="12">
        <v>2.4</v>
      </c>
      <c r="AE284" s="12">
        <v>3.1</v>
      </c>
      <c r="AF284" s="12" t="s">
        <v>1227</v>
      </c>
      <c r="AG284" s="12">
        <v>1</v>
      </c>
      <c r="AH284" s="12" t="s">
        <v>357</v>
      </c>
      <c r="AI284" s="12">
        <v>93</v>
      </c>
      <c r="AJ284" s="27">
        <v>68</v>
      </c>
      <c r="AK284" s="27">
        <v>47</v>
      </c>
      <c r="AL284" s="27">
        <v>64</v>
      </c>
      <c r="AM284" s="27">
        <v>49</v>
      </c>
      <c r="AN284" s="27">
        <v>29</v>
      </c>
      <c r="AO284" s="16">
        <v>23.52</v>
      </c>
      <c r="AP284" s="12">
        <v>1</v>
      </c>
      <c r="AQ284" s="12">
        <v>0</v>
      </c>
      <c r="AR284" s="12">
        <v>0</v>
      </c>
      <c r="AS284" s="12">
        <v>0</v>
      </c>
      <c r="AT284" s="12">
        <v>0</v>
      </c>
      <c r="AU284" s="12">
        <v>1</v>
      </c>
      <c r="AV284" s="12">
        <v>0</v>
      </c>
      <c r="AW284" s="12">
        <v>1</v>
      </c>
      <c r="AX284" s="12">
        <v>1</v>
      </c>
      <c r="AY284" s="91" t="s">
        <v>1321</v>
      </c>
      <c r="AZ284" s="13"/>
      <c r="BA284" s="12"/>
      <c r="BB284" s="14" t="s">
        <v>1228</v>
      </c>
      <c r="BC284" s="14" t="s">
        <v>1235</v>
      </c>
      <c r="BD284" s="12">
        <v>4</v>
      </c>
      <c r="BE284" s="12" t="s">
        <v>1230</v>
      </c>
      <c r="BF284" s="12">
        <v>1</v>
      </c>
      <c r="BG284" s="12">
        <v>1</v>
      </c>
      <c r="BH284" s="12">
        <v>0</v>
      </c>
      <c r="BI284" s="12">
        <v>0</v>
      </c>
      <c r="BJ284" s="12">
        <v>0.67</v>
      </c>
      <c r="BK284" s="12">
        <v>0.67</v>
      </c>
      <c r="BL284" s="14" t="s">
        <v>41</v>
      </c>
      <c r="BM284" s="12">
        <v>127</v>
      </c>
      <c r="BN284" s="12"/>
      <c r="BO284" s="12"/>
      <c r="BP284" s="12"/>
      <c r="BQ284" s="12"/>
      <c r="BR284" s="15"/>
      <c r="BS284" s="15"/>
      <c r="BT284" s="12"/>
      <c r="BU284" s="12">
        <f>(21.94+26.07)/2</f>
        <v>24.005000000000003</v>
      </c>
      <c r="BV284" s="12">
        <f>(8.08+10.35)/2</f>
        <v>9.2149999999999999</v>
      </c>
      <c r="BW284" s="12"/>
      <c r="BX284" s="12">
        <v>60</v>
      </c>
      <c r="BY284" s="12">
        <f>(28.5+27.78)/2</f>
        <v>28.14</v>
      </c>
      <c r="BZ284" s="12">
        <f>(7.43+8.38)/2</f>
        <v>7.9050000000000002</v>
      </c>
      <c r="CA284" s="12"/>
      <c r="CB284" s="12">
        <v>60</v>
      </c>
      <c r="CC284" s="12">
        <v>1</v>
      </c>
      <c r="CD284" s="3">
        <f t="shared" si="42"/>
        <v>0.48165274073588049</v>
      </c>
      <c r="CE284" s="12">
        <v>60</v>
      </c>
      <c r="CF284" s="158">
        <f t="shared" si="40"/>
        <v>0.48165274073588049</v>
      </c>
      <c r="CG284" s="22">
        <f t="shared" si="43"/>
        <v>0.58843247708394053</v>
      </c>
      <c r="CH284" s="14"/>
      <c r="CI284" s="3">
        <f t="shared" si="46"/>
        <v>1.8599911355486543E-2</v>
      </c>
      <c r="CJ284" s="37">
        <f t="shared" si="44"/>
        <v>3.4181992108056718E-2</v>
      </c>
    </row>
    <row r="285" spans="1:88" s="159" customFormat="1" x14ac:dyDescent="0.35">
      <c r="A285" s="171" t="s">
        <v>1222</v>
      </c>
      <c r="B285" s="169" t="s">
        <v>1223</v>
      </c>
      <c r="C285" s="171" t="s">
        <v>214</v>
      </c>
      <c r="D285" s="119" t="s">
        <v>1224</v>
      </c>
      <c r="E285" s="119" t="s">
        <v>1225</v>
      </c>
      <c r="F285" s="11" t="s">
        <v>1109</v>
      </c>
      <c r="G285" s="11">
        <v>0</v>
      </c>
      <c r="H285" s="11">
        <v>1</v>
      </c>
      <c r="I285" s="11">
        <v>1</v>
      </c>
      <c r="J285" s="11" t="s">
        <v>1107</v>
      </c>
      <c r="K285" s="79">
        <v>0</v>
      </c>
      <c r="L285" s="194" t="s">
        <v>1284</v>
      </c>
      <c r="M285" s="177">
        <v>1</v>
      </c>
      <c r="N285" s="177">
        <v>126</v>
      </c>
      <c r="O285" s="11">
        <v>60</v>
      </c>
      <c r="P285" s="11" t="s">
        <v>147</v>
      </c>
      <c r="Q285" s="11">
        <v>2</v>
      </c>
      <c r="R285" s="11">
        <v>2</v>
      </c>
      <c r="S285" s="11">
        <v>1</v>
      </c>
      <c r="T285" s="11">
        <v>0</v>
      </c>
      <c r="U285" s="11">
        <v>1</v>
      </c>
      <c r="V285" s="11">
        <v>0</v>
      </c>
      <c r="W285" s="11">
        <v>0</v>
      </c>
      <c r="X285" s="11">
        <v>0</v>
      </c>
      <c r="Y285" s="11">
        <v>0</v>
      </c>
      <c r="Z285" s="11">
        <v>1</v>
      </c>
      <c r="AA285" s="11">
        <v>1</v>
      </c>
      <c r="AB285" s="11">
        <v>0</v>
      </c>
      <c r="AC285" s="11" t="s">
        <v>32</v>
      </c>
      <c r="AD285" s="11">
        <v>2.4</v>
      </c>
      <c r="AE285" s="11">
        <v>3.1</v>
      </c>
      <c r="AF285" s="11" t="s">
        <v>1227</v>
      </c>
      <c r="AG285" s="11">
        <v>1</v>
      </c>
      <c r="AH285" s="11" t="s">
        <v>357</v>
      </c>
      <c r="AI285" s="11">
        <v>93</v>
      </c>
      <c r="AJ285" s="27">
        <v>68</v>
      </c>
      <c r="AK285" s="27">
        <v>47</v>
      </c>
      <c r="AL285" s="27">
        <v>64</v>
      </c>
      <c r="AM285" s="27">
        <v>49</v>
      </c>
      <c r="AN285" s="27">
        <v>29</v>
      </c>
      <c r="AO285" s="181">
        <v>23.52</v>
      </c>
      <c r="AP285" s="11">
        <v>1</v>
      </c>
      <c r="AQ285" s="11">
        <v>0</v>
      </c>
      <c r="AR285" s="11">
        <v>0</v>
      </c>
      <c r="AS285" s="11">
        <v>0</v>
      </c>
      <c r="AT285" s="11">
        <v>0</v>
      </c>
      <c r="AU285" s="11">
        <v>1</v>
      </c>
      <c r="AV285" s="11">
        <v>0</v>
      </c>
      <c r="AW285" s="11">
        <v>1</v>
      </c>
      <c r="AX285" s="11">
        <v>1</v>
      </c>
      <c r="AY285" s="91" t="s">
        <v>1322</v>
      </c>
      <c r="AZ285" s="13"/>
      <c r="BA285" s="12"/>
      <c r="BB285" s="14" t="s">
        <v>1231</v>
      </c>
      <c r="BC285" s="14" t="s">
        <v>1232</v>
      </c>
      <c r="BD285" s="12">
        <v>4</v>
      </c>
      <c r="BE285" s="12" t="s">
        <v>1230</v>
      </c>
      <c r="BF285" s="12">
        <v>1</v>
      </c>
      <c r="BG285" s="12">
        <v>1</v>
      </c>
      <c r="BH285" s="12">
        <v>0</v>
      </c>
      <c r="BI285" s="12">
        <v>0</v>
      </c>
      <c r="BJ285" s="12">
        <v>0.81</v>
      </c>
      <c r="BK285" s="12">
        <v>0.81</v>
      </c>
      <c r="BL285" s="14" t="s">
        <v>41</v>
      </c>
      <c r="BM285" s="12">
        <v>127</v>
      </c>
      <c r="BN285" s="12"/>
      <c r="BO285" s="12"/>
      <c r="BP285" s="12"/>
      <c r="BQ285" s="12"/>
      <c r="BR285" s="15"/>
      <c r="BS285" s="15"/>
      <c r="BT285" s="12"/>
      <c r="BU285" s="12">
        <f>(21.57+28.42)/2</f>
        <v>24.995000000000001</v>
      </c>
      <c r="BV285" s="12">
        <f>(10.27+16.7)/2</f>
        <v>13.484999999999999</v>
      </c>
      <c r="BW285" s="12"/>
      <c r="BX285" s="12">
        <v>60</v>
      </c>
      <c r="BY285" s="12">
        <f>(31.79+27.46)/2</f>
        <v>29.625</v>
      </c>
      <c r="BZ285" s="12">
        <f>(10.51+11.89)/2</f>
        <v>11.2</v>
      </c>
      <c r="CA285" s="12"/>
      <c r="CB285" s="12">
        <v>60</v>
      </c>
      <c r="CC285" s="12">
        <v>1</v>
      </c>
      <c r="CD285" s="3">
        <f t="shared" si="42"/>
        <v>0.3735297089319321</v>
      </c>
      <c r="CE285" s="12">
        <v>60</v>
      </c>
      <c r="CF285" s="158">
        <f t="shared" si="40"/>
        <v>0.3735297089319321</v>
      </c>
      <c r="CG285" s="22">
        <f t="shared" si="43"/>
        <v>0.41503300992436898</v>
      </c>
      <c r="CH285" s="14"/>
      <c r="CI285" s="3">
        <f t="shared" si="46"/>
        <v>1.7829370362123117E-2</v>
      </c>
      <c r="CJ285" s="37">
        <f t="shared" si="44"/>
        <v>3.3755520586585493E-2</v>
      </c>
    </row>
    <row r="286" spans="1:88" s="159" customFormat="1" x14ac:dyDescent="0.35">
      <c r="A286" s="154" t="s">
        <v>1222</v>
      </c>
      <c r="B286" s="153" t="s">
        <v>1223</v>
      </c>
      <c r="C286" s="154" t="s">
        <v>214</v>
      </c>
      <c r="D286" s="120" t="s">
        <v>1224</v>
      </c>
      <c r="E286" s="120" t="s">
        <v>1225</v>
      </c>
      <c r="F286" s="18" t="s">
        <v>1109</v>
      </c>
      <c r="G286" s="18">
        <v>0</v>
      </c>
      <c r="H286" s="18">
        <v>1</v>
      </c>
      <c r="I286" s="18">
        <v>1</v>
      </c>
      <c r="J286" s="18" t="s">
        <v>1107</v>
      </c>
      <c r="K286" s="155">
        <v>0</v>
      </c>
      <c r="L286" s="157" t="s">
        <v>1284</v>
      </c>
      <c r="M286" s="160">
        <v>1</v>
      </c>
      <c r="N286" s="160">
        <v>126</v>
      </c>
      <c r="O286" s="18">
        <v>60</v>
      </c>
      <c r="P286" s="18" t="s">
        <v>147</v>
      </c>
      <c r="Q286" s="18">
        <v>2</v>
      </c>
      <c r="R286" s="18">
        <v>2</v>
      </c>
      <c r="S286" s="18">
        <v>1</v>
      </c>
      <c r="T286" s="18">
        <v>0</v>
      </c>
      <c r="U286" s="18">
        <v>1</v>
      </c>
      <c r="V286" s="18">
        <v>0</v>
      </c>
      <c r="W286" s="18">
        <v>0</v>
      </c>
      <c r="X286" s="18">
        <v>0</v>
      </c>
      <c r="Y286" s="18">
        <v>0</v>
      </c>
      <c r="Z286" s="18">
        <v>1</v>
      </c>
      <c r="AA286" s="18">
        <v>1</v>
      </c>
      <c r="AB286" s="18">
        <v>0</v>
      </c>
      <c r="AC286" s="18" t="s">
        <v>32</v>
      </c>
      <c r="AD286" s="18">
        <v>2.4</v>
      </c>
      <c r="AE286" s="18">
        <v>3.1</v>
      </c>
      <c r="AF286" s="18" t="s">
        <v>1227</v>
      </c>
      <c r="AG286" s="18">
        <v>1</v>
      </c>
      <c r="AH286" s="18" t="s">
        <v>357</v>
      </c>
      <c r="AI286" s="18">
        <v>93</v>
      </c>
      <c r="AJ286" s="28">
        <v>68</v>
      </c>
      <c r="AK286" s="28">
        <v>47</v>
      </c>
      <c r="AL286" s="28">
        <v>64</v>
      </c>
      <c r="AM286" s="28">
        <v>49</v>
      </c>
      <c r="AN286" s="28">
        <v>29</v>
      </c>
      <c r="AO286" s="156">
        <v>23.52</v>
      </c>
      <c r="AP286" s="18">
        <v>1</v>
      </c>
      <c r="AQ286" s="18">
        <v>0</v>
      </c>
      <c r="AR286" s="18">
        <v>0</v>
      </c>
      <c r="AS286" s="18">
        <v>0</v>
      </c>
      <c r="AT286" s="18">
        <v>0</v>
      </c>
      <c r="AU286" s="18">
        <v>1</v>
      </c>
      <c r="AV286" s="18">
        <v>0</v>
      </c>
      <c r="AW286" s="18">
        <v>1</v>
      </c>
      <c r="AX286" s="18">
        <v>1</v>
      </c>
      <c r="AY286" s="91" t="s">
        <v>1323</v>
      </c>
      <c r="AZ286" s="13"/>
      <c r="BA286" s="12"/>
      <c r="BB286" s="14" t="s">
        <v>1233</v>
      </c>
      <c r="BC286" s="159" t="s">
        <v>1236</v>
      </c>
      <c r="BD286" s="12">
        <v>8</v>
      </c>
      <c r="BE286" s="12"/>
      <c r="BF286" s="12">
        <v>1</v>
      </c>
      <c r="BG286" s="12">
        <v>1</v>
      </c>
      <c r="BH286" s="12">
        <v>0</v>
      </c>
      <c r="BI286" s="12">
        <v>0</v>
      </c>
      <c r="BJ286" s="121">
        <v>0.8</v>
      </c>
      <c r="BK286" s="121">
        <v>0.8</v>
      </c>
      <c r="BL286" s="14"/>
      <c r="BM286" s="12">
        <v>127</v>
      </c>
      <c r="BN286" s="12"/>
      <c r="BO286" s="12"/>
      <c r="BP286" s="12"/>
      <c r="BQ286" s="12"/>
      <c r="BR286" s="15"/>
      <c r="BS286" s="15"/>
      <c r="BT286" s="12"/>
      <c r="BU286" s="12">
        <f>(5.43+5.97)/2</f>
        <v>5.6999999999999993</v>
      </c>
      <c r="BV286" s="12">
        <f>(2.71+2.96)/2</f>
        <v>2.835</v>
      </c>
      <c r="BW286" s="12"/>
      <c r="BX286" s="12">
        <v>60</v>
      </c>
      <c r="BY286" s="12">
        <f>(7.29+6.34)/2</f>
        <v>6.8149999999999995</v>
      </c>
      <c r="BZ286" s="12">
        <f>(1.21+2.74)/2</f>
        <v>1.9750000000000001</v>
      </c>
      <c r="CA286" s="12"/>
      <c r="CB286" s="12">
        <v>60</v>
      </c>
      <c r="CC286" s="12">
        <v>1</v>
      </c>
      <c r="CD286" s="3">
        <f t="shared" si="42"/>
        <v>0.4563802126646993</v>
      </c>
      <c r="CE286" s="12">
        <v>60</v>
      </c>
      <c r="CF286" s="158">
        <f t="shared" si="40"/>
        <v>0.4563802126646993</v>
      </c>
      <c r="CG286" s="22">
        <f t="shared" si="43"/>
        <v>0.510248589552039</v>
      </c>
      <c r="CH286" s="14"/>
      <c r="CI286" s="3">
        <f t="shared" si="46"/>
        <v>1.8402357487598969E-2</v>
      </c>
      <c r="CJ286" s="37">
        <f t="shared" si="44"/>
        <v>3.3882602580463807E-2</v>
      </c>
    </row>
    <row r="287" spans="1:88" s="159" customFormat="1" x14ac:dyDescent="0.35">
      <c r="A287" s="161" t="s">
        <v>1237</v>
      </c>
      <c r="B287" s="162" t="s">
        <v>1238</v>
      </c>
      <c r="C287" s="161" t="s">
        <v>102</v>
      </c>
      <c r="D287" s="123" t="s">
        <v>1239</v>
      </c>
      <c r="E287" s="123" t="s">
        <v>54</v>
      </c>
      <c r="F287" s="20" t="s">
        <v>1109</v>
      </c>
      <c r="G287" s="20">
        <v>0</v>
      </c>
      <c r="H287" s="20">
        <v>1</v>
      </c>
      <c r="I287" s="20">
        <v>1</v>
      </c>
      <c r="J287" s="20" t="s">
        <v>1106</v>
      </c>
      <c r="K287" s="163">
        <v>1</v>
      </c>
      <c r="L287" s="164" t="s">
        <v>1285</v>
      </c>
      <c r="M287" s="165">
        <v>1</v>
      </c>
      <c r="N287" s="165">
        <v>47</v>
      </c>
      <c r="O287" s="20">
        <v>201</v>
      </c>
      <c r="P287" s="20" t="s">
        <v>31</v>
      </c>
      <c r="Q287" s="20">
        <v>1</v>
      </c>
      <c r="R287" s="20">
        <v>1</v>
      </c>
      <c r="S287" s="20">
        <v>1</v>
      </c>
      <c r="T287" s="20">
        <v>0</v>
      </c>
      <c r="U287" s="20">
        <v>0</v>
      </c>
      <c r="V287" s="20">
        <v>1</v>
      </c>
      <c r="W287" s="20">
        <v>0</v>
      </c>
      <c r="X287" s="20">
        <v>1</v>
      </c>
      <c r="Y287" s="20">
        <v>0</v>
      </c>
      <c r="Z287" s="20">
        <v>0</v>
      </c>
      <c r="AA287" s="20">
        <v>1</v>
      </c>
      <c r="AB287" s="20">
        <v>0</v>
      </c>
      <c r="AC287" s="20" t="s">
        <v>730</v>
      </c>
      <c r="AD287" s="20">
        <v>2.6</v>
      </c>
      <c r="AE287" s="20">
        <v>2.9</v>
      </c>
      <c r="AF287" s="20" t="s">
        <v>442</v>
      </c>
      <c r="AG287" s="20">
        <v>1</v>
      </c>
      <c r="AH287" s="20" t="s">
        <v>139</v>
      </c>
      <c r="AI287" s="20">
        <v>65</v>
      </c>
      <c r="AJ287" s="20">
        <v>35</v>
      </c>
      <c r="AK287" s="20">
        <v>79</v>
      </c>
      <c r="AL287" s="20">
        <v>66</v>
      </c>
      <c r="AM287" s="20">
        <v>57</v>
      </c>
      <c r="AN287" s="20">
        <v>40</v>
      </c>
      <c r="AO287" s="166">
        <v>23.4</v>
      </c>
      <c r="AP287" s="20">
        <v>0</v>
      </c>
      <c r="AQ287" s="20">
        <v>0</v>
      </c>
      <c r="AR287" s="20">
        <v>0</v>
      </c>
      <c r="AS287" s="20">
        <v>0</v>
      </c>
      <c r="AT287" s="20">
        <v>0</v>
      </c>
      <c r="AU287" s="20">
        <v>1</v>
      </c>
      <c r="AV287" s="20">
        <v>0</v>
      </c>
      <c r="AW287" s="20">
        <v>1</v>
      </c>
      <c r="AX287" s="20">
        <v>1</v>
      </c>
      <c r="AY287" s="91" t="s">
        <v>1324</v>
      </c>
      <c r="AZ287" s="13"/>
      <c r="BA287" s="12"/>
      <c r="BB287" s="14" t="s">
        <v>1240</v>
      </c>
      <c r="BC287" s="14" t="s">
        <v>1241</v>
      </c>
      <c r="BD287" s="12">
        <v>2</v>
      </c>
      <c r="BE287" s="12">
        <v>7</v>
      </c>
      <c r="BF287" s="12">
        <v>1</v>
      </c>
      <c r="BG287" s="12">
        <v>1</v>
      </c>
      <c r="BH287" s="12">
        <v>0</v>
      </c>
      <c r="BI287" s="12">
        <v>0</v>
      </c>
      <c r="BJ287" s="12">
        <v>0.57999999999999996</v>
      </c>
      <c r="BK287" s="12">
        <v>0.57999999999999996</v>
      </c>
      <c r="BL287" s="14" t="s">
        <v>41</v>
      </c>
      <c r="BM287" s="12">
        <v>48</v>
      </c>
      <c r="BN287" s="12"/>
      <c r="BO287" s="12"/>
      <c r="BP287" s="12"/>
      <c r="BQ287" s="12"/>
      <c r="BR287" s="15"/>
      <c r="BS287" s="15"/>
      <c r="BT287" s="12"/>
      <c r="BU287" s="12">
        <v>5.64</v>
      </c>
      <c r="BV287" s="12">
        <v>1.1200000000000001</v>
      </c>
      <c r="BW287" s="12"/>
      <c r="BX287" s="12">
        <v>86</v>
      </c>
      <c r="BY287" s="12">
        <v>5.94</v>
      </c>
      <c r="BZ287" s="12">
        <v>1.04</v>
      </c>
      <c r="CA287" s="12"/>
      <c r="CB287" s="12">
        <v>86</v>
      </c>
      <c r="CC287" s="12">
        <v>1</v>
      </c>
      <c r="CD287" s="3">
        <f t="shared" si="42"/>
        <v>0.27758745382410266</v>
      </c>
      <c r="CE287" s="12">
        <v>86</v>
      </c>
      <c r="CF287" s="158">
        <f t="shared" si="40"/>
        <v>0.27758745382410266</v>
      </c>
      <c r="CG287" s="22">
        <f t="shared" si="43"/>
        <v>0.36449018368255875</v>
      </c>
      <c r="CH287" s="14"/>
      <c r="CI287" s="3">
        <f t="shared" si="46"/>
        <v>1.2075899968142723E-2</v>
      </c>
      <c r="CJ287" s="37">
        <f t="shared" si="44"/>
        <v>2.3698657600158188E-2</v>
      </c>
    </row>
    <row r="288" spans="1:88" s="159" customFormat="1" x14ac:dyDescent="0.35">
      <c r="A288" s="171" t="s">
        <v>1242</v>
      </c>
      <c r="B288" s="169" t="s">
        <v>1243</v>
      </c>
      <c r="C288" s="171" t="s">
        <v>283</v>
      </c>
      <c r="D288" s="119" t="s">
        <v>1244</v>
      </c>
      <c r="E288" s="119" t="s">
        <v>1152</v>
      </c>
      <c r="F288" s="11" t="s">
        <v>1109</v>
      </c>
      <c r="G288" s="11">
        <v>1</v>
      </c>
      <c r="H288" s="11">
        <v>1</v>
      </c>
      <c r="I288" s="11">
        <v>1</v>
      </c>
      <c r="J288" s="11" t="s">
        <v>1107</v>
      </c>
      <c r="K288" s="79">
        <v>0</v>
      </c>
      <c r="L288" s="174" t="s">
        <v>1286</v>
      </c>
      <c r="M288" s="177">
        <v>1</v>
      </c>
      <c r="N288" s="177">
        <v>681</v>
      </c>
      <c r="O288" s="11">
        <v>85</v>
      </c>
      <c r="P288" s="11" t="s">
        <v>147</v>
      </c>
      <c r="Q288" s="11">
        <v>2</v>
      </c>
      <c r="R288" s="11">
        <v>1</v>
      </c>
      <c r="S288" s="11">
        <v>1</v>
      </c>
      <c r="T288" s="11">
        <v>0</v>
      </c>
      <c r="U288" s="11">
        <v>0</v>
      </c>
      <c r="V288" s="11">
        <v>0</v>
      </c>
      <c r="W288" s="11">
        <v>1</v>
      </c>
      <c r="X288" s="11">
        <v>0</v>
      </c>
      <c r="Y288" s="11">
        <v>0</v>
      </c>
      <c r="Z288" s="12">
        <v>1</v>
      </c>
      <c r="AA288" s="11">
        <v>1</v>
      </c>
      <c r="AB288" s="11">
        <v>0</v>
      </c>
      <c r="AC288" s="12" t="s">
        <v>782</v>
      </c>
      <c r="AD288" s="12">
        <v>2</v>
      </c>
      <c r="AE288" s="12">
        <v>3.6</v>
      </c>
      <c r="AF288" s="11" t="s">
        <v>1178</v>
      </c>
      <c r="AG288" s="11">
        <v>0</v>
      </c>
      <c r="AH288" s="11" t="s">
        <v>198</v>
      </c>
      <c r="AI288" s="11">
        <v>85</v>
      </c>
      <c r="AJ288" s="27">
        <v>60</v>
      </c>
      <c r="AK288" s="27">
        <v>58</v>
      </c>
      <c r="AL288" s="27">
        <v>39</v>
      </c>
      <c r="AM288" s="27">
        <v>86</v>
      </c>
      <c r="AN288" s="27">
        <v>29</v>
      </c>
      <c r="AO288" s="181">
        <v>23.3</v>
      </c>
      <c r="AP288" s="11">
        <v>1</v>
      </c>
      <c r="AQ288" s="11">
        <v>0</v>
      </c>
      <c r="AR288" s="11">
        <v>0</v>
      </c>
      <c r="AS288" s="11">
        <v>0</v>
      </c>
      <c r="AT288" s="11">
        <v>0</v>
      </c>
      <c r="AU288" s="11">
        <v>1</v>
      </c>
      <c r="AV288" s="11">
        <v>0</v>
      </c>
      <c r="AW288" s="11">
        <v>1</v>
      </c>
      <c r="AX288" s="11">
        <v>1</v>
      </c>
      <c r="AY288" s="91" t="s">
        <v>1325</v>
      </c>
      <c r="AZ288" s="13" t="s">
        <v>1246</v>
      </c>
      <c r="BA288" s="12" t="s">
        <v>183</v>
      </c>
      <c r="BB288" s="159" t="s">
        <v>692</v>
      </c>
      <c r="BC288" s="159" t="s">
        <v>785</v>
      </c>
      <c r="BD288" s="12">
        <v>6</v>
      </c>
      <c r="BE288" s="12">
        <v>7</v>
      </c>
      <c r="BF288" s="12">
        <v>1</v>
      </c>
      <c r="BG288" s="12">
        <v>1</v>
      </c>
      <c r="BH288" s="12">
        <v>0</v>
      </c>
      <c r="BI288" s="12">
        <v>0</v>
      </c>
      <c r="BJ288" s="12">
        <v>0.95</v>
      </c>
      <c r="BK288" s="12">
        <v>0.95</v>
      </c>
      <c r="BL288" s="14" t="s">
        <v>41</v>
      </c>
      <c r="BM288" s="12">
        <v>686</v>
      </c>
      <c r="BN288" s="12"/>
      <c r="BO288" s="12"/>
      <c r="BP288" s="12"/>
      <c r="BQ288" s="12"/>
      <c r="BR288" s="15"/>
      <c r="BS288" s="15"/>
      <c r="BT288" s="12"/>
      <c r="BU288" s="12">
        <v>3.81</v>
      </c>
      <c r="BV288" s="12">
        <v>0.86</v>
      </c>
      <c r="BW288" s="12"/>
      <c r="BX288" s="167">
        <v>42</v>
      </c>
      <c r="BY288" s="12">
        <v>4.93</v>
      </c>
      <c r="BZ288" s="12">
        <v>0.78</v>
      </c>
      <c r="CA288" s="12"/>
      <c r="CB288" s="167">
        <v>42</v>
      </c>
      <c r="CC288" s="12">
        <v>1</v>
      </c>
      <c r="CD288" s="3">
        <f t="shared" ref="CD288:CD308" si="47">(BY288-BU288)/SQRT((((CB288-1)*BZ288^2)+((BX288-1)*BV288^2))/((CB288+BX288)-2))</f>
        <v>1.3642315039754682</v>
      </c>
      <c r="CE288" s="12">
        <v>42</v>
      </c>
      <c r="CF288" s="158">
        <f t="shared" si="40"/>
        <v>1.3642315039754682</v>
      </c>
      <c r="CG288" s="22">
        <f t="shared" si="43"/>
        <v>1.3996719903114023</v>
      </c>
      <c r="CH288" s="14"/>
      <c r="CI288" s="3">
        <f t="shared" si="46"/>
        <v>4.5965804719513906E-2</v>
      </c>
      <c r="CJ288" s="37">
        <f t="shared" si="44"/>
        <v>5.685999894198291E-2</v>
      </c>
    </row>
    <row r="289" spans="1:88" s="159" customFormat="1" x14ac:dyDescent="0.35">
      <c r="A289" s="171" t="s">
        <v>1242</v>
      </c>
      <c r="B289" s="169" t="s">
        <v>1243</v>
      </c>
      <c r="C289" s="171" t="s">
        <v>283</v>
      </c>
      <c r="D289" s="119" t="s">
        <v>1244</v>
      </c>
      <c r="E289" s="119" t="s">
        <v>1152</v>
      </c>
      <c r="F289" s="11" t="s">
        <v>1109</v>
      </c>
      <c r="G289" s="11">
        <v>1</v>
      </c>
      <c r="H289" s="11">
        <v>1</v>
      </c>
      <c r="I289" s="11">
        <v>1</v>
      </c>
      <c r="J289" s="11" t="s">
        <v>1107</v>
      </c>
      <c r="K289" s="79">
        <v>0</v>
      </c>
      <c r="L289" s="174" t="s">
        <v>1286</v>
      </c>
      <c r="M289" s="177">
        <v>1</v>
      </c>
      <c r="N289" s="177">
        <v>681</v>
      </c>
      <c r="O289" s="11">
        <v>85</v>
      </c>
      <c r="P289" s="11" t="s">
        <v>147</v>
      </c>
      <c r="Q289" s="11">
        <v>2</v>
      </c>
      <c r="R289" s="11">
        <v>1</v>
      </c>
      <c r="S289" s="11">
        <v>1</v>
      </c>
      <c r="T289" s="11">
        <v>0</v>
      </c>
      <c r="U289" s="11">
        <v>0</v>
      </c>
      <c r="V289" s="11">
        <v>0</v>
      </c>
      <c r="W289" s="11">
        <v>1</v>
      </c>
      <c r="X289" s="11">
        <v>0</v>
      </c>
      <c r="Y289" s="11">
        <v>0</v>
      </c>
      <c r="Z289" s="11">
        <v>1</v>
      </c>
      <c r="AA289" s="11">
        <v>1</v>
      </c>
      <c r="AB289" s="11">
        <v>0</v>
      </c>
      <c r="AC289" s="11" t="s">
        <v>782</v>
      </c>
      <c r="AD289" s="11">
        <v>2</v>
      </c>
      <c r="AE289" s="11">
        <v>3.6</v>
      </c>
      <c r="AF289" s="11" t="s">
        <v>1178</v>
      </c>
      <c r="AG289" s="11">
        <v>0</v>
      </c>
      <c r="AH289" s="11" t="s">
        <v>198</v>
      </c>
      <c r="AI289" s="11">
        <v>85</v>
      </c>
      <c r="AJ289" s="27">
        <v>60</v>
      </c>
      <c r="AK289" s="27">
        <v>58</v>
      </c>
      <c r="AL289" s="27">
        <v>39</v>
      </c>
      <c r="AM289" s="27">
        <v>86</v>
      </c>
      <c r="AN289" s="27">
        <v>29</v>
      </c>
      <c r="AO289" s="181">
        <v>23.3</v>
      </c>
      <c r="AP289" s="11">
        <v>1</v>
      </c>
      <c r="AQ289" s="11">
        <v>0</v>
      </c>
      <c r="AR289" s="11">
        <v>0</v>
      </c>
      <c r="AS289" s="11">
        <v>0</v>
      </c>
      <c r="AT289" s="11">
        <v>0</v>
      </c>
      <c r="AU289" s="11">
        <v>1</v>
      </c>
      <c r="AV289" s="11">
        <v>0</v>
      </c>
      <c r="AW289" s="11">
        <v>1</v>
      </c>
      <c r="AX289" s="11">
        <v>1</v>
      </c>
      <c r="AY289" s="91" t="s">
        <v>1326</v>
      </c>
      <c r="AZ289" s="13" t="s">
        <v>1246</v>
      </c>
      <c r="BA289" s="12" t="s">
        <v>183</v>
      </c>
      <c r="BB289" s="159" t="s">
        <v>46</v>
      </c>
      <c r="BC289" s="159" t="s">
        <v>787</v>
      </c>
      <c r="BD289" s="12">
        <v>4</v>
      </c>
      <c r="BE289" s="12">
        <v>7</v>
      </c>
      <c r="BF289" s="12">
        <v>0</v>
      </c>
      <c r="BG289" s="12">
        <v>0</v>
      </c>
      <c r="BH289" s="12">
        <v>1</v>
      </c>
      <c r="BI289" s="12">
        <v>0</v>
      </c>
      <c r="BJ289" s="12">
        <v>0.96</v>
      </c>
      <c r="BK289" s="12">
        <v>0.96</v>
      </c>
      <c r="BL289" s="14" t="s">
        <v>41</v>
      </c>
      <c r="BM289" s="12">
        <v>686</v>
      </c>
      <c r="BN289" s="12"/>
      <c r="BO289" s="12"/>
      <c r="BP289" s="12"/>
      <c r="BQ289" s="12"/>
      <c r="BR289" s="15"/>
      <c r="BS289" s="15"/>
      <c r="BT289" s="12"/>
      <c r="BU289" s="12">
        <v>3.09</v>
      </c>
      <c r="BV289" s="12">
        <v>0.99</v>
      </c>
      <c r="BW289" s="12"/>
      <c r="BX289" s="167">
        <v>42</v>
      </c>
      <c r="BY289" s="12">
        <v>4.37</v>
      </c>
      <c r="BZ289" s="12">
        <v>0.91</v>
      </c>
      <c r="CA289" s="12"/>
      <c r="CB289" s="167">
        <v>42</v>
      </c>
      <c r="CC289" s="12">
        <v>1</v>
      </c>
      <c r="CD289" s="3">
        <f t="shared" si="47"/>
        <v>1.3461756635577626</v>
      </c>
      <c r="CE289" s="12">
        <v>42</v>
      </c>
      <c r="CF289" s="158">
        <f t="shared" si="40"/>
        <v>1.3461756635577626</v>
      </c>
      <c r="CG289" s="22">
        <f t="shared" si="43"/>
        <v>1.3739347832787825</v>
      </c>
      <c r="CH289" s="14"/>
      <c r="CI289" s="3">
        <f t="shared" si="46"/>
        <v>4.5383201394704552E-2</v>
      </c>
      <c r="CJ289" s="37">
        <f t="shared" si="44"/>
        <v>7.009162843694422E-2</v>
      </c>
    </row>
    <row r="290" spans="1:88" s="159" customFormat="1" x14ac:dyDescent="0.35">
      <c r="A290" s="19" t="s">
        <v>1242</v>
      </c>
      <c r="B290" s="152" t="s">
        <v>1243</v>
      </c>
      <c r="C290" s="19" t="s">
        <v>283</v>
      </c>
      <c r="D290" s="14" t="s">
        <v>1244</v>
      </c>
      <c r="E290" s="14" t="s">
        <v>1152</v>
      </c>
      <c r="F290" s="11" t="s">
        <v>1109</v>
      </c>
      <c r="G290" s="12">
        <v>1</v>
      </c>
      <c r="H290" s="12">
        <v>1</v>
      </c>
      <c r="I290" s="12">
        <v>1</v>
      </c>
      <c r="J290" s="12" t="s">
        <v>1107</v>
      </c>
      <c r="K290" s="79">
        <v>0</v>
      </c>
      <c r="L290" s="90" t="s">
        <v>1286</v>
      </c>
      <c r="M290" s="21">
        <v>1</v>
      </c>
      <c r="N290" s="21">
        <v>681</v>
      </c>
      <c r="O290" s="12">
        <v>85</v>
      </c>
      <c r="P290" s="12" t="s">
        <v>147</v>
      </c>
      <c r="Q290" s="12">
        <v>2</v>
      </c>
      <c r="R290" s="12">
        <v>2</v>
      </c>
      <c r="S290" s="12">
        <v>1</v>
      </c>
      <c r="T290" s="12">
        <v>0</v>
      </c>
      <c r="U290" s="12">
        <v>0</v>
      </c>
      <c r="V290" s="12">
        <v>0</v>
      </c>
      <c r="W290" s="12">
        <v>1</v>
      </c>
      <c r="X290" s="12">
        <v>0</v>
      </c>
      <c r="Y290" s="12">
        <v>0</v>
      </c>
      <c r="Z290" s="12">
        <v>1</v>
      </c>
      <c r="AA290" s="12">
        <v>1</v>
      </c>
      <c r="AB290" s="12">
        <v>0</v>
      </c>
      <c r="AC290" s="12" t="s">
        <v>1245</v>
      </c>
      <c r="AD290" s="12">
        <v>2.2000000000000002</v>
      </c>
      <c r="AE290" s="12">
        <v>3.6</v>
      </c>
      <c r="AF290" s="12" t="s">
        <v>1178</v>
      </c>
      <c r="AG290" s="12">
        <v>0</v>
      </c>
      <c r="AH290" s="12" t="s">
        <v>198</v>
      </c>
      <c r="AI290" s="12">
        <v>85</v>
      </c>
      <c r="AJ290" s="27">
        <v>60</v>
      </c>
      <c r="AK290" s="27">
        <v>58</v>
      </c>
      <c r="AL290" s="27">
        <v>39</v>
      </c>
      <c r="AM290" s="27">
        <v>86</v>
      </c>
      <c r="AN290" s="27">
        <v>29</v>
      </c>
      <c r="AO290" s="16">
        <v>23.3</v>
      </c>
      <c r="AP290" s="12">
        <v>1</v>
      </c>
      <c r="AQ290" s="12">
        <v>0</v>
      </c>
      <c r="AR290" s="12">
        <v>0</v>
      </c>
      <c r="AS290" s="12">
        <v>0</v>
      </c>
      <c r="AT290" s="12">
        <v>0</v>
      </c>
      <c r="AU290" s="12">
        <v>1</v>
      </c>
      <c r="AV290" s="12">
        <v>0</v>
      </c>
      <c r="AW290" s="12">
        <v>1</v>
      </c>
      <c r="AX290" s="12">
        <v>1</v>
      </c>
      <c r="AY290" s="91" t="s">
        <v>1327</v>
      </c>
      <c r="AZ290" s="13" t="s">
        <v>1246</v>
      </c>
      <c r="BA290" s="12" t="s">
        <v>183</v>
      </c>
      <c r="BB290" s="159" t="s">
        <v>692</v>
      </c>
      <c r="BC290" s="159" t="s">
        <v>785</v>
      </c>
      <c r="BD290" s="12">
        <v>6</v>
      </c>
      <c r="BE290" s="12">
        <v>7</v>
      </c>
      <c r="BF290" s="12">
        <v>1</v>
      </c>
      <c r="BG290" s="12">
        <v>1</v>
      </c>
      <c r="BH290" s="12">
        <v>0</v>
      </c>
      <c r="BI290" s="12">
        <v>0</v>
      </c>
      <c r="BJ290" s="12">
        <v>0.95</v>
      </c>
      <c r="BK290" s="12">
        <v>0.95</v>
      </c>
      <c r="BL290" s="14" t="s">
        <v>41</v>
      </c>
      <c r="BM290" s="12">
        <v>686</v>
      </c>
      <c r="BN290" s="12"/>
      <c r="BO290" s="12"/>
      <c r="BP290" s="12"/>
      <c r="BQ290" s="12"/>
      <c r="BR290" s="15"/>
      <c r="BS290" s="15"/>
      <c r="BT290" s="12"/>
      <c r="BU290" s="12">
        <v>4.05</v>
      </c>
      <c r="BV290" s="12">
        <v>0.65</v>
      </c>
      <c r="BW290" s="12"/>
      <c r="BX290" s="167">
        <v>43</v>
      </c>
      <c r="BY290" s="12">
        <v>4.5</v>
      </c>
      <c r="BZ290" s="12">
        <v>0.7</v>
      </c>
      <c r="CA290" s="12"/>
      <c r="CB290" s="167">
        <v>43</v>
      </c>
      <c r="CC290" s="12">
        <v>1</v>
      </c>
      <c r="CD290" s="3">
        <f t="shared" si="47"/>
        <v>0.66620988917784496</v>
      </c>
      <c r="CE290" s="12">
        <v>43</v>
      </c>
      <c r="CF290" s="158">
        <f t="shared" si="40"/>
        <v>0.66620988917784496</v>
      </c>
      <c r="CG290" s="22">
        <f t="shared" si="43"/>
        <v>0.68351692424151855</v>
      </c>
      <c r="CH290" s="14"/>
      <c r="CI290" s="3">
        <f t="shared" si="46"/>
        <v>2.8416693214399494E-2</v>
      </c>
      <c r="CJ290" s="37">
        <f t="shared" si="44"/>
        <v>5.1944132392146347E-2</v>
      </c>
    </row>
    <row r="291" spans="1:88" s="159" customFormat="1" x14ac:dyDescent="0.35">
      <c r="A291" s="154" t="s">
        <v>1242</v>
      </c>
      <c r="B291" s="153" t="s">
        <v>1243</v>
      </c>
      <c r="C291" s="154" t="s">
        <v>283</v>
      </c>
      <c r="D291" s="120" t="s">
        <v>1244</v>
      </c>
      <c r="E291" s="120" t="s">
        <v>1152</v>
      </c>
      <c r="F291" s="18" t="s">
        <v>1109</v>
      </c>
      <c r="G291" s="18">
        <v>1</v>
      </c>
      <c r="H291" s="18">
        <v>1</v>
      </c>
      <c r="I291" s="18">
        <v>1</v>
      </c>
      <c r="J291" s="18" t="s">
        <v>1107</v>
      </c>
      <c r="K291" s="155">
        <v>0</v>
      </c>
      <c r="L291" s="205" t="s">
        <v>1286</v>
      </c>
      <c r="M291" s="160">
        <v>1</v>
      </c>
      <c r="N291" s="160">
        <v>681</v>
      </c>
      <c r="O291" s="18">
        <v>85</v>
      </c>
      <c r="P291" s="18" t="s">
        <v>147</v>
      </c>
      <c r="Q291" s="18">
        <v>2</v>
      </c>
      <c r="R291" s="18">
        <v>2</v>
      </c>
      <c r="S291" s="18">
        <v>1</v>
      </c>
      <c r="T291" s="18">
        <v>0</v>
      </c>
      <c r="U291" s="18">
        <v>0</v>
      </c>
      <c r="V291" s="18">
        <v>0</v>
      </c>
      <c r="W291" s="18">
        <v>1</v>
      </c>
      <c r="X291" s="18">
        <v>0</v>
      </c>
      <c r="Y291" s="18">
        <v>0</v>
      </c>
      <c r="Z291" s="18">
        <v>1</v>
      </c>
      <c r="AA291" s="18">
        <v>1</v>
      </c>
      <c r="AB291" s="18">
        <v>0</v>
      </c>
      <c r="AC291" s="18" t="s">
        <v>1245</v>
      </c>
      <c r="AD291" s="18">
        <v>2.2000000000000002</v>
      </c>
      <c r="AE291" s="18">
        <v>3.6</v>
      </c>
      <c r="AF291" s="18" t="s">
        <v>1178</v>
      </c>
      <c r="AG291" s="18">
        <v>0</v>
      </c>
      <c r="AH291" s="18" t="s">
        <v>198</v>
      </c>
      <c r="AI291" s="18">
        <v>85</v>
      </c>
      <c r="AJ291" s="28">
        <v>60</v>
      </c>
      <c r="AK291" s="28">
        <v>58</v>
      </c>
      <c r="AL291" s="28">
        <v>39</v>
      </c>
      <c r="AM291" s="28">
        <v>86</v>
      </c>
      <c r="AN291" s="28">
        <v>29</v>
      </c>
      <c r="AO291" s="156">
        <v>23.3</v>
      </c>
      <c r="AP291" s="18">
        <v>1</v>
      </c>
      <c r="AQ291" s="18">
        <v>0</v>
      </c>
      <c r="AR291" s="18">
        <v>0</v>
      </c>
      <c r="AS291" s="18">
        <v>0</v>
      </c>
      <c r="AT291" s="18">
        <v>0</v>
      </c>
      <c r="AU291" s="18">
        <v>1</v>
      </c>
      <c r="AV291" s="18">
        <v>0</v>
      </c>
      <c r="AW291" s="18">
        <v>1</v>
      </c>
      <c r="AX291" s="18">
        <v>1</v>
      </c>
      <c r="AY291" s="91" t="s">
        <v>1328</v>
      </c>
      <c r="AZ291" s="13" t="s">
        <v>1246</v>
      </c>
      <c r="BA291" s="12" t="s">
        <v>183</v>
      </c>
      <c r="BB291" s="159" t="s">
        <v>46</v>
      </c>
      <c r="BC291" s="159" t="s">
        <v>787</v>
      </c>
      <c r="BD291" s="12">
        <v>4</v>
      </c>
      <c r="BE291" s="12">
        <v>7</v>
      </c>
      <c r="BF291" s="12">
        <v>0</v>
      </c>
      <c r="BG291" s="12">
        <v>0</v>
      </c>
      <c r="BH291" s="12">
        <v>1</v>
      </c>
      <c r="BI291" s="12">
        <v>0</v>
      </c>
      <c r="BJ291" s="12">
        <v>0.96</v>
      </c>
      <c r="BK291" s="12">
        <v>0.96</v>
      </c>
      <c r="BL291" s="14" t="s">
        <v>41</v>
      </c>
      <c r="BM291" s="12">
        <v>686</v>
      </c>
      <c r="BN291" s="12"/>
      <c r="BO291" s="12"/>
      <c r="BP291" s="12"/>
      <c r="BQ291" s="12"/>
      <c r="BR291" s="15"/>
      <c r="BS291" s="15"/>
      <c r="BT291" s="12"/>
      <c r="BU291" s="12">
        <v>3.15</v>
      </c>
      <c r="BV291" s="12">
        <v>1</v>
      </c>
      <c r="BW291" s="12"/>
      <c r="BX291" s="167">
        <v>43</v>
      </c>
      <c r="BY291" s="12">
        <v>3.58</v>
      </c>
      <c r="BZ291" s="12">
        <v>0.85</v>
      </c>
      <c r="CA291" s="12"/>
      <c r="CB291" s="167">
        <v>43</v>
      </c>
      <c r="CC291" s="12">
        <v>1</v>
      </c>
      <c r="CD291" s="3">
        <f t="shared" si="47"/>
        <v>0.46334431425871436</v>
      </c>
      <c r="CE291" s="12">
        <v>43</v>
      </c>
      <c r="CF291" s="158">
        <f t="shared" si="40"/>
        <v>0.46334431425871436</v>
      </c>
      <c r="CG291" s="22">
        <f t="shared" si="43"/>
        <v>0.47289881048067761</v>
      </c>
      <c r="CH291" s="14"/>
      <c r="CI291" s="3">
        <f t="shared" si="46"/>
        <v>2.5752185506463701E-2</v>
      </c>
      <c r="CJ291" s="37">
        <f t="shared" si="44"/>
        <v>4.911201494132604E-2</v>
      </c>
    </row>
    <row r="292" spans="1:88" s="159" customFormat="1" x14ac:dyDescent="0.35">
      <c r="A292" s="19" t="s">
        <v>1247</v>
      </c>
      <c r="B292" s="152" t="s">
        <v>1248</v>
      </c>
      <c r="C292" s="19" t="s">
        <v>1009</v>
      </c>
      <c r="D292" s="14" t="s">
        <v>1249</v>
      </c>
      <c r="E292" s="14" t="s">
        <v>1250</v>
      </c>
      <c r="F292" s="11" t="s">
        <v>1109</v>
      </c>
      <c r="G292" s="12">
        <v>0</v>
      </c>
      <c r="H292" s="12">
        <v>1</v>
      </c>
      <c r="I292" s="12">
        <v>2</v>
      </c>
      <c r="J292" s="12" t="s">
        <v>1107</v>
      </c>
      <c r="K292" s="79">
        <v>0</v>
      </c>
      <c r="L292" s="90" t="s">
        <v>1251</v>
      </c>
      <c r="M292" s="90">
        <v>1</v>
      </c>
      <c r="N292" s="90">
        <v>3</v>
      </c>
      <c r="O292" s="12">
        <v>40</v>
      </c>
      <c r="P292" s="12" t="s">
        <v>31</v>
      </c>
      <c r="Q292" s="12">
        <v>3</v>
      </c>
      <c r="R292" s="12">
        <v>1</v>
      </c>
      <c r="S292" s="12">
        <v>1</v>
      </c>
      <c r="T292" s="12">
        <v>0</v>
      </c>
      <c r="U292" s="12">
        <v>0</v>
      </c>
      <c r="V292" s="12">
        <v>1</v>
      </c>
      <c r="W292" s="12">
        <v>0</v>
      </c>
      <c r="X292" s="12">
        <v>1</v>
      </c>
      <c r="Y292" s="12">
        <v>0</v>
      </c>
      <c r="Z292" s="12">
        <v>0</v>
      </c>
      <c r="AA292" s="12">
        <v>0</v>
      </c>
      <c r="AB292" s="12">
        <v>0</v>
      </c>
      <c r="AC292" s="12" t="s">
        <v>1252</v>
      </c>
      <c r="AD292" s="12">
        <v>2</v>
      </c>
      <c r="AE292" s="12">
        <v>3.1</v>
      </c>
      <c r="AF292" s="12" t="s">
        <v>220</v>
      </c>
      <c r="AG292" s="12">
        <v>0</v>
      </c>
      <c r="AH292" s="12" t="s">
        <v>923</v>
      </c>
      <c r="AI292" s="12">
        <v>86</v>
      </c>
      <c r="AJ292" s="11">
        <v>57</v>
      </c>
      <c r="AK292" s="11">
        <v>67</v>
      </c>
      <c r="AL292" s="11">
        <v>42</v>
      </c>
      <c r="AM292" s="11">
        <v>47</v>
      </c>
      <c r="AN292" s="11">
        <v>44</v>
      </c>
      <c r="AO292" s="16">
        <v>32</v>
      </c>
      <c r="AP292" s="12">
        <v>0</v>
      </c>
      <c r="AQ292" s="12">
        <v>0</v>
      </c>
      <c r="AR292" s="12">
        <v>1</v>
      </c>
      <c r="AS292" s="12">
        <v>0</v>
      </c>
      <c r="AT292" s="12">
        <v>0</v>
      </c>
      <c r="AU292" s="12">
        <v>0</v>
      </c>
      <c r="AV292" s="12">
        <v>0</v>
      </c>
      <c r="AW292" s="12">
        <v>1</v>
      </c>
      <c r="AX292" s="12">
        <v>1</v>
      </c>
      <c r="AY292" s="91" t="s">
        <v>1329</v>
      </c>
      <c r="AZ292" s="14" t="s">
        <v>1254</v>
      </c>
      <c r="BA292" s="13" t="s">
        <v>83</v>
      </c>
      <c r="BB292" s="14" t="s">
        <v>1255</v>
      </c>
      <c r="BC292" s="14" t="s">
        <v>1256</v>
      </c>
      <c r="BD292" s="12">
        <v>1</v>
      </c>
      <c r="BE292" s="12">
        <v>5</v>
      </c>
      <c r="BF292" s="12">
        <v>1</v>
      </c>
      <c r="BG292" s="12">
        <v>1</v>
      </c>
      <c r="BH292" s="12">
        <v>0</v>
      </c>
      <c r="BI292" s="12">
        <v>0</v>
      </c>
      <c r="BJ292" s="12"/>
      <c r="BK292" s="12">
        <v>0.8</v>
      </c>
      <c r="BL292" s="14"/>
      <c r="BM292" s="12">
        <v>6</v>
      </c>
      <c r="BN292" s="12"/>
      <c r="BO292" s="12"/>
      <c r="BP292" s="12"/>
      <c r="BQ292" s="12"/>
      <c r="BR292" s="15"/>
      <c r="BS292" s="15"/>
      <c r="BT292" s="12"/>
      <c r="BU292" s="12">
        <f>(2.31 + 2.69 + 3.49 + 3.37)/4</f>
        <v>2.9649999999999999</v>
      </c>
      <c r="BV292" s="12">
        <f>(0.72 +0.87 + 0.74 + 0.77) / 4</f>
        <v>0.77500000000000002</v>
      </c>
      <c r="BW292" s="12"/>
      <c r="BX292" s="12">
        <v>40</v>
      </c>
      <c r="BY292" s="12">
        <f>(2.14 + 2.57 + 3.51 + 2.74) /4</f>
        <v>2.7399999999999998</v>
      </c>
      <c r="BZ292" s="12">
        <f>(0.85 + 0.78 + 0.7 + 0.95) / 4</f>
        <v>0.82000000000000006</v>
      </c>
      <c r="CA292" s="12"/>
      <c r="CB292" s="12">
        <v>40</v>
      </c>
      <c r="CC292" s="12">
        <v>0</v>
      </c>
      <c r="CD292" s="3">
        <f t="shared" si="47"/>
        <v>-0.28201944246383692</v>
      </c>
      <c r="CE292" s="12">
        <v>40</v>
      </c>
      <c r="CF292" s="158">
        <f t="shared" si="40"/>
        <v>-0.28201944246383692</v>
      </c>
      <c r="CG292" s="22">
        <f t="shared" si="43"/>
        <v>-0.31530732216286506</v>
      </c>
      <c r="CH292" s="14"/>
      <c r="CI292" s="3">
        <f t="shared" si="46"/>
        <v>2.5994187074095169E-2</v>
      </c>
      <c r="CJ292" s="37">
        <f t="shared" si="44"/>
        <v>5.1242733842618959E-2</v>
      </c>
    </row>
    <row r="293" spans="1:88" s="159" customFormat="1" x14ac:dyDescent="0.35">
      <c r="A293" s="19" t="s">
        <v>1247</v>
      </c>
      <c r="B293" s="152" t="s">
        <v>1248</v>
      </c>
      <c r="C293" s="19" t="s">
        <v>1009</v>
      </c>
      <c r="D293" s="14" t="s">
        <v>1249</v>
      </c>
      <c r="E293" s="14" t="s">
        <v>1250</v>
      </c>
      <c r="F293" s="11" t="s">
        <v>1109</v>
      </c>
      <c r="G293" s="12">
        <v>0</v>
      </c>
      <c r="H293" s="12">
        <v>1</v>
      </c>
      <c r="I293" s="12">
        <v>2</v>
      </c>
      <c r="J293" s="12" t="s">
        <v>1107</v>
      </c>
      <c r="K293" s="79">
        <v>0</v>
      </c>
      <c r="L293" s="90" t="s">
        <v>1251</v>
      </c>
      <c r="M293" s="90">
        <v>1</v>
      </c>
      <c r="N293" s="90">
        <v>3</v>
      </c>
      <c r="O293" s="12">
        <v>40</v>
      </c>
      <c r="P293" s="12" t="s">
        <v>31</v>
      </c>
      <c r="Q293" s="12">
        <v>3</v>
      </c>
      <c r="R293" s="12">
        <v>1</v>
      </c>
      <c r="S293" s="12">
        <v>1</v>
      </c>
      <c r="T293" s="12">
        <v>0</v>
      </c>
      <c r="U293" s="12">
        <v>0</v>
      </c>
      <c r="V293" s="12">
        <v>1</v>
      </c>
      <c r="W293" s="12">
        <v>0</v>
      </c>
      <c r="X293" s="12">
        <v>1</v>
      </c>
      <c r="Y293" s="12">
        <v>0</v>
      </c>
      <c r="Z293" s="12">
        <v>0</v>
      </c>
      <c r="AA293" s="12">
        <v>0</v>
      </c>
      <c r="AB293" s="12">
        <v>0</v>
      </c>
      <c r="AC293" s="12" t="s">
        <v>1252</v>
      </c>
      <c r="AD293" s="12">
        <v>2</v>
      </c>
      <c r="AE293" s="12">
        <v>3.1</v>
      </c>
      <c r="AF293" s="12" t="s">
        <v>220</v>
      </c>
      <c r="AG293" s="12">
        <v>0</v>
      </c>
      <c r="AH293" s="12" t="s">
        <v>923</v>
      </c>
      <c r="AI293" s="12">
        <v>86</v>
      </c>
      <c r="AJ293" s="12">
        <v>57</v>
      </c>
      <c r="AK293" s="12">
        <v>67</v>
      </c>
      <c r="AL293" s="12">
        <v>42</v>
      </c>
      <c r="AM293" s="12">
        <v>47</v>
      </c>
      <c r="AN293" s="12">
        <v>44</v>
      </c>
      <c r="AO293" s="16">
        <v>32</v>
      </c>
      <c r="AP293" s="12">
        <v>0</v>
      </c>
      <c r="AQ293" s="12">
        <v>0</v>
      </c>
      <c r="AR293" s="12">
        <v>1</v>
      </c>
      <c r="AS293" s="12">
        <v>0</v>
      </c>
      <c r="AT293" s="12">
        <v>0</v>
      </c>
      <c r="AU293" s="12">
        <v>0</v>
      </c>
      <c r="AV293" s="12">
        <v>0</v>
      </c>
      <c r="AW293" s="12">
        <v>1</v>
      </c>
      <c r="AX293" s="12">
        <v>1</v>
      </c>
      <c r="AY293" s="91" t="s">
        <v>1330</v>
      </c>
      <c r="AZ293" s="14" t="s">
        <v>1254</v>
      </c>
      <c r="BA293" s="13" t="s">
        <v>83</v>
      </c>
      <c r="BB293" s="14" t="s">
        <v>1257</v>
      </c>
      <c r="BC293" s="14" t="s">
        <v>1258</v>
      </c>
      <c r="BD293" s="12">
        <v>1</v>
      </c>
      <c r="BE293" s="12">
        <v>2</v>
      </c>
      <c r="BF293" s="12">
        <v>0</v>
      </c>
      <c r="BG293" s="12">
        <v>0</v>
      </c>
      <c r="BH293" s="12">
        <v>1</v>
      </c>
      <c r="BI293" s="12">
        <v>0</v>
      </c>
      <c r="BJ293" s="12"/>
      <c r="BK293" s="12">
        <v>0.8</v>
      </c>
      <c r="BL293" s="14"/>
      <c r="BM293" s="12">
        <v>6</v>
      </c>
      <c r="BN293" s="12"/>
      <c r="BO293" s="12"/>
      <c r="BP293" s="12"/>
      <c r="BQ293" s="12"/>
      <c r="BR293" s="15"/>
      <c r="BS293" s="15"/>
      <c r="BT293" s="12"/>
      <c r="BU293" s="12">
        <f xml:space="preserve"> (0.06 + 0.06 + 0.26 + 0.17) / 4</f>
        <v>0.13750000000000001</v>
      </c>
      <c r="BV293" s="12">
        <f>( 0.236 + 0.236 + 0.443 + 0.382) / 4</f>
        <v>0.32425000000000004</v>
      </c>
      <c r="BW293" s="12"/>
      <c r="BX293" s="12">
        <v>40</v>
      </c>
      <c r="BY293" s="12">
        <f xml:space="preserve"> ( 0.03 + 0.09 + 0.29 + 0.17) / 4</f>
        <v>0.14499999999999999</v>
      </c>
      <c r="BZ293" s="12">
        <f xml:space="preserve"> (0.169 + 0.284 + 0.458 + 0.382) / 4</f>
        <v>0.32325000000000004</v>
      </c>
      <c r="CA293" s="12"/>
      <c r="CB293" s="12">
        <v>40</v>
      </c>
      <c r="CC293" s="12">
        <v>0</v>
      </c>
      <c r="CD293" s="16">
        <f t="shared" si="47"/>
        <v>2.3165995538549776E-2</v>
      </c>
      <c r="CE293" s="12">
        <v>40</v>
      </c>
      <c r="CF293" s="158">
        <f t="shared" si="40"/>
        <v>2.3165995538549776E-2</v>
      </c>
      <c r="CG293" s="22">
        <f t="shared" si="43"/>
        <v>2.5900370395327076E-2</v>
      </c>
      <c r="CH293" s="14"/>
      <c r="CI293" s="3">
        <f t="shared" si="46"/>
        <v>2.5006708291866152E-2</v>
      </c>
      <c r="CJ293" s="37">
        <f t="shared" si="44"/>
        <v>5.0008385364832694E-2</v>
      </c>
    </row>
    <row r="294" spans="1:88" s="159" customFormat="1" x14ac:dyDescent="0.35">
      <c r="A294" s="19" t="s">
        <v>1247</v>
      </c>
      <c r="B294" s="152" t="s">
        <v>1248</v>
      </c>
      <c r="C294" s="19" t="s">
        <v>1009</v>
      </c>
      <c r="D294" s="14" t="s">
        <v>1249</v>
      </c>
      <c r="E294" s="14" t="s">
        <v>1250</v>
      </c>
      <c r="F294" s="11" t="s">
        <v>1109</v>
      </c>
      <c r="G294" s="12">
        <v>0</v>
      </c>
      <c r="H294" s="12">
        <v>1</v>
      </c>
      <c r="I294" s="12">
        <v>2</v>
      </c>
      <c r="J294" s="12" t="s">
        <v>1107</v>
      </c>
      <c r="K294" s="79">
        <v>0</v>
      </c>
      <c r="L294" s="90" t="s">
        <v>1251</v>
      </c>
      <c r="M294" s="90">
        <v>1</v>
      </c>
      <c r="N294" s="90">
        <v>3</v>
      </c>
      <c r="O294" s="12">
        <v>40</v>
      </c>
      <c r="P294" s="12" t="s">
        <v>31</v>
      </c>
      <c r="Q294" s="12">
        <v>3</v>
      </c>
      <c r="R294" s="12">
        <v>2</v>
      </c>
      <c r="S294" s="12">
        <v>1</v>
      </c>
      <c r="T294" s="12">
        <v>0</v>
      </c>
      <c r="U294" s="12">
        <v>0</v>
      </c>
      <c r="V294" s="12">
        <v>0</v>
      </c>
      <c r="W294" s="12">
        <v>1</v>
      </c>
      <c r="X294" s="12">
        <v>1</v>
      </c>
      <c r="Y294" s="12">
        <v>0</v>
      </c>
      <c r="Z294" s="12">
        <v>0</v>
      </c>
      <c r="AA294" s="12">
        <v>0</v>
      </c>
      <c r="AB294" s="12">
        <v>0</v>
      </c>
      <c r="AC294" s="12" t="s">
        <v>1252</v>
      </c>
      <c r="AD294" s="12">
        <v>2</v>
      </c>
      <c r="AE294" s="12">
        <v>3.1</v>
      </c>
      <c r="AF294" s="12" t="s">
        <v>220</v>
      </c>
      <c r="AG294" s="12">
        <v>0</v>
      </c>
      <c r="AH294" s="12" t="s">
        <v>923</v>
      </c>
      <c r="AI294" s="12">
        <v>86</v>
      </c>
      <c r="AJ294" s="12">
        <v>57</v>
      </c>
      <c r="AK294" s="12">
        <v>67</v>
      </c>
      <c r="AL294" s="12">
        <v>42</v>
      </c>
      <c r="AM294" s="12">
        <v>47</v>
      </c>
      <c r="AN294" s="12">
        <v>44</v>
      </c>
      <c r="AO294" s="16">
        <v>32</v>
      </c>
      <c r="AP294" s="12">
        <v>0</v>
      </c>
      <c r="AQ294" s="12">
        <v>0</v>
      </c>
      <c r="AR294" s="12">
        <v>1</v>
      </c>
      <c r="AS294" s="12">
        <v>0</v>
      </c>
      <c r="AT294" s="12">
        <v>0</v>
      </c>
      <c r="AU294" s="12">
        <v>0</v>
      </c>
      <c r="AV294" s="12">
        <v>0</v>
      </c>
      <c r="AW294" s="12">
        <v>1</v>
      </c>
      <c r="AX294" s="12">
        <v>1</v>
      </c>
      <c r="AY294" s="91" t="s">
        <v>1331</v>
      </c>
      <c r="AZ294" s="14" t="s">
        <v>1254</v>
      </c>
      <c r="BA294" s="13" t="s">
        <v>183</v>
      </c>
      <c r="BB294" s="14" t="s">
        <v>1255</v>
      </c>
      <c r="BC294" s="14" t="s">
        <v>1256</v>
      </c>
      <c r="BD294" s="12">
        <v>1</v>
      </c>
      <c r="BE294" s="12">
        <v>5</v>
      </c>
      <c r="BF294" s="12">
        <v>1</v>
      </c>
      <c r="BG294" s="12">
        <v>1</v>
      </c>
      <c r="BH294" s="12">
        <v>0</v>
      </c>
      <c r="BI294" s="12">
        <v>0</v>
      </c>
      <c r="BJ294" s="12"/>
      <c r="BK294" s="12">
        <v>0.8</v>
      </c>
      <c r="BL294" s="14"/>
      <c r="BM294" s="12">
        <v>6</v>
      </c>
      <c r="BN294" s="12"/>
      <c r="BO294" s="12"/>
      <c r="BP294" s="12"/>
      <c r="BQ294" s="12"/>
      <c r="BR294" s="15"/>
      <c r="BS294" s="15"/>
      <c r="BT294" s="12"/>
      <c r="BU294" s="12">
        <f>(2.31 + 2.69 + 3.49 + 3.37)/4</f>
        <v>2.9649999999999999</v>
      </c>
      <c r="BV294" s="12">
        <f>(0.72 +0.87 + 0.74 + 0.77) / 4</f>
        <v>0.77500000000000002</v>
      </c>
      <c r="BW294" s="12"/>
      <c r="BX294" s="12">
        <v>40</v>
      </c>
      <c r="BY294" s="12">
        <f>(2.34+3.03+3.51+3.06) /4</f>
        <v>2.9849999999999999</v>
      </c>
      <c r="BZ294" s="12">
        <f>(0.85+0.82+0.84+0.87)/4</f>
        <v>0.84499999999999997</v>
      </c>
      <c r="CA294" s="12"/>
      <c r="CB294" s="12">
        <v>40</v>
      </c>
      <c r="CC294" s="12">
        <v>0</v>
      </c>
      <c r="CD294" s="16">
        <f t="shared" si="47"/>
        <v>2.4668339716496207E-2</v>
      </c>
      <c r="CE294" s="12">
        <v>40</v>
      </c>
      <c r="CF294" s="158">
        <f t="shared" si="40"/>
        <v>2.4668339716496207E-2</v>
      </c>
      <c r="CG294" s="22">
        <f t="shared" si="43"/>
        <v>2.7580042249071707E-2</v>
      </c>
      <c r="CH294" s="14"/>
      <c r="CI294" s="3">
        <f t="shared" si="46"/>
        <v>2.5007606587304606E-2</v>
      </c>
      <c r="CJ294" s="37">
        <f t="shared" si="44"/>
        <v>5.0009508234130758E-2</v>
      </c>
    </row>
    <row r="295" spans="1:88" s="159" customFormat="1" x14ac:dyDescent="0.35">
      <c r="A295" s="19" t="s">
        <v>1247</v>
      </c>
      <c r="B295" s="152" t="s">
        <v>1248</v>
      </c>
      <c r="C295" s="19" t="s">
        <v>1009</v>
      </c>
      <c r="D295" s="14" t="s">
        <v>1249</v>
      </c>
      <c r="E295" s="14" t="s">
        <v>1250</v>
      </c>
      <c r="F295" s="11" t="s">
        <v>1109</v>
      </c>
      <c r="G295" s="12">
        <v>0</v>
      </c>
      <c r="H295" s="12">
        <v>1</v>
      </c>
      <c r="I295" s="12">
        <v>2</v>
      </c>
      <c r="J295" s="12" t="s">
        <v>1107</v>
      </c>
      <c r="K295" s="79">
        <v>0</v>
      </c>
      <c r="L295" s="205" t="s">
        <v>1251</v>
      </c>
      <c r="M295" s="93">
        <v>1</v>
      </c>
      <c r="N295" s="93">
        <v>3</v>
      </c>
      <c r="O295" s="18">
        <v>40</v>
      </c>
      <c r="P295" s="18" t="s">
        <v>31</v>
      </c>
      <c r="Q295" s="18">
        <v>3</v>
      </c>
      <c r="R295" s="18">
        <v>2</v>
      </c>
      <c r="S295" s="18">
        <v>1</v>
      </c>
      <c r="T295" s="18">
        <v>0</v>
      </c>
      <c r="U295" s="18">
        <v>0</v>
      </c>
      <c r="V295" s="18">
        <v>0</v>
      </c>
      <c r="W295" s="18">
        <v>1</v>
      </c>
      <c r="X295" s="18">
        <v>1</v>
      </c>
      <c r="Y295" s="18">
        <v>0</v>
      </c>
      <c r="Z295" s="18">
        <v>0</v>
      </c>
      <c r="AA295" s="18">
        <v>0</v>
      </c>
      <c r="AB295" s="18">
        <v>0</v>
      </c>
      <c r="AC295" s="18" t="s">
        <v>1252</v>
      </c>
      <c r="AD295" s="18">
        <v>2</v>
      </c>
      <c r="AE295" s="18">
        <v>3.1</v>
      </c>
      <c r="AF295" s="18" t="s">
        <v>220</v>
      </c>
      <c r="AG295" s="18">
        <v>0</v>
      </c>
      <c r="AH295" s="18" t="s">
        <v>923</v>
      </c>
      <c r="AI295" s="18">
        <v>86</v>
      </c>
      <c r="AJ295" s="18">
        <v>57</v>
      </c>
      <c r="AK295" s="18">
        <v>67</v>
      </c>
      <c r="AL295" s="18">
        <v>42</v>
      </c>
      <c r="AM295" s="18">
        <v>47</v>
      </c>
      <c r="AN295" s="18">
        <v>44</v>
      </c>
      <c r="AO295" s="156">
        <v>32</v>
      </c>
      <c r="AP295" s="18">
        <v>0</v>
      </c>
      <c r="AQ295" s="18">
        <v>0</v>
      </c>
      <c r="AR295" s="18">
        <v>1</v>
      </c>
      <c r="AS295" s="18">
        <v>0</v>
      </c>
      <c r="AT295" s="18">
        <v>0</v>
      </c>
      <c r="AU295" s="18">
        <v>0</v>
      </c>
      <c r="AV295" s="18">
        <v>0</v>
      </c>
      <c r="AW295" s="18">
        <v>1</v>
      </c>
      <c r="AX295" s="18">
        <v>1</v>
      </c>
      <c r="AY295" s="91" t="s">
        <v>1332</v>
      </c>
      <c r="AZ295" s="14" t="s">
        <v>1254</v>
      </c>
      <c r="BA295" s="13" t="s">
        <v>183</v>
      </c>
      <c r="BB295" s="14" t="s">
        <v>1257</v>
      </c>
      <c r="BC295" s="14" t="s">
        <v>1258</v>
      </c>
      <c r="BD295" s="12">
        <v>1</v>
      </c>
      <c r="BE295" s="12">
        <v>2</v>
      </c>
      <c r="BF295" s="12">
        <v>0</v>
      </c>
      <c r="BG295" s="12">
        <v>0</v>
      </c>
      <c r="BH295" s="12">
        <v>1</v>
      </c>
      <c r="BI295" s="12">
        <v>0</v>
      </c>
      <c r="BJ295" s="12"/>
      <c r="BK295" s="12">
        <v>0.8</v>
      </c>
      <c r="BL295" s="14"/>
      <c r="BM295" s="12">
        <v>6</v>
      </c>
      <c r="BN295" s="12"/>
      <c r="BO295" s="12"/>
      <c r="BP295" s="12"/>
      <c r="BQ295" s="12"/>
      <c r="BR295" s="15"/>
      <c r="BS295" s="15"/>
      <c r="BT295" s="12"/>
      <c r="BU295" s="12">
        <f xml:space="preserve"> (0.06 + 0.06 + 0.26 + 0.17) / 4</f>
        <v>0.13750000000000001</v>
      </c>
      <c r="BV295" s="12">
        <f>( 0.236 + 0.236 + 0.443 + 0.382) / 4</f>
        <v>0.32425000000000004</v>
      </c>
      <c r="BW295" s="12"/>
      <c r="BX295" s="12">
        <v>40</v>
      </c>
      <c r="BY295" s="12">
        <f>(0.06+0.11+0.26+0.2)/4</f>
        <v>0.1575</v>
      </c>
      <c r="BZ295" s="12">
        <f>(0.236+0.323+0.443+0.406)/4</f>
        <v>0.35199999999999998</v>
      </c>
      <c r="CA295" s="12"/>
      <c r="CB295" s="12">
        <v>40</v>
      </c>
      <c r="CC295" s="12">
        <v>0</v>
      </c>
      <c r="CD295" s="16">
        <f t="shared" si="47"/>
        <v>5.9099984991537603E-2</v>
      </c>
      <c r="CE295" s="12">
        <v>40</v>
      </c>
      <c r="CF295" s="158">
        <f t="shared" si="40"/>
        <v>5.9099984991537603E-2</v>
      </c>
      <c r="CG295" s="22">
        <f t="shared" si="43"/>
        <v>6.6075791955147706E-2</v>
      </c>
      <c r="CH295" s="14"/>
      <c r="CI295" s="3">
        <f t="shared" si="46"/>
        <v>2.5043660102825001E-2</v>
      </c>
      <c r="CJ295" s="37">
        <f t="shared" si="44"/>
        <v>5.0054575128531252E-2</v>
      </c>
    </row>
    <row r="296" spans="1:88" s="159" customFormat="1" x14ac:dyDescent="0.35">
      <c r="A296" s="19" t="s">
        <v>1247</v>
      </c>
      <c r="B296" s="152" t="s">
        <v>1248</v>
      </c>
      <c r="C296" s="19" t="s">
        <v>1009</v>
      </c>
      <c r="D296" s="14" t="s">
        <v>1249</v>
      </c>
      <c r="E296" s="14" t="s">
        <v>1250</v>
      </c>
      <c r="F296" s="11" t="s">
        <v>1109</v>
      </c>
      <c r="G296" s="12">
        <v>0</v>
      </c>
      <c r="H296" s="12">
        <v>1</v>
      </c>
      <c r="I296" s="12">
        <v>2</v>
      </c>
      <c r="J296" s="12" t="s">
        <v>1107</v>
      </c>
      <c r="K296" s="79">
        <v>0</v>
      </c>
      <c r="L296" s="90" t="s">
        <v>1287</v>
      </c>
      <c r="M296" s="90">
        <v>2</v>
      </c>
      <c r="N296" s="90">
        <v>3</v>
      </c>
      <c r="O296" s="12">
        <v>32</v>
      </c>
      <c r="P296" s="12" t="s">
        <v>31</v>
      </c>
      <c r="Q296" s="12">
        <v>3</v>
      </c>
      <c r="R296" s="12">
        <v>1</v>
      </c>
      <c r="S296" s="12">
        <v>1</v>
      </c>
      <c r="T296" s="12">
        <v>0</v>
      </c>
      <c r="U296" s="12">
        <v>0</v>
      </c>
      <c r="V296" s="12">
        <v>1</v>
      </c>
      <c r="W296" s="12">
        <v>0</v>
      </c>
      <c r="X296" s="12">
        <v>1</v>
      </c>
      <c r="Y296" s="12">
        <v>0</v>
      </c>
      <c r="Z296" s="12">
        <v>0</v>
      </c>
      <c r="AA296" s="12">
        <v>0</v>
      </c>
      <c r="AB296" s="12">
        <v>0</v>
      </c>
      <c r="AC296" s="12" t="s">
        <v>1253</v>
      </c>
      <c r="AD296" s="12">
        <v>3.6</v>
      </c>
      <c r="AE296" s="12">
        <v>3.1</v>
      </c>
      <c r="AF296" s="12" t="s">
        <v>220</v>
      </c>
      <c r="AG296" s="12">
        <v>0</v>
      </c>
      <c r="AH296" s="12" t="s">
        <v>923</v>
      </c>
      <c r="AI296" s="12">
        <v>86</v>
      </c>
      <c r="AJ296" s="12">
        <v>57</v>
      </c>
      <c r="AK296" s="12">
        <v>67</v>
      </c>
      <c r="AL296" s="12">
        <v>42</v>
      </c>
      <c r="AM296" s="12">
        <v>47</v>
      </c>
      <c r="AN296" s="12">
        <v>44</v>
      </c>
      <c r="AO296" s="16">
        <v>24.88</v>
      </c>
      <c r="AP296" s="12">
        <v>1</v>
      </c>
      <c r="AQ296" s="12">
        <v>0</v>
      </c>
      <c r="AR296" s="12">
        <v>1</v>
      </c>
      <c r="AS296" s="12">
        <v>0</v>
      </c>
      <c r="AT296" s="12">
        <v>0</v>
      </c>
      <c r="AU296" s="12">
        <v>0</v>
      </c>
      <c r="AV296" s="12">
        <v>0</v>
      </c>
      <c r="AW296" s="12">
        <v>1</v>
      </c>
      <c r="AX296" s="12">
        <v>1</v>
      </c>
      <c r="AY296" s="91" t="s">
        <v>1333</v>
      </c>
      <c r="AZ296" s="14" t="s">
        <v>1254</v>
      </c>
      <c r="BA296" s="13" t="s">
        <v>83</v>
      </c>
      <c r="BB296" s="14" t="s">
        <v>1255</v>
      </c>
      <c r="BC296" s="14" t="s">
        <v>1256</v>
      </c>
      <c r="BD296" s="12">
        <v>1</v>
      </c>
      <c r="BE296" s="12">
        <v>5</v>
      </c>
      <c r="BF296" s="12">
        <v>1</v>
      </c>
      <c r="BG296" s="12">
        <v>1</v>
      </c>
      <c r="BH296" s="12">
        <v>0</v>
      </c>
      <c r="BI296" s="12">
        <v>0</v>
      </c>
      <c r="BJ296" s="12"/>
      <c r="BK296" s="12">
        <v>0.8</v>
      </c>
      <c r="BL296" s="14"/>
      <c r="BM296" s="12">
        <v>6</v>
      </c>
      <c r="BN296" s="12"/>
      <c r="BO296" s="12"/>
      <c r="BP296" s="12"/>
      <c r="BQ296" s="12"/>
      <c r="BR296" s="15"/>
      <c r="BS296" s="15"/>
      <c r="BT296" s="12"/>
      <c r="BU296" s="12">
        <f>(2.81 + 2.16 +3.72 + 2.37)/4</f>
        <v>2.7650000000000006</v>
      </c>
      <c r="BV296" s="12">
        <f>(0.96+0.99+0.96+1.21)/4</f>
        <v>1.03</v>
      </c>
      <c r="BW296" s="12"/>
      <c r="BX296" s="12">
        <v>32</v>
      </c>
      <c r="BY296" s="12">
        <f>(3.09+2.25+3.56+2.59)/4</f>
        <v>2.8725000000000001</v>
      </c>
      <c r="BZ296" s="12">
        <f>(1.09+1.05+1.1+1.36)/4</f>
        <v>1.1500000000000001</v>
      </c>
      <c r="CA296" s="12"/>
      <c r="CB296" s="12">
        <v>32</v>
      </c>
      <c r="CC296" s="12">
        <v>0</v>
      </c>
      <c r="CD296" s="16">
        <f t="shared" si="47"/>
        <v>9.847477440914254E-2</v>
      </c>
      <c r="CE296" s="12">
        <v>32</v>
      </c>
      <c r="CF296" s="158">
        <f t="shared" si="40"/>
        <v>9.847477440914254E-2</v>
      </c>
      <c r="CG296" s="22">
        <f t="shared" si="43"/>
        <v>0.11009814482389971</v>
      </c>
      <c r="CH296" s="14"/>
      <c r="CI296" s="3">
        <f t="shared" si="46"/>
        <v>3.1401520018670803E-2</v>
      </c>
      <c r="CJ296" s="37">
        <f t="shared" si="44"/>
        <v>6.2689400023338504E-2</v>
      </c>
    </row>
    <row r="297" spans="1:88" s="159" customFormat="1" x14ac:dyDescent="0.35">
      <c r="A297" s="171" t="s">
        <v>1247</v>
      </c>
      <c r="B297" s="169" t="s">
        <v>1248</v>
      </c>
      <c r="C297" s="171" t="s">
        <v>1009</v>
      </c>
      <c r="D297" s="119" t="s">
        <v>1249</v>
      </c>
      <c r="E297" s="119" t="s">
        <v>1250</v>
      </c>
      <c r="F297" s="11" t="s">
        <v>1109</v>
      </c>
      <c r="G297" s="11">
        <v>0</v>
      </c>
      <c r="H297" s="11">
        <v>1</v>
      </c>
      <c r="I297" s="11">
        <v>2</v>
      </c>
      <c r="J297" s="11" t="s">
        <v>1107</v>
      </c>
      <c r="K297" s="79">
        <v>0</v>
      </c>
      <c r="L297" s="174" t="s">
        <v>1287</v>
      </c>
      <c r="M297" s="174">
        <v>2</v>
      </c>
      <c r="N297" s="174">
        <v>3</v>
      </c>
      <c r="O297" s="11">
        <v>32</v>
      </c>
      <c r="P297" s="11" t="s">
        <v>31</v>
      </c>
      <c r="Q297" s="11">
        <v>3</v>
      </c>
      <c r="R297" s="11">
        <v>1</v>
      </c>
      <c r="S297" s="11">
        <v>1</v>
      </c>
      <c r="T297" s="11">
        <v>0</v>
      </c>
      <c r="U297" s="11">
        <v>0</v>
      </c>
      <c r="V297" s="11">
        <v>1</v>
      </c>
      <c r="W297" s="11">
        <v>0</v>
      </c>
      <c r="X297" s="11">
        <v>1</v>
      </c>
      <c r="Y297" s="11">
        <v>0</v>
      </c>
      <c r="Z297" s="11">
        <v>0</v>
      </c>
      <c r="AA297" s="11">
        <v>0</v>
      </c>
      <c r="AB297" s="11">
        <v>0</v>
      </c>
      <c r="AC297" s="11" t="s">
        <v>1253</v>
      </c>
      <c r="AD297" s="11">
        <v>3.6</v>
      </c>
      <c r="AE297" s="11">
        <v>3.1</v>
      </c>
      <c r="AF297" s="11" t="s">
        <v>220</v>
      </c>
      <c r="AG297" s="11">
        <v>0</v>
      </c>
      <c r="AH297" s="11" t="s">
        <v>923</v>
      </c>
      <c r="AI297" s="11">
        <v>86</v>
      </c>
      <c r="AJ297" s="11">
        <v>57</v>
      </c>
      <c r="AK297" s="11">
        <v>67</v>
      </c>
      <c r="AL297" s="11">
        <v>42</v>
      </c>
      <c r="AM297" s="11">
        <v>47</v>
      </c>
      <c r="AN297" s="11">
        <v>44</v>
      </c>
      <c r="AO297" s="181">
        <v>24.88</v>
      </c>
      <c r="AP297" s="11">
        <v>1</v>
      </c>
      <c r="AQ297" s="11">
        <v>0</v>
      </c>
      <c r="AR297" s="11">
        <v>1</v>
      </c>
      <c r="AS297" s="11">
        <v>0</v>
      </c>
      <c r="AT297" s="11">
        <v>0</v>
      </c>
      <c r="AU297" s="11">
        <v>0</v>
      </c>
      <c r="AV297" s="11">
        <v>0</v>
      </c>
      <c r="AW297" s="11">
        <v>1</v>
      </c>
      <c r="AX297" s="11">
        <v>1</v>
      </c>
      <c r="AY297" s="91" t="s">
        <v>1334</v>
      </c>
      <c r="AZ297" s="14" t="s">
        <v>1254</v>
      </c>
      <c r="BA297" s="13" t="s">
        <v>83</v>
      </c>
      <c r="BB297" s="14" t="s">
        <v>1257</v>
      </c>
      <c r="BC297" s="14" t="s">
        <v>1258</v>
      </c>
      <c r="BD297" s="12">
        <v>1</v>
      </c>
      <c r="BE297" s="12">
        <v>2</v>
      </c>
      <c r="BF297" s="12">
        <v>0</v>
      </c>
      <c r="BG297" s="12">
        <v>0</v>
      </c>
      <c r="BH297" s="12">
        <v>1</v>
      </c>
      <c r="BI297" s="12">
        <v>0</v>
      </c>
      <c r="BJ297" s="12"/>
      <c r="BK297" s="12">
        <v>0.8</v>
      </c>
      <c r="BL297" s="14"/>
      <c r="BM297" s="12">
        <v>6</v>
      </c>
      <c r="BN297" s="12"/>
      <c r="BO297" s="12"/>
      <c r="BP297" s="12"/>
      <c r="BQ297" s="12"/>
      <c r="BR297" s="15"/>
      <c r="BS297" s="15"/>
      <c r="BT297" s="12"/>
      <c r="BU297" s="12">
        <f>(0.22+0.13+0.72+0.19)/4</f>
        <v>0.31499999999999995</v>
      </c>
      <c r="BV297" s="12">
        <f>(0.42+0.34+0.46+0.4)/4</f>
        <v>0.40500000000000003</v>
      </c>
      <c r="BW297" s="12"/>
      <c r="BX297" s="12">
        <v>32</v>
      </c>
      <c r="BY297" s="12">
        <f>(0.34+0.22+0.66+0.25)/4</f>
        <v>0.36750000000000005</v>
      </c>
      <c r="BZ297" s="12">
        <f>(0.48+0.42+0.48+0.44)/4</f>
        <v>0.45499999999999996</v>
      </c>
      <c r="CA297" s="12"/>
      <c r="CB297" s="12">
        <v>32</v>
      </c>
      <c r="CC297" s="12">
        <v>0</v>
      </c>
      <c r="CD297" s="16">
        <f t="shared" si="47"/>
        <v>0.1218871951596599</v>
      </c>
      <c r="CE297" s="12">
        <v>32</v>
      </c>
      <c r="CF297" s="158">
        <f t="shared" si="40"/>
        <v>0.1218871951596599</v>
      </c>
      <c r="CG297" s="22">
        <f t="shared" si="43"/>
        <v>0.13627402698189145</v>
      </c>
      <c r="CH297" s="14"/>
      <c r="CI297" s="3">
        <f t="shared" si="46"/>
        <v>3.1482132630373263E-2</v>
      </c>
      <c r="CJ297" s="37">
        <f t="shared" si="44"/>
        <v>6.2790165787966576E-2</v>
      </c>
    </row>
    <row r="298" spans="1:88" s="159" customFormat="1" x14ac:dyDescent="0.35">
      <c r="A298" s="171" t="s">
        <v>1247</v>
      </c>
      <c r="B298" s="169" t="s">
        <v>1248</v>
      </c>
      <c r="C298" s="171" t="s">
        <v>1009</v>
      </c>
      <c r="D298" s="119" t="s">
        <v>1249</v>
      </c>
      <c r="E298" s="119" t="s">
        <v>1250</v>
      </c>
      <c r="F298" s="11" t="s">
        <v>1109</v>
      </c>
      <c r="G298" s="11">
        <v>0</v>
      </c>
      <c r="H298" s="11">
        <v>1</v>
      </c>
      <c r="I298" s="11">
        <v>2</v>
      </c>
      <c r="J298" s="11" t="s">
        <v>1107</v>
      </c>
      <c r="K298" s="79">
        <v>0</v>
      </c>
      <c r="L298" s="174" t="s">
        <v>1287</v>
      </c>
      <c r="M298" s="174">
        <v>2</v>
      </c>
      <c r="N298" s="174">
        <v>3</v>
      </c>
      <c r="O298" s="11">
        <v>32</v>
      </c>
      <c r="P298" s="11" t="s">
        <v>31</v>
      </c>
      <c r="Q298" s="11">
        <v>3</v>
      </c>
      <c r="R298" s="11">
        <v>2</v>
      </c>
      <c r="S298" s="11">
        <v>1</v>
      </c>
      <c r="T298" s="11">
        <v>1</v>
      </c>
      <c r="U298" s="11">
        <v>0</v>
      </c>
      <c r="V298" s="11">
        <v>0</v>
      </c>
      <c r="W298" s="11">
        <v>0</v>
      </c>
      <c r="X298" s="11">
        <v>0</v>
      </c>
      <c r="Y298" s="11">
        <v>1</v>
      </c>
      <c r="Z298" s="11">
        <v>0</v>
      </c>
      <c r="AA298" s="11">
        <v>0</v>
      </c>
      <c r="AB298" s="11">
        <v>0</v>
      </c>
      <c r="AC298" s="11" t="s">
        <v>1253</v>
      </c>
      <c r="AD298" s="11">
        <v>3.6</v>
      </c>
      <c r="AE298" s="11">
        <v>3.1</v>
      </c>
      <c r="AF298" s="11" t="s">
        <v>220</v>
      </c>
      <c r="AG298" s="11">
        <v>0</v>
      </c>
      <c r="AH298" s="11" t="s">
        <v>923</v>
      </c>
      <c r="AI298" s="11">
        <v>86</v>
      </c>
      <c r="AJ298" s="11">
        <v>57</v>
      </c>
      <c r="AK298" s="11">
        <v>67</v>
      </c>
      <c r="AL298" s="11">
        <v>42</v>
      </c>
      <c r="AM298" s="11">
        <v>47</v>
      </c>
      <c r="AN298" s="11">
        <v>44</v>
      </c>
      <c r="AO298" s="181">
        <v>24.88</v>
      </c>
      <c r="AP298" s="11">
        <v>1</v>
      </c>
      <c r="AQ298" s="11">
        <v>0</v>
      </c>
      <c r="AR298" s="11">
        <v>1</v>
      </c>
      <c r="AS298" s="11">
        <v>0</v>
      </c>
      <c r="AT298" s="11">
        <v>0</v>
      </c>
      <c r="AU298" s="11">
        <v>0</v>
      </c>
      <c r="AV298" s="11">
        <v>0</v>
      </c>
      <c r="AW298" s="11">
        <v>1</v>
      </c>
      <c r="AX298" s="11">
        <v>1</v>
      </c>
      <c r="AY298" s="91" t="s">
        <v>1335</v>
      </c>
      <c r="AZ298" s="14" t="s">
        <v>1254</v>
      </c>
      <c r="BA298" s="13" t="s">
        <v>61</v>
      </c>
      <c r="BB298" s="14" t="s">
        <v>1255</v>
      </c>
      <c r="BC298" s="14" t="s">
        <v>1256</v>
      </c>
      <c r="BD298" s="12">
        <v>1</v>
      </c>
      <c r="BE298" s="12">
        <v>5</v>
      </c>
      <c r="BF298" s="12">
        <v>1</v>
      </c>
      <c r="BG298" s="12">
        <v>1</v>
      </c>
      <c r="BH298" s="12">
        <v>0</v>
      </c>
      <c r="BI298" s="12">
        <v>0</v>
      </c>
      <c r="BJ298" s="12"/>
      <c r="BK298" s="12">
        <v>0.8</v>
      </c>
      <c r="BL298" s="14"/>
      <c r="BM298" s="12">
        <v>6</v>
      </c>
      <c r="BN298" s="12"/>
      <c r="BO298" s="12"/>
      <c r="BP298" s="12"/>
      <c r="BQ298" s="12"/>
      <c r="BR298" s="15"/>
      <c r="BS298" s="15"/>
      <c r="BT298" s="12"/>
      <c r="BU298" s="12">
        <f>(2.81 + 2.16 +3.72 + 2.37)/4</f>
        <v>2.7650000000000006</v>
      </c>
      <c r="BV298" s="12">
        <f>(0.96+0.99+0.96+1.21)/4</f>
        <v>1.03</v>
      </c>
      <c r="BW298" s="12"/>
      <c r="BX298" s="12">
        <v>32</v>
      </c>
      <c r="BY298" s="12">
        <f>(3.22+2.31+3.75+2.41)/4</f>
        <v>2.9225000000000003</v>
      </c>
      <c r="BZ298" s="12">
        <f>(1.13+1.15+1.05+1.32)/4</f>
        <v>1.1625000000000001</v>
      </c>
      <c r="CA298" s="12"/>
      <c r="CB298" s="12">
        <v>32</v>
      </c>
      <c r="CC298" s="12">
        <v>0</v>
      </c>
      <c r="CD298" s="16">
        <f t="shared" si="47"/>
        <v>0.14340996669188355</v>
      </c>
      <c r="CE298" s="12">
        <v>32</v>
      </c>
      <c r="CF298" s="158">
        <f t="shared" si="40"/>
        <v>0.14340996669188355</v>
      </c>
      <c r="CG298" s="22">
        <f t="shared" si="43"/>
        <v>0.16033721708701612</v>
      </c>
      <c r="CH298" s="14"/>
      <c r="CI298" s="3">
        <f t="shared" si="46"/>
        <v>3.1571350289790114E-2</v>
      </c>
      <c r="CJ298" s="37">
        <f t="shared" si="44"/>
        <v>6.290168786223764E-2</v>
      </c>
    </row>
    <row r="299" spans="1:88" s="159" customFormat="1" x14ac:dyDescent="0.35">
      <c r="A299" s="154" t="s">
        <v>1247</v>
      </c>
      <c r="B299" s="153" t="s">
        <v>1248</v>
      </c>
      <c r="C299" s="154" t="s">
        <v>1009</v>
      </c>
      <c r="D299" s="120" t="s">
        <v>1249</v>
      </c>
      <c r="E299" s="120" t="s">
        <v>1250</v>
      </c>
      <c r="F299" s="18" t="s">
        <v>1109</v>
      </c>
      <c r="G299" s="18">
        <v>0</v>
      </c>
      <c r="H299" s="18">
        <v>1</v>
      </c>
      <c r="I299" s="18">
        <v>2</v>
      </c>
      <c r="J299" s="18" t="s">
        <v>1107</v>
      </c>
      <c r="K299" s="155">
        <v>0</v>
      </c>
      <c r="L299" s="205" t="s">
        <v>1287</v>
      </c>
      <c r="M299" s="93">
        <v>2</v>
      </c>
      <c r="N299" s="93">
        <v>3</v>
      </c>
      <c r="O299" s="18">
        <v>32</v>
      </c>
      <c r="P299" s="18" t="s">
        <v>31</v>
      </c>
      <c r="Q299" s="18">
        <v>3</v>
      </c>
      <c r="R299" s="18">
        <v>2</v>
      </c>
      <c r="S299" s="18">
        <v>1</v>
      </c>
      <c r="T299" s="18">
        <v>1</v>
      </c>
      <c r="U299" s="18">
        <v>0</v>
      </c>
      <c r="V299" s="18">
        <v>0</v>
      </c>
      <c r="W299" s="18">
        <v>0</v>
      </c>
      <c r="X299" s="18">
        <v>0</v>
      </c>
      <c r="Y299" s="18">
        <v>1</v>
      </c>
      <c r="Z299" s="18">
        <v>0</v>
      </c>
      <c r="AA299" s="18">
        <v>0</v>
      </c>
      <c r="AB299" s="18">
        <v>0</v>
      </c>
      <c r="AC299" s="18" t="s">
        <v>1253</v>
      </c>
      <c r="AD299" s="18">
        <v>3.6</v>
      </c>
      <c r="AE299" s="18">
        <v>3.1</v>
      </c>
      <c r="AF299" s="18" t="s">
        <v>220</v>
      </c>
      <c r="AG299" s="18">
        <v>0</v>
      </c>
      <c r="AH299" s="18" t="s">
        <v>923</v>
      </c>
      <c r="AI299" s="18">
        <v>86</v>
      </c>
      <c r="AJ299" s="18">
        <v>57</v>
      </c>
      <c r="AK299" s="18">
        <v>67</v>
      </c>
      <c r="AL299" s="18">
        <v>42</v>
      </c>
      <c r="AM299" s="18">
        <v>47</v>
      </c>
      <c r="AN299" s="18">
        <v>44</v>
      </c>
      <c r="AO299" s="156">
        <v>24.88</v>
      </c>
      <c r="AP299" s="18">
        <v>1</v>
      </c>
      <c r="AQ299" s="18">
        <v>0</v>
      </c>
      <c r="AR299" s="18">
        <v>1</v>
      </c>
      <c r="AS299" s="18">
        <v>0</v>
      </c>
      <c r="AT299" s="18">
        <v>0</v>
      </c>
      <c r="AU299" s="18">
        <v>0</v>
      </c>
      <c r="AV299" s="18">
        <v>0</v>
      </c>
      <c r="AW299" s="18">
        <v>1</v>
      </c>
      <c r="AX299" s="18">
        <v>1</v>
      </c>
      <c r="AY299" s="91" t="s">
        <v>1336</v>
      </c>
      <c r="AZ299" s="14" t="s">
        <v>1254</v>
      </c>
      <c r="BA299" s="13" t="s">
        <v>61</v>
      </c>
      <c r="BB299" s="14" t="s">
        <v>1257</v>
      </c>
      <c r="BC299" s="14" t="s">
        <v>1258</v>
      </c>
      <c r="BD299" s="12">
        <v>1</v>
      </c>
      <c r="BE299" s="12">
        <v>2</v>
      </c>
      <c r="BF299" s="12">
        <v>0</v>
      </c>
      <c r="BG299" s="12">
        <v>0</v>
      </c>
      <c r="BH299" s="12">
        <v>1</v>
      </c>
      <c r="BI299" s="12">
        <v>0</v>
      </c>
      <c r="BJ299" s="12"/>
      <c r="BK299" s="12">
        <v>0.8</v>
      </c>
      <c r="BL299" s="14"/>
      <c r="BM299" s="12">
        <v>6</v>
      </c>
      <c r="BN299" s="12"/>
      <c r="BO299" s="12"/>
      <c r="BP299" s="12"/>
      <c r="BQ299" s="12"/>
      <c r="BR299" s="15"/>
      <c r="BS299" s="15"/>
      <c r="BT299" s="12"/>
      <c r="BU299" s="12">
        <f>(0.22+0.13+0.72+0.19)/4</f>
        <v>0.31499999999999995</v>
      </c>
      <c r="BV299" s="12">
        <f>(0.42+0.34+0.46+0.4)/4</f>
        <v>0.40500000000000003</v>
      </c>
      <c r="BW299" s="12"/>
      <c r="BX299" s="12">
        <v>32</v>
      </c>
      <c r="BY299" s="12">
        <f>(0.53+0.19+0.72+0.19)/4</f>
        <v>0.40749999999999997</v>
      </c>
      <c r="BZ299" s="12">
        <f>(0.51+0.4+0.46+0.4)/4</f>
        <v>0.4425</v>
      </c>
      <c r="CA299" s="12"/>
      <c r="CB299" s="12">
        <v>32</v>
      </c>
      <c r="CC299" s="12">
        <v>1</v>
      </c>
      <c r="CD299" s="16">
        <f t="shared" si="47"/>
        <v>0.21807570835102941</v>
      </c>
      <c r="CE299" s="12">
        <v>32</v>
      </c>
      <c r="CF299" s="158">
        <f t="shared" si="40"/>
        <v>0.21807570835102941</v>
      </c>
      <c r="CG299" s="22">
        <f t="shared" si="43"/>
        <v>0.24381605405716017</v>
      </c>
      <c r="CH299" s="14"/>
      <c r="CI299" s="3">
        <f t="shared" si="46"/>
        <v>3.1993078352700051E-2</v>
      </c>
      <c r="CJ299" s="37">
        <f t="shared" si="44"/>
        <v>6.3428847940875069E-2</v>
      </c>
    </row>
    <row r="300" spans="1:88" s="159" customFormat="1" x14ac:dyDescent="0.35">
      <c r="A300" s="19" t="s">
        <v>1259</v>
      </c>
      <c r="B300" s="152" t="s">
        <v>1260</v>
      </c>
      <c r="C300" s="19" t="s">
        <v>174</v>
      </c>
      <c r="D300" s="14" t="s">
        <v>1261</v>
      </c>
      <c r="E300" s="14" t="s">
        <v>1262</v>
      </c>
      <c r="F300" s="11" t="s">
        <v>1109</v>
      </c>
      <c r="G300" s="12">
        <v>0</v>
      </c>
      <c r="H300" s="12">
        <v>1</v>
      </c>
      <c r="I300" s="12">
        <v>1</v>
      </c>
      <c r="J300" s="12" t="s">
        <v>1111</v>
      </c>
      <c r="K300" s="79">
        <v>0</v>
      </c>
      <c r="L300" s="174" t="s">
        <v>1288</v>
      </c>
      <c r="M300" s="177">
        <v>1</v>
      </c>
      <c r="N300" s="177">
        <v>150</v>
      </c>
      <c r="O300" s="11">
        <v>92</v>
      </c>
      <c r="P300" s="11" t="s">
        <v>31</v>
      </c>
      <c r="Q300" s="11">
        <v>1</v>
      </c>
      <c r="R300" s="11">
        <v>1</v>
      </c>
      <c r="S300" s="11">
        <v>1</v>
      </c>
      <c r="T300" s="11">
        <v>0</v>
      </c>
      <c r="U300" s="11">
        <v>1</v>
      </c>
      <c r="V300" s="11">
        <v>0</v>
      </c>
      <c r="W300" s="11">
        <v>0</v>
      </c>
      <c r="X300" s="11">
        <v>0</v>
      </c>
      <c r="Y300" s="11">
        <v>0</v>
      </c>
      <c r="Z300" s="11">
        <v>1</v>
      </c>
      <c r="AA300" s="11">
        <v>1</v>
      </c>
      <c r="AB300" s="11">
        <v>0</v>
      </c>
      <c r="AC300" s="11" t="s">
        <v>1263</v>
      </c>
      <c r="AD300" s="11">
        <v>2.6</v>
      </c>
      <c r="AE300" s="11">
        <v>3</v>
      </c>
      <c r="AF300" s="11" t="s">
        <v>220</v>
      </c>
      <c r="AG300" s="11">
        <v>0</v>
      </c>
      <c r="AH300" s="11" t="s">
        <v>35</v>
      </c>
      <c r="AI300" s="11">
        <v>46</v>
      </c>
      <c r="AJ300" s="27">
        <v>40</v>
      </c>
      <c r="AK300" s="27">
        <v>60</v>
      </c>
      <c r="AL300" s="27">
        <v>62</v>
      </c>
      <c r="AM300" s="27">
        <v>50</v>
      </c>
      <c r="AN300" s="27">
        <v>68</v>
      </c>
      <c r="AO300" s="181">
        <v>23.5</v>
      </c>
      <c r="AP300" s="11">
        <v>1</v>
      </c>
      <c r="AQ300" s="11">
        <v>0</v>
      </c>
      <c r="AR300" s="11">
        <v>0</v>
      </c>
      <c r="AS300" s="11">
        <v>0</v>
      </c>
      <c r="AT300" s="11">
        <v>0</v>
      </c>
      <c r="AU300" s="11">
        <v>1</v>
      </c>
      <c r="AV300" s="11">
        <v>0</v>
      </c>
      <c r="AW300" s="11">
        <v>1</v>
      </c>
      <c r="AX300" s="11">
        <v>1</v>
      </c>
      <c r="AY300" s="91" t="s">
        <v>1337</v>
      </c>
      <c r="AZ300" s="14" t="s">
        <v>1264</v>
      </c>
      <c r="BA300" s="13" t="s">
        <v>61</v>
      </c>
      <c r="BB300" s="14" t="s">
        <v>201</v>
      </c>
      <c r="BC300" s="14" t="s">
        <v>1265</v>
      </c>
      <c r="BD300" s="12">
        <v>6</v>
      </c>
      <c r="BE300" s="12">
        <v>7</v>
      </c>
      <c r="BF300" s="12">
        <v>1</v>
      </c>
      <c r="BG300" s="12">
        <v>1</v>
      </c>
      <c r="BH300" s="12">
        <v>0</v>
      </c>
      <c r="BI300" s="12">
        <v>0</v>
      </c>
      <c r="BJ300" s="12">
        <v>0.96</v>
      </c>
      <c r="BK300" s="12">
        <v>0.96</v>
      </c>
      <c r="BL300" s="14" t="s">
        <v>41</v>
      </c>
      <c r="BM300" s="12">
        <v>157</v>
      </c>
      <c r="BN300" s="12"/>
      <c r="BO300" s="12"/>
      <c r="BP300" s="12"/>
      <c r="BQ300" s="12"/>
      <c r="BR300" s="15"/>
      <c r="BS300" s="15"/>
      <c r="BT300" s="12"/>
      <c r="BU300" s="12">
        <v>34.19</v>
      </c>
      <c r="BV300" s="12">
        <v>7.68</v>
      </c>
      <c r="BW300" s="12"/>
      <c r="BX300" s="12">
        <v>92</v>
      </c>
      <c r="BY300" s="12">
        <v>35.57</v>
      </c>
      <c r="BZ300" s="12">
        <v>5.81</v>
      </c>
      <c r="CA300" s="12"/>
      <c r="CB300" s="12">
        <v>92</v>
      </c>
      <c r="CC300" s="12">
        <v>1</v>
      </c>
      <c r="CD300" s="16">
        <f t="shared" si="47"/>
        <v>0.20265813920876122</v>
      </c>
      <c r="CE300" s="12">
        <v>92</v>
      </c>
      <c r="CF300" s="158">
        <f t="shared" si="40"/>
        <v>0.20265813920876122</v>
      </c>
      <c r="CG300" s="22">
        <f t="shared" si="43"/>
        <v>0.20683709720141086</v>
      </c>
      <c r="CH300" s="14"/>
      <c r="CI300" s="3">
        <f t="shared" si="46"/>
        <v>1.1092773485801944E-2</v>
      </c>
      <c r="CJ300" s="37">
        <f t="shared" si="44"/>
        <v>2.1971639047710358E-2</v>
      </c>
    </row>
    <row r="301" spans="1:88" s="159" customFormat="1" x14ac:dyDescent="0.35">
      <c r="A301" s="154" t="s">
        <v>1259</v>
      </c>
      <c r="B301" s="153" t="s">
        <v>1260</v>
      </c>
      <c r="C301" s="154" t="s">
        <v>174</v>
      </c>
      <c r="D301" s="120" t="s">
        <v>1261</v>
      </c>
      <c r="E301" s="120" t="s">
        <v>1262</v>
      </c>
      <c r="F301" s="18" t="s">
        <v>1109</v>
      </c>
      <c r="G301" s="18">
        <v>0</v>
      </c>
      <c r="H301" s="18">
        <v>1</v>
      </c>
      <c r="I301" s="18">
        <v>1</v>
      </c>
      <c r="J301" s="18" t="s">
        <v>1111</v>
      </c>
      <c r="K301" s="155">
        <v>0</v>
      </c>
      <c r="L301" s="93" t="s">
        <v>1288</v>
      </c>
      <c r="M301" s="160">
        <v>1</v>
      </c>
      <c r="N301" s="160">
        <v>150</v>
      </c>
      <c r="O301" s="18">
        <v>92</v>
      </c>
      <c r="P301" s="18" t="s">
        <v>31</v>
      </c>
      <c r="Q301" s="18">
        <v>1</v>
      </c>
      <c r="R301" s="18">
        <v>1</v>
      </c>
      <c r="S301" s="18">
        <v>1</v>
      </c>
      <c r="T301" s="18">
        <v>0</v>
      </c>
      <c r="U301" s="18">
        <v>1</v>
      </c>
      <c r="V301" s="18">
        <v>0</v>
      </c>
      <c r="W301" s="18">
        <v>0</v>
      </c>
      <c r="X301" s="18">
        <v>0</v>
      </c>
      <c r="Y301" s="18">
        <v>0</v>
      </c>
      <c r="Z301" s="18">
        <v>1</v>
      </c>
      <c r="AA301" s="18">
        <v>1</v>
      </c>
      <c r="AB301" s="18">
        <v>0</v>
      </c>
      <c r="AC301" s="18" t="s">
        <v>1263</v>
      </c>
      <c r="AD301" s="18">
        <v>2.6</v>
      </c>
      <c r="AE301" s="18">
        <v>3</v>
      </c>
      <c r="AF301" s="18" t="s">
        <v>220</v>
      </c>
      <c r="AG301" s="18">
        <v>0</v>
      </c>
      <c r="AH301" s="18" t="s">
        <v>35</v>
      </c>
      <c r="AI301" s="18">
        <v>46</v>
      </c>
      <c r="AJ301" s="28">
        <v>40</v>
      </c>
      <c r="AK301" s="28">
        <v>60</v>
      </c>
      <c r="AL301" s="28">
        <v>62</v>
      </c>
      <c r="AM301" s="28">
        <v>50</v>
      </c>
      <c r="AN301" s="28">
        <v>68</v>
      </c>
      <c r="AO301" s="156">
        <v>23.5</v>
      </c>
      <c r="AP301" s="18">
        <v>1</v>
      </c>
      <c r="AQ301" s="18">
        <v>0</v>
      </c>
      <c r="AR301" s="18">
        <v>0</v>
      </c>
      <c r="AS301" s="18">
        <v>0</v>
      </c>
      <c r="AT301" s="18">
        <v>0</v>
      </c>
      <c r="AU301" s="18">
        <v>1</v>
      </c>
      <c r="AV301" s="18">
        <v>0</v>
      </c>
      <c r="AW301" s="18">
        <v>1</v>
      </c>
      <c r="AX301" s="18">
        <v>1</v>
      </c>
      <c r="AY301" s="91" t="s">
        <v>1338</v>
      </c>
      <c r="AZ301" s="14" t="s">
        <v>1264</v>
      </c>
      <c r="BA301" s="13" t="s">
        <v>61</v>
      </c>
      <c r="BB301" s="14" t="s">
        <v>46</v>
      </c>
      <c r="BC301" s="14" t="s">
        <v>1266</v>
      </c>
      <c r="BD301" s="12">
        <v>1</v>
      </c>
      <c r="BE301" s="12">
        <v>6</v>
      </c>
      <c r="BF301" s="12">
        <v>0</v>
      </c>
      <c r="BG301" s="12">
        <v>0</v>
      </c>
      <c r="BH301" s="12">
        <v>1</v>
      </c>
      <c r="BI301" s="12">
        <v>0</v>
      </c>
      <c r="BJ301" s="12"/>
      <c r="BK301" s="12">
        <v>0.8</v>
      </c>
      <c r="BL301" s="14"/>
      <c r="BM301" s="12">
        <v>157</v>
      </c>
      <c r="BN301" s="12"/>
      <c r="BO301" s="12"/>
      <c r="BP301" s="12"/>
      <c r="BQ301" s="12"/>
      <c r="BR301" s="15"/>
      <c r="BS301" s="15"/>
      <c r="BT301" s="12"/>
      <c r="BU301" s="12">
        <v>4.0999999999999996</v>
      </c>
      <c r="BV301" s="12">
        <v>0.11</v>
      </c>
      <c r="BW301" s="12"/>
      <c r="BX301" s="12">
        <v>92</v>
      </c>
      <c r="BY301" s="12">
        <v>4.3099999999999996</v>
      </c>
      <c r="BZ301" s="12">
        <v>0.1</v>
      </c>
      <c r="CA301" s="12"/>
      <c r="CB301" s="12">
        <v>92</v>
      </c>
      <c r="CC301" s="12">
        <v>1</v>
      </c>
      <c r="CD301" s="16">
        <f t="shared" si="47"/>
        <v>1.997736275448875</v>
      </c>
      <c r="CE301" s="12">
        <v>92</v>
      </c>
      <c r="CF301" s="158">
        <f t="shared" si="40"/>
        <v>1.997736275448875</v>
      </c>
      <c r="CG301" s="22">
        <f t="shared" si="43"/>
        <v>2.2335370565104644</v>
      </c>
      <c r="CH301" s="14"/>
      <c r="CI301" s="3">
        <f t="shared" si="46"/>
        <v>3.2559512099154045E-2</v>
      </c>
      <c r="CJ301" s="37">
        <f t="shared" si="44"/>
        <v>4.8851564036986032E-2</v>
      </c>
    </row>
    <row r="302" spans="1:88" s="159" customFormat="1" x14ac:dyDescent="0.35">
      <c r="A302" s="19" t="s">
        <v>1267</v>
      </c>
      <c r="B302" s="152" t="s">
        <v>1268</v>
      </c>
      <c r="C302" s="19" t="s">
        <v>353</v>
      </c>
      <c r="D302" s="14" t="s">
        <v>1269</v>
      </c>
      <c r="E302" s="14" t="s">
        <v>415</v>
      </c>
      <c r="F302" s="11" t="s">
        <v>1109</v>
      </c>
      <c r="G302" s="12">
        <v>0</v>
      </c>
      <c r="H302" s="12">
        <v>1</v>
      </c>
      <c r="I302" s="12">
        <v>1</v>
      </c>
      <c r="J302" s="12" t="s">
        <v>1107</v>
      </c>
      <c r="K302" s="79">
        <v>0</v>
      </c>
      <c r="L302" s="174" t="s">
        <v>1289</v>
      </c>
      <c r="M302" s="177">
        <v>1</v>
      </c>
      <c r="N302" s="177">
        <v>11</v>
      </c>
      <c r="O302" s="11">
        <v>51</v>
      </c>
      <c r="P302" s="11" t="s">
        <v>31</v>
      </c>
      <c r="Q302" s="11">
        <v>3</v>
      </c>
      <c r="R302" s="11">
        <v>1</v>
      </c>
      <c r="S302" s="11">
        <v>1</v>
      </c>
      <c r="T302" s="11">
        <v>0</v>
      </c>
      <c r="U302" s="11">
        <v>0</v>
      </c>
      <c r="V302" s="11">
        <v>0</v>
      </c>
      <c r="W302" s="11">
        <v>1</v>
      </c>
      <c r="X302" s="11">
        <v>1</v>
      </c>
      <c r="Y302" s="11">
        <v>0</v>
      </c>
      <c r="Z302" s="11">
        <v>0</v>
      </c>
      <c r="AA302" s="11">
        <v>1</v>
      </c>
      <c r="AB302" s="11">
        <v>1</v>
      </c>
      <c r="AC302" s="11" t="s">
        <v>1270</v>
      </c>
      <c r="AD302" s="11">
        <v>1.9</v>
      </c>
      <c r="AE302" s="11">
        <v>3.2</v>
      </c>
      <c r="AF302" s="11" t="s">
        <v>220</v>
      </c>
      <c r="AG302" s="11">
        <v>0</v>
      </c>
      <c r="AH302" s="11" t="s">
        <v>198</v>
      </c>
      <c r="AI302" s="11">
        <v>86</v>
      </c>
      <c r="AJ302" s="27">
        <v>60</v>
      </c>
      <c r="AK302" s="27">
        <v>58</v>
      </c>
      <c r="AL302" s="27">
        <v>39</v>
      </c>
      <c r="AM302" s="27">
        <v>86</v>
      </c>
      <c r="AN302" s="27">
        <v>29</v>
      </c>
      <c r="AO302" s="181">
        <v>23</v>
      </c>
      <c r="AP302" s="11">
        <v>0</v>
      </c>
      <c r="AQ302" s="11">
        <v>0</v>
      </c>
      <c r="AR302" s="11">
        <v>1</v>
      </c>
      <c r="AS302" s="11">
        <v>0</v>
      </c>
      <c r="AT302" s="11">
        <v>0</v>
      </c>
      <c r="AU302" s="11">
        <v>0</v>
      </c>
      <c r="AV302" s="11">
        <v>1</v>
      </c>
      <c r="AW302" s="11">
        <v>1</v>
      </c>
      <c r="AX302" s="11">
        <v>1</v>
      </c>
      <c r="AY302" s="91" t="s">
        <v>1339</v>
      </c>
      <c r="AZ302" s="14" t="s">
        <v>1271</v>
      </c>
      <c r="BA302" s="13" t="s">
        <v>183</v>
      </c>
      <c r="BB302" s="14" t="s">
        <v>1272</v>
      </c>
      <c r="BC302" s="14" t="s">
        <v>1273</v>
      </c>
      <c r="BD302" s="12">
        <v>4</v>
      </c>
      <c r="BE302" s="12">
        <v>7</v>
      </c>
      <c r="BF302" s="12">
        <v>1</v>
      </c>
      <c r="BG302" s="12">
        <v>1</v>
      </c>
      <c r="BH302" s="12">
        <v>0</v>
      </c>
      <c r="BI302" s="12">
        <v>0</v>
      </c>
      <c r="BJ302" s="12">
        <v>0.92</v>
      </c>
      <c r="BK302" s="12">
        <v>0.92</v>
      </c>
      <c r="BL302" s="14" t="s">
        <v>41</v>
      </c>
      <c r="BM302" s="12">
        <v>19</v>
      </c>
      <c r="BN302" s="12"/>
      <c r="BO302" s="12"/>
      <c r="BP302" s="12"/>
      <c r="BQ302" s="12"/>
      <c r="BR302" s="15"/>
      <c r="BS302" s="15"/>
      <c r="BT302" s="12"/>
      <c r="BU302" s="12">
        <v>4.0999999999999996</v>
      </c>
      <c r="BV302" s="12">
        <v>0.97</v>
      </c>
      <c r="BW302" s="12"/>
      <c r="BX302" s="12">
        <v>51</v>
      </c>
      <c r="BY302" s="12">
        <v>4.6399999999999997</v>
      </c>
      <c r="BZ302" s="12">
        <v>0.8</v>
      </c>
      <c r="CA302" s="12"/>
      <c r="CB302" s="12">
        <v>51</v>
      </c>
      <c r="CC302" s="12">
        <v>1</v>
      </c>
      <c r="CD302" s="16">
        <f t="shared" si="47"/>
        <v>0.60737450471760857</v>
      </c>
      <c r="CE302" s="12">
        <v>51</v>
      </c>
      <c r="CF302" s="158">
        <f t="shared" si="40"/>
        <v>0.60737450471760857</v>
      </c>
      <c r="CG302" s="22">
        <f t="shared" si="43"/>
        <v>0.63323169482199071</v>
      </c>
      <c r="CH302" s="14"/>
      <c r="CI302" s="3">
        <f t="shared" si="46"/>
        <v>2.3224546950793727E-2</v>
      </c>
      <c r="CJ302" s="37">
        <f t="shared" si="44"/>
        <v>4.3146886071834617E-2</v>
      </c>
    </row>
    <row r="303" spans="1:88" s="159" customFormat="1" x14ac:dyDescent="0.35">
      <c r="A303" s="154" t="s">
        <v>1267</v>
      </c>
      <c r="B303" s="153" t="s">
        <v>1268</v>
      </c>
      <c r="C303" s="154" t="s">
        <v>353</v>
      </c>
      <c r="D303" s="120" t="s">
        <v>1269</v>
      </c>
      <c r="E303" s="120" t="s">
        <v>415</v>
      </c>
      <c r="F303" s="18" t="s">
        <v>1109</v>
      </c>
      <c r="G303" s="18">
        <v>0</v>
      </c>
      <c r="H303" s="18">
        <v>1</v>
      </c>
      <c r="I303" s="18">
        <v>1</v>
      </c>
      <c r="J303" s="18" t="s">
        <v>1107</v>
      </c>
      <c r="K303" s="155">
        <v>0</v>
      </c>
      <c r="L303" s="93" t="s">
        <v>1289</v>
      </c>
      <c r="M303" s="160">
        <v>1</v>
      </c>
      <c r="N303" s="160">
        <v>11</v>
      </c>
      <c r="O303" s="18">
        <v>51</v>
      </c>
      <c r="P303" s="18" t="s">
        <v>31</v>
      </c>
      <c r="Q303" s="18">
        <v>3</v>
      </c>
      <c r="R303" s="18">
        <v>2</v>
      </c>
      <c r="S303" s="18">
        <v>1</v>
      </c>
      <c r="T303" s="18">
        <v>0</v>
      </c>
      <c r="U303" s="18">
        <v>0</v>
      </c>
      <c r="V303" s="18">
        <v>0</v>
      </c>
      <c r="W303" s="18">
        <v>1</v>
      </c>
      <c r="X303" s="18">
        <v>1</v>
      </c>
      <c r="Y303" s="18">
        <v>0</v>
      </c>
      <c r="Z303" s="18">
        <v>0</v>
      </c>
      <c r="AA303" s="18">
        <v>1</v>
      </c>
      <c r="AB303" s="18">
        <v>1</v>
      </c>
      <c r="AC303" s="18" t="s">
        <v>1270</v>
      </c>
      <c r="AD303" s="18">
        <v>1.9</v>
      </c>
      <c r="AE303" s="18">
        <v>3.2</v>
      </c>
      <c r="AF303" s="18" t="s">
        <v>220</v>
      </c>
      <c r="AG303" s="18">
        <v>0</v>
      </c>
      <c r="AH303" s="18" t="s">
        <v>198</v>
      </c>
      <c r="AI303" s="18">
        <v>86</v>
      </c>
      <c r="AJ303" s="28">
        <v>60</v>
      </c>
      <c r="AK303" s="28">
        <v>58</v>
      </c>
      <c r="AL303" s="28">
        <v>39</v>
      </c>
      <c r="AM303" s="28">
        <v>86</v>
      </c>
      <c r="AN303" s="28">
        <v>29</v>
      </c>
      <c r="AO303" s="156">
        <v>23</v>
      </c>
      <c r="AP303" s="18">
        <v>0</v>
      </c>
      <c r="AQ303" s="18">
        <v>1</v>
      </c>
      <c r="AR303" s="18">
        <v>0</v>
      </c>
      <c r="AS303" s="18">
        <v>1</v>
      </c>
      <c r="AT303" s="18">
        <v>0</v>
      </c>
      <c r="AU303" s="18">
        <v>0</v>
      </c>
      <c r="AV303" s="18">
        <v>1</v>
      </c>
      <c r="AW303" s="18">
        <v>1</v>
      </c>
      <c r="AX303" s="18">
        <v>1</v>
      </c>
      <c r="AY303" s="91" t="s">
        <v>1340</v>
      </c>
      <c r="AZ303" s="14" t="s">
        <v>1271</v>
      </c>
      <c r="BA303" s="13" t="s">
        <v>517</v>
      </c>
      <c r="BB303" s="14" t="s">
        <v>1272</v>
      </c>
      <c r="BC303" s="14" t="s">
        <v>1273</v>
      </c>
      <c r="BD303" s="12">
        <v>4</v>
      </c>
      <c r="BE303" s="12">
        <v>7</v>
      </c>
      <c r="BF303" s="12">
        <v>1</v>
      </c>
      <c r="BG303" s="12">
        <v>1</v>
      </c>
      <c r="BH303" s="12">
        <v>0</v>
      </c>
      <c r="BI303" s="12">
        <v>0</v>
      </c>
      <c r="BJ303" s="12">
        <v>0.92</v>
      </c>
      <c r="BK303" s="12">
        <v>0.92</v>
      </c>
      <c r="BL303" s="14" t="s">
        <v>41</v>
      </c>
      <c r="BM303" s="12">
        <v>19</v>
      </c>
      <c r="BN303" s="12"/>
      <c r="BO303" s="12"/>
      <c r="BP303" s="12"/>
      <c r="BQ303" s="12"/>
      <c r="BR303" s="15"/>
      <c r="BS303" s="15"/>
      <c r="BT303" s="12"/>
      <c r="BU303" s="12">
        <v>4.25</v>
      </c>
      <c r="BV303" s="12">
        <v>0.97</v>
      </c>
      <c r="BW303" s="12"/>
      <c r="BX303" s="12">
        <v>51</v>
      </c>
      <c r="BY303" s="12">
        <v>4.6399999999999997</v>
      </c>
      <c r="BZ303" s="12">
        <v>0.8</v>
      </c>
      <c r="CA303" s="12"/>
      <c r="CB303" s="12">
        <v>51</v>
      </c>
      <c r="CC303" s="12">
        <v>1</v>
      </c>
      <c r="CD303" s="16">
        <f t="shared" si="47"/>
        <v>0.43865936451827242</v>
      </c>
      <c r="CE303" s="12">
        <v>51</v>
      </c>
      <c r="CF303" s="158">
        <f t="shared" si="40"/>
        <v>0.43865936451827242</v>
      </c>
      <c r="CG303" s="22">
        <f t="shared" si="43"/>
        <v>0.45733400181588174</v>
      </c>
      <c r="CH303" s="14"/>
      <c r="CI303" s="3">
        <f t="shared" si="46"/>
        <v>2.1494333706662497E-2</v>
      </c>
      <c r="CJ303" s="37">
        <f t="shared" si="44"/>
        <v>4.1266219502126757E-2</v>
      </c>
    </row>
    <row r="304" spans="1:88" s="101" customFormat="1" x14ac:dyDescent="0.35">
      <c r="A304" s="170" t="s">
        <v>1342</v>
      </c>
      <c r="B304" s="169" t="s">
        <v>1343</v>
      </c>
      <c r="C304" s="170" t="s">
        <v>1126</v>
      </c>
      <c r="D304" s="119" t="s">
        <v>1344</v>
      </c>
      <c r="E304" s="119" t="s">
        <v>1345</v>
      </c>
      <c r="F304" s="11" t="s">
        <v>1346</v>
      </c>
      <c r="G304" s="97">
        <v>0</v>
      </c>
      <c r="H304" s="97">
        <v>0</v>
      </c>
      <c r="I304" s="97">
        <v>9</v>
      </c>
      <c r="J304" s="97" t="s">
        <v>1106</v>
      </c>
      <c r="K304" s="81">
        <v>1</v>
      </c>
      <c r="L304" s="175" t="s">
        <v>1347</v>
      </c>
      <c r="M304" s="176" t="s">
        <v>1348</v>
      </c>
      <c r="N304" s="176">
        <v>24</v>
      </c>
      <c r="O304" s="97">
        <v>433</v>
      </c>
      <c r="P304" s="97" t="s">
        <v>31</v>
      </c>
      <c r="Q304" s="97">
        <v>3</v>
      </c>
      <c r="R304" s="97">
        <v>1</v>
      </c>
      <c r="S304" s="97">
        <v>0</v>
      </c>
      <c r="T304" s="97">
        <v>0</v>
      </c>
      <c r="U304" s="97">
        <v>0</v>
      </c>
      <c r="V304" s="97">
        <v>1</v>
      </c>
      <c r="W304" s="97">
        <v>0</v>
      </c>
      <c r="X304" s="97">
        <v>1</v>
      </c>
      <c r="Y304" s="97">
        <v>0</v>
      </c>
      <c r="Z304" s="97">
        <v>0</v>
      </c>
      <c r="AA304" s="97">
        <v>1</v>
      </c>
      <c r="AB304" s="97">
        <v>0</v>
      </c>
      <c r="AC304" s="97" t="s">
        <v>1203</v>
      </c>
      <c r="AD304" s="27">
        <v>2.2000000000000002</v>
      </c>
      <c r="AE304" s="27">
        <v>3.4</v>
      </c>
      <c r="AF304" s="97" t="s">
        <v>1349</v>
      </c>
      <c r="AG304" s="97">
        <v>0</v>
      </c>
      <c r="AH304" s="97" t="s">
        <v>35</v>
      </c>
      <c r="AI304" s="97">
        <v>46</v>
      </c>
      <c r="AJ304" s="27">
        <v>40</v>
      </c>
      <c r="AK304" s="27">
        <v>60</v>
      </c>
      <c r="AL304" s="27">
        <v>62</v>
      </c>
      <c r="AM304" s="27">
        <v>50</v>
      </c>
      <c r="AN304" s="27">
        <v>68</v>
      </c>
      <c r="AO304" s="182">
        <v>32.71</v>
      </c>
      <c r="AP304" s="97">
        <v>0</v>
      </c>
      <c r="AQ304" s="97">
        <v>0</v>
      </c>
      <c r="AR304" s="97">
        <v>1</v>
      </c>
      <c r="AS304" s="97">
        <v>0</v>
      </c>
      <c r="AT304" s="97">
        <v>0</v>
      </c>
      <c r="AU304" s="97">
        <v>0</v>
      </c>
      <c r="AV304" s="97">
        <v>0</v>
      </c>
      <c r="AW304" s="97">
        <v>1</v>
      </c>
      <c r="AX304" s="97">
        <v>1</v>
      </c>
      <c r="AY304" s="103" t="s">
        <v>1350</v>
      </c>
      <c r="AZ304" s="5" t="s">
        <v>1016</v>
      </c>
      <c r="BA304" s="5" t="s">
        <v>83</v>
      </c>
      <c r="BB304" s="14" t="s">
        <v>46</v>
      </c>
      <c r="BC304" s="101" t="s">
        <v>1351</v>
      </c>
      <c r="BD304" s="2">
        <v>3</v>
      </c>
      <c r="BE304" s="2">
        <v>7</v>
      </c>
      <c r="BF304" s="2">
        <v>0</v>
      </c>
      <c r="BG304" s="2">
        <v>0</v>
      </c>
      <c r="BH304" s="2">
        <v>1</v>
      </c>
      <c r="BI304" s="2">
        <v>0</v>
      </c>
      <c r="BJ304" s="2">
        <v>0.93</v>
      </c>
      <c r="BK304" s="2">
        <v>0.93</v>
      </c>
      <c r="BL304" s="14" t="s">
        <v>41</v>
      </c>
      <c r="BM304" s="2">
        <v>26</v>
      </c>
      <c r="BN304" s="2"/>
      <c r="BO304" s="2"/>
      <c r="BP304" s="2"/>
      <c r="BQ304" s="2"/>
      <c r="BR304" s="6"/>
      <c r="BS304" s="6"/>
      <c r="BT304" s="2"/>
      <c r="BU304" s="2">
        <v>3.93</v>
      </c>
      <c r="BV304" s="2">
        <v>2.91</v>
      </c>
      <c r="BW304" s="2"/>
      <c r="BX304" s="2">
        <v>144</v>
      </c>
      <c r="BY304" s="2">
        <v>4.59</v>
      </c>
      <c r="BZ304" s="2">
        <v>1.78</v>
      </c>
      <c r="CA304" s="2"/>
      <c r="CB304" s="2">
        <v>145</v>
      </c>
      <c r="CC304" s="2">
        <v>1</v>
      </c>
      <c r="CD304" s="16">
        <f t="shared" si="47"/>
        <v>0.27383730316870974</v>
      </c>
      <c r="CE304" s="2">
        <v>289</v>
      </c>
      <c r="CF304" s="158">
        <f t="shared" si="40"/>
        <v>0.27383730316870974</v>
      </c>
      <c r="CG304" s="22">
        <f t="shared" si="43"/>
        <v>0.28395605560120279</v>
      </c>
      <c r="CH304" s="14"/>
      <c r="CI304" s="16">
        <f>((BX304+CB304)/(BX304*CB304))+((CF304^2)/(2*(BX304+CB304)))</f>
        <v>1.3970731235375995E-2</v>
      </c>
      <c r="CJ304" s="37">
        <f t="shared" si="44"/>
        <v>1.4119034242763732E-2</v>
      </c>
    </row>
    <row r="305" spans="1:88" s="101" customFormat="1" x14ac:dyDescent="0.35">
      <c r="A305" s="88" t="s">
        <v>1342</v>
      </c>
      <c r="B305" s="153" t="s">
        <v>1343</v>
      </c>
      <c r="C305" s="88" t="s">
        <v>1126</v>
      </c>
      <c r="D305" s="120" t="s">
        <v>1344</v>
      </c>
      <c r="E305" s="120" t="s">
        <v>1345</v>
      </c>
      <c r="F305" s="18" t="s">
        <v>1346</v>
      </c>
      <c r="G305" s="92">
        <v>0</v>
      </c>
      <c r="H305" s="92">
        <v>0</v>
      </c>
      <c r="I305" s="92">
        <v>9</v>
      </c>
      <c r="J305" s="92" t="s">
        <v>1106</v>
      </c>
      <c r="K305" s="106">
        <v>1</v>
      </c>
      <c r="L305" s="105" t="s">
        <v>1347</v>
      </c>
      <c r="M305" s="94" t="s">
        <v>1348</v>
      </c>
      <c r="N305" s="94">
        <v>24</v>
      </c>
      <c r="O305" s="92">
        <v>433</v>
      </c>
      <c r="P305" s="92" t="s">
        <v>31</v>
      </c>
      <c r="Q305" s="92">
        <v>3</v>
      </c>
      <c r="R305" s="92">
        <v>2</v>
      </c>
      <c r="S305" s="92">
        <v>0</v>
      </c>
      <c r="T305" s="92">
        <v>0</v>
      </c>
      <c r="U305" s="92">
        <v>0</v>
      </c>
      <c r="V305" s="92">
        <v>0</v>
      </c>
      <c r="W305" s="92">
        <v>1</v>
      </c>
      <c r="X305" s="92">
        <v>1</v>
      </c>
      <c r="Y305" s="92">
        <v>0</v>
      </c>
      <c r="Z305" s="92">
        <v>0</v>
      </c>
      <c r="AA305" s="92">
        <v>1</v>
      </c>
      <c r="AB305" s="92">
        <v>0</v>
      </c>
      <c r="AC305" s="92" t="s">
        <v>1203</v>
      </c>
      <c r="AD305" s="28">
        <v>2.2000000000000002</v>
      </c>
      <c r="AE305" s="28">
        <v>3.4</v>
      </c>
      <c r="AF305" s="92" t="s">
        <v>1349</v>
      </c>
      <c r="AG305" s="92">
        <v>0</v>
      </c>
      <c r="AH305" s="92" t="s">
        <v>35</v>
      </c>
      <c r="AI305" s="92">
        <v>46</v>
      </c>
      <c r="AJ305" s="28">
        <v>40</v>
      </c>
      <c r="AK305" s="28">
        <v>60</v>
      </c>
      <c r="AL305" s="28">
        <v>62</v>
      </c>
      <c r="AM305" s="28">
        <v>50</v>
      </c>
      <c r="AN305" s="28">
        <v>68</v>
      </c>
      <c r="AO305" s="95">
        <v>32.71</v>
      </c>
      <c r="AP305" s="92">
        <v>0</v>
      </c>
      <c r="AQ305" s="92">
        <v>0</v>
      </c>
      <c r="AR305" s="92">
        <v>1</v>
      </c>
      <c r="AS305" s="92">
        <v>0</v>
      </c>
      <c r="AT305" s="92">
        <v>0</v>
      </c>
      <c r="AU305" s="92">
        <v>0</v>
      </c>
      <c r="AV305" s="92">
        <v>0</v>
      </c>
      <c r="AW305" s="92">
        <v>1</v>
      </c>
      <c r="AX305" s="92">
        <v>1</v>
      </c>
      <c r="AY305" s="103" t="s">
        <v>1359</v>
      </c>
      <c r="AZ305" s="5" t="s">
        <v>1016</v>
      </c>
      <c r="BA305" s="5" t="s">
        <v>183</v>
      </c>
      <c r="BB305" s="14" t="s">
        <v>46</v>
      </c>
      <c r="BC305" s="101" t="s">
        <v>1351</v>
      </c>
      <c r="BD305" s="2">
        <v>3</v>
      </c>
      <c r="BE305" s="2">
        <v>7</v>
      </c>
      <c r="BF305" s="2">
        <v>0</v>
      </c>
      <c r="BG305" s="2">
        <v>0</v>
      </c>
      <c r="BH305" s="2">
        <v>1</v>
      </c>
      <c r="BI305" s="2">
        <v>0</v>
      </c>
      <c r="BJ305" s="2">
        <v>0.93</v>
      </c>
      <c r="BK305" s="2">
        <v>0.93</v>
      </c>
      <c r="BL305" s="14" t="s">
        <v>41</v>
      </c>
      <c r="BM305" s="2">
        <v>26</v>
      </c>
      <c r="BN305" s="2"/>
      <c r="BO305" s="2"/>
      <c r="BP305" s="2"/>
      <c r="BQ305" s="2"/>
      <c r="BR305" s="6"/>
      <c r="BS305" s="6"/>
      <c r="BT305" s="2"/>
      <c r="BU305" s="2">
        <v>3.93</v>
      </c>
      <c r="BV305" s="2">
        <v>2.91</v>
      </c>
      <c r="BW305" s="2"/>
      <c r="BX305" s="2">
        <v>144</v>
      </c>
      <c r="BY305" s="2">
        <v>3.87</v>
      </c>
      <c r="BZ305" s="2">
        <v>1.88</v>
      </c>
      <c r="CA305" s="2"/>
      <c r="CB305" s="2">
        <v>144</v>
      </c>
      <c r="CC305" s="2">
        <v>0</v>
      </c>
      <c r="CD305" s="16">
        <f t="shared" si="47"/>
        <v>-2.449234627462717E-2</v>
      </c>
      <c r="CE305" s="2">
        <v>288</v>
      </c>
      <c r="CF305" s="158">
        <f t="shared" si="40"/>
        <v>-2.449234627462717E-2</v>
      </c>
      <c r="CG305" s="22">
        <f t="shared" si="43"/>
        <v>-2.5397379977399059E-2</v>
      </c>
      <c r="CH305"/>
      <c r="CI305" s="16">
        <f>((BX305+CB305)/(BX305*CB305))+((CF305^2)/(2*(BX305+CB305)))</f>
        <v>1.3889930338586867E-2</v>
      </c>
      <c r="CJ305" s="37">
        <f t="shared" si="44"/>
        <v>1.3891128565658736E-2</v>
      </c>
    </row>
    <row r="306" spans="1:88" s="101" customFormat="1" x14ac:dyDescent="0.35">
      <c r="A306" s="113" t="s">
        <v>1352</v>
      </c>
      <c r="B306" s="162" t="s">
        <v>1353</v>
      </c>
      <c r="C306" s="113" t="s">
        <v>1126</v>
      </c>
      <c r="D306" s="123" t="s">
        <v>1354</v>
      </c>
      <c r="E306" s="123" t="s">
        <v>1355</v>
      </c>
      <c r="F306" s="20" t="s">
        <v>1109</v>
      </c>
      <c r="G306" s="109">
        <v>0</v>
      </c>
      <c r="H306" s="109">
        <v>1</v>
      </c>
      <c r="I306" s="109">
        <v>1</v>
      </c>
      <c r="J306" s="109" t="s">
        <v>1107</v>
      </c>
      <c r="K306" s="115">
        <v>0</v>
      </c>
      <c r="L306" s="116" t="s">
        <v>1356</v>
      </c>
      <c r="M306" s="108">
        <v>1</v>
      </c>
      <c r="N306" s="108">
        <v>4</v>
      </c>
      <c r="O306" s="109">
        <v>265</v>
      </c>
      <c r="P306" s="109" t="s">
        <v>31</v>
      </c>
      <c r="Q306" s="109">
        <v>3</v>
      </c>
      <c r="R306" s="109">
        <v>1</v>
      </c>
      <c r="S306" s="109">
        <v>0</v>
      </c>
      <c r="T306" s="109">
        <v>0</v>
      </c>
      <c r="U306" s="109">
        <v>0</v>
      </c>
      <c r="V306" s="109">
        <v>1</v>
      </c>
      <c r="W306" s="109">
        <v>0</v>
      </c>
      <c r="X306" s="109">
        <v>0</v>
      </c>
      <c r="Y306" s="109">
        <v>0</v>
      </c>
      <c r="Z306" s="109">
        <v>1</v>
      </c>
      <c r="AA306" s="109">
        <v>1</v>
      </c>
      <c r="AB306" s="109">
        <v>0</v>
      </c>
      <c r="AC306" s="109" t="s">
        <v>1357</v>
      </c>
      <c r="AD306" s="109">
        <v>1.8</v>
      </c>
      <c r="AE306" s="109">
        <v>2.9</v>
      </c>
      <c r="AF306" s="109" t="s">
        <v>1358</v>
      </c>
      <c r="AG306" s="109">
        <v>1</v>
      </c>
      <c r="AH306" s="109" t="s">
        <v>35</v>
      </c>
      <c r="AI306" s="109">
        <v>46</v>
      </c>
      <c r="AJ306" s="26">
        <v>40</v>
      </c>
      <c r="AK306" s="26">
        <v>60</v>
      </c>
      <c r="AL306" s="26">
        <v>62</v>
      </c>
      <c r="AM306" s="26">
        <v>50</v>
      </c>
      <c r="AN306" s="26">
        <v>68</v>
      </c>
      <c r="AO306" s="110">
        <v>34.9</v>
      </c>
      <c r="AP306" s="109">
        <v>1</v>
      </c>
      <c r="AQ306" s="109">
        <v>0</v>
      </c>
      <c r="AR306" s="109">
        <v>1</v>
      </c>
      <c r="AS306" s="109">
        <v>0</v>
      </c>
      <c r="AT306" s="109">
        <v>0</v>
      </c>
      <c r="AU306" s="109">
        <v>0</v>
      </c>
      <c r="AV306" s="109">
        <v>0</v>
      </c>
      <c r="AW306" s="109">
        <v>1</v>
      </c>
      <c r="AX306" s="109">
        <v>1</v>
      </c>
      <c r="AY306" s="103" t="s">
        <v>1367</v>
      </c>
      <c r="AZ306" s="5" t="s">
        <v>1360</v>
      </c>
      <c r="BA306" s="5" t="s">
        <v>83</v>
      </c>
      <c r="BB306" s="13" t="s">
        <v>862</v>
      </c>
      <c r="BC306" s="101" t="s">
        <v>1361</v>
      </c>
      <c r="BD306" s="2">
        <v>4</v>
      </c>
      <c r="BE306" s="2">
        <v>7</v>
      </c>
      <c r="BF306" s="2">
        <v>0</v>
      </c>
      <c r="BG306" s="2">
        <v>0</v>
      </c>
      <c r="BH306" s="2">
        <v>1</v>
      </c>
      <c r="BI306" s="2">
        <v>0</v>
      </c>
      <c r="BJ306" s="2">
        <v>0.94</v>
      </c>
      <c r="BK306" s="2">
        <v>0.94</v>
      </c>
      <c r="BL306" s="14" t="s">
        <v>41</v>
      </c>
      <c r="BM306" s="2">
        <v>7</v>
      </c>
      <c r="BN306" s="2"/>
      <c r="BO306" s="2"/>
      <c r="BP306" s="2"/>
      <c r="BQ306" s="2"/>
      <c r="BR306" s="6"/>
      <c r="BS306" s="6"/>
      <c r="BT306" s="2"/>
      <c r="BU306" s="2">
        <v>5.01</v>
      </c>
      <c r="BV306" s="2">
        <v>1.5</v>
      </c>
      <c r="BW306" s="2"/>
      <c r="BX306" s="2">
        <v>177</v>
      </c>
      <c r="BY306" s="2">
        <v>5.1100000000000003</v>
      </c>
      <c r="BZ306" s="2">
        <v>1.44</v>
      </c>
      <c r="CA306" s="2"/>
      <c r="CB306" s="2">
        <v>88</v>
      </c>
      <c r="CC306" s="2">
        <v>0</v>
      </c>
      <c r="CD306" s="3">
        <f t="shared" si="47"/>
        <v>6.7548340301061965E-2</v>
      </c>
      <c r="CE306" s="2">
        <v>265</v>
      </c>
      <c r="CF306" s="131">
        <f t="shared" si="40"/>
        <v>6.7548340301061965E-2</v>
      </c>
      <c r="CG306" s="22">
        <f t="shared" si="43"/>
        <v>6.9670793336034417E-2</v>
      </c>
      <c r="CH306" s="131"/>
      <c r="CI306" s="131">
        <f>((BX306+CB306)/(BX306*CB306))+((CF306^2)/(2*(BX306+CB306)))</f>
        <v>1.7021962893378446E-2</v>
      </c>
      <c r="CJ306" s="37">
        <f t="shared" si="44"/>
        <v>1.7040933533692886E-2</v>
      </c>
    </row>
    <row r="307" spans="1:88" s="101" customFormat="1" x14ac:dyDescent="0.35">
      <c r="A307" s="170" t="s">
        <v>1362</v>
      </c>
      <c r="B307" s="169" t="s">
        <v>1363</v>
      </c>
      <c r="C307" s="170" t="s">
        <v>1126</v>
      </c>
      <c r="D307" s="119" t="s">
        <v>1364</v>
      </c>
      <c r="E307" s="119" t="s">
        <v>1039</v>
      </c>
      <c r="F307" s="11" t="s">
        <v>1109</v>
      </c>
      <c r="G307" s="97">
        <v>1</v>
      </c>
      <c r="H307" s="97">
        <v>1</v>
      </c>
      <c r="I307" s="97">
        <v>5</v>
      </c>
      <c r="J307" s="97" t="s">
        <v>1106</v>
      </c>
      <c r="K307" s="81">
        <v>1</v>
      </c>
      <c r="L307" s="175" t="s">
        <v>1365</v>
      </c>
      <c r="M307" s="176">
        <v>1</v>
      </c>
      <c r="N307" s="176">
        <v>354</v>
      </c>
      <c r="O307" s="97">
        <v>191</v>
      </c>
      <c r="P307" s="97" t="s">
        <v>31</v>
      </c>
      <c r="Q307" s="97">
        <v>3</v>
      </c>
      <c r="R307" s="97">
        <v>1</v>
      </c>
      <c r="S307" s="97">
        <v>0</v>
      </c>
      <c r="T307" s="97">
        <v>1</v>
      </c>
      <c r="U307" s="97">
        <v>0</v>
      </c>
      <c r="V307" s="97">
        <v>0</v>
      </c>
      <c r="W307" s="97">
        <v>0</v>
      </c>
      <c r="X307" s="97">
        <v>0</v>
      </c>
      <c r="Y307" s="97">
        <v>1</v>
      </c>
      <c r="Z307" s="97">
        <v>0</v>
      </c>
      <c r="AA307" s="97">
        <v>1</v>
      </c>
      <c r="AB307" s="97">
        <v>0</v>
      </c>
      <c r="AC307" s="97" t="s">
        <v>1366</v>
      </c>
      <c r="AD307" s="97">
        <v>3.5</v>
      </c>
      <c r="AE307" s="97">
        <v>3</v>
      </c>
      <c r="AF307" s="97" t="s">
        <v>79</v>
      </c>
      <c r="AG307" s="97">
        <v>1</v>
      </c>
      <c r="AH307" s="97" t="s">
        <v>465</v>
      </c>
      <c r="AI307" s="97">
        <v>30</v>
      </c>
      <c r="AJ307" s="63">
        <v>80</v>
      </c>
      <c r="AK307" s="63">
        <v>43</v>
      </c>
      <c r="AL307" s="63">
        <v>66</v>
      </c>
      <c r="AM307" s="63">
        <v>77</v>
      </c>
      <c r="AN307" s="63">
        <v>24</v>
      </c>
      <c r="AO307" s="182">
        <v>21</v>
      </c>
      <c r="AP307" s="97">
        <v>1</v>
      </c>
      <c r="AQ307" s="97">
        <v>0</v>
      </c>
      <c r="AR307" s="97">
        <v>1</v>
      </c>
      <c r="AS307" s="97">
        <v>0</v>
      </c>
      <c r="AT307" s="97">
        <v>0</v>
      </c>
      <c r="AU307" s="97">
        <v>0</v>
      </c>
      <c r="AV307" s="97">
        <v>0</v>
      </c>
      <c r="AW307" s="97">
        <v>1</v>
      </c>
      <c r="AX307" s="97">
        <v>1</v>
      </c>
      <c r="AY307" s="103" t="s">
        <v>1368</v>
      </c>
      <c r="AZ307" s="5" t="s">
        <v>359</v>
      </c>
      <c r="BA307" s="5" t="s">
        <v>61</v>
      </c>
      <c r="BB307" s="14" t="s">
        <v>46</v>
      </c>
      <c r="BC307" s="101" t="s">
        <v>1369</v>
      </c>
      <c r="BD307" s="2">
        <v>3</v>
      </c>
      <c r="BE307" s="2">
        <v>7</v>
      </c>
      <c r="BF307" s="2">
        <v>0</v>
      </c>
      <c r="BG307" s="2">
        <v>0</v>
      </c>
      <c r="BH307" s="2">
        <v>1</v>
      </c>
      <c r="BI307" s="2">
        <v>0</v>
      </c>
      <c r="BJ307" s="2">
        <v>0.91</v>
      </c>
      <c r="BK307" s="2">
        <v>0.91</v>
      </c>
      <c r="BL307" s="14" t="s">
        <v>41</v>
      </c>
      <c r="BM307" s="2">
        <v>356</v>
      </c>
      <c r="BN307" s="2"/>
      <c r="BO307" s="2"/>
      <c r="BP307" s="2"/>
      <c r="BQ307" s="2"/>
      <c r="BR307" s="6"/>
      <c r="BS307" s="6"/>
      <c r="BT307" s="2"/>
      <c r="BU307" s="2">
        <v>3.83</v>
      </c>
      <c r="BV307" s="2">
        <v>1.33</v>
      </c>
      <c r="BW307" s="2"/>
      <c r="BX307" s="2">
        <v>64</v>
      </c>
      <c r="BY307" s="2">
        <v>4.55</v>
      </c>
      <c r="BZ307" s="2">
        <v>1.19</v>
      </c>
      <c r="CA307" s="2"/>
      <c r="CB307" s="2">
        <v>63</v>
      </c>
      <c r="CC307" s="2">
        <v>1</v>
      </c>
      <c r="CD307" s="3">
        <f t="shared" si="47"/>
        <v>0.57029614415411123</v>
      </c>
      <c r="CE307" s="2">
        <v>127</v>
      </c>
      <c r="CF307" s="111">
        <f t="shared" si="40"/>
        <v>0.57029614415411123</v>
      </c>
      <c r="CG307" s="22">
        <f t="shared" si="43"/>
        <v>0.59783280035773201</v>
      </c>
      <c r="CH307" s="112"/>
      <c r="CI307" s="3">
        <f>((BX307+CB307)/(BX307*CB307))+((CF307^2)/(2*(BX307+CB307)))</f>
        <v>3.2778479227492434E-2</v>
      </c>
      <c r="CJ307" s="37">
        <f t="shared" si="44"/>
        <v>3.4334556009393398E-2</v>
      </c>
    </row>
    <row r="308" spans="1:88" s="101" customFormat="1" x14ac:dyDescent="0.35">
      <c r="A308" s="88" t="s">
        <v>1362</v>
      </c>
      <c r="B308" s="153" t="s">
        <v>1363</v>
      </c>
      <c r="C308" s="88" t="s">
        <v>1126</v>
      </c>
      <c r="D308" s="120" t="s">
        <v>1364</v>
      </c>
      <c r="E308" s="120" t="s">
        <v>1039</v>
      </c>
      <c r="F308" s="18" t="s">
        <v>1109</v>
      </c>
      <c r="G308" s="92">
        <v>1</v>
      </c>
      <c r="H308" s="92">
        <v>1</v>
      </c>
      <c r="I308" s="92">
        <v>5</v>
      </c>
      <c r="J308" s="92" t="s">
        <v>1106</v>
      </c>
      <c r="K308" s="106">
        <v>1</v>
      </c>
      <c r="L308" s="105" t="s">
        <v>1365</v>
      </c>
      <c r="M308" s="94">
        <v>1</v>
      </c>
      <c r="N308" s="94">
        <v>354</v>
      </c>
      <c r="O308" s="92">
        <v>191</v>
      </c>
      <c r="P308" s="92" t="s">
        <v>31</v>
      </c>
      <c r="Q308" s="92">
        <v>3</v>
      </c>
      <c r="R308" s="92">
        <v>2</v>
      </c>
      <c r="S308" s="92">
        <v>0</v>
      </c>
      <c r="T308" s="92">
        <v>0</v>
      </c>
      <c r="U308" s="92">
        <v>1</v>
      </c>
      <c r="V308" s="92">
        <v>0</v>
      </c>
      <c r="W308" s="92">
        <v>0</v>
      </c>
      <c r="X308" s="92">
        <v>0</v>
      </c>
      <c r="Y308" s="92">
        <v>0</v>
      </c>
      <c r="Z308" s="92">
        <v>1</v>
      </c>
      <c r="AA308" s="92">
        <v>1</v>
      </c>
      <c r="AB308" s="92">
        <v>0</v>
      </c>
      <c r="AC308" s="92" t="s">
        <v>1366</v>
      </c>
      <c r="AD308" s="92">
        <v>3.5</v>
      </c>
      <c r="AE308" s="92">
        <v>3</v>
      </c>
      <c r="AF308" s="92" t="s">
        <v>79</v>
      </c>
      <c r="AG308" s="92">
        <v>1</v>
      </c>
      <c r="AH308" s="92" t="s">
        <v>465</v>
      </c>
      <c r="AI308" s="92">
        <v>30</v>
      </c>
      <c r="AJ308" s="28">
        <v>80</v>
      </c>
      <c r="AK308" s="28">
        <v>43</v>
      </c>
      <c r="AL308" s="28">
        <v>66</v>
      </c>
      <c r="AM308" s="28">
        <v>77</v>
      </c>
      <c r="AN308" s="28">
        <v>24</v>
      </c>
      <c r="AO308" s="95">
        <v>21</v>
      </c>
      <c r="AP308" s="92">
        <v>1</v>
      </c>
      <c r="AQ308" s="92">
        <v>0</v>
      </c>
      <c r="AR308" s="92">
        <v>1</v>
      </c>
      <c r="AS308" s="92">
        <v>0</v>
      </c>
      <c r="AT308" s="92">
        <v>0</v>
      </c>
      <c r="AU308" s="92">
        <v>0</v>
      </c>
      <c r="AV308" s="92">
        <v>0</v>
      </c>
      <c r="AW308" s="92">
        <v>1</v>
      </c>
      <c r="AX308" s="92">
        <v>1</v>
      </c>
      <c r="AY308" s="103" t="s">
        <v>1370</v>
      </c>
      <c r="AZ308" s="5" t="s">
        <v>359</v>
      </c>
      <c r="BA308" s="5" t="s">
        <v>61</v>
      </c>
      <c r="BB308" s="14" t="s">
        <v>46</v>
      </c>
      <c r="BC308" s="101" t="s">
        <v>1369</v>
      </c>
      <c r="BD308" s="2">
        <v>3</v>
      </c>
      <c r="BE308" s="2">
        <v>7</v>
      </c>
      <c r="BF308" s="2">
        <v>0</v>
      </c>
      <c r="BG308" s="2">
        <v>0</v>
      </c>
      <c r="BH308" s="2">
        <v>1</v>
      </c>
      <c r="BI308" s="2">
        <v>0</v>
      </c>
      <c r="BJ308" s="2">
        <v>0.91</v>
      </c>
      <c r="BK308" s="2">
        <v>0.91</v>
      </c>
      <c r="BL308" s="14" t="s">
        <v>41</v>
      </c>
      <c r="BM308" s="2">
        <v>356</v>
      </c>
      <c r="BN308" s="2"/>
      <c r="BO308" s="2"/>
      <c r="BP308" s="2"/>
      <c r="BQ308" s="2"/>
      <c r="BR308" s="6"/>
      <c r="BS308" s="6"/>
      <c r="BT308" s="2"/>
      <c r="BU308" s="2">
        <v>3.83</v>
      </c>
      <c r="BV308" s="2">
        <v>1.33</v>
      </c>
      <c r="BW308" s="2"/>
      <c r="BX308" s="2">
        <v>64</v>
      </c>
      <c r="BY308" s="2">
        <v>3.76</v>
      </c>
      <c r="BZ308" s="2">
        <v>1.36</v>
      </c>
      <c r="CA308" s="2"/>
      <c r="CB308" s="2">
        <v>64</v>
      </c>
      <c r="CC308" s="2">
        <v>0</v>
      </c>
      <c r="CD308" s="3">
        <f t="shared" si="47"/>
        <v>-5.2041373406960086E-2</v>
      </c>
      <c r="CE308" s="2">
        <v>128</v>
      </c>
      <c r="CF308" s="111">
        <f t="shared" si="40"/>
        <v>-5.2041373406960086E-2</v>
      </c>
      <c r="CG308" s="22">
        <f t="shared" si="43"/>
        <v>-5.4554182624699535E-2</v>
      </c>
      <c r="CH308" s="112"/>
      <c r="CI308" s="3">
        <f>((BX308+CB308)/(BX308*CB308))+((CF308^2)/(2*(BX308+CB308)))</f>
        <v>3.1260579314633136E-2</v>
      </c>
      <c r="CJ308" s="37">
        <f t="shared" si="44"/>
        <v>3.1273251240951948E-2</v>
      </c>
    </row>
    <row r="309" spans="1:88" s="101" customFormat="1" x14ac:dyDescent="0.35">
      <c r="A309" s="1"/>
      <c r="C309" s="1"/>
      <c r="G309" s="2"/>
      <c r="H309" s="2"/>
      <c r="I309" s="2"/>
      <c r="J309" s="2"/>
      <c r="K309" s="81"/>
      <c r="L309" s="4"/>
      <c r="M309" s="4"/>
      <c r="N309" s="4"/>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3"/>
      <c r="AP309" s="2"/>
      <c r="AQ309" s="2"/>
      <c r="AR309" s="2"/>
      <c r="AS309" s="2"/>
      <c r="AT309" s="2"/>
      <c r="AU309" s="2"/>
      <c r="AV309" s="2"/>
      <c r="AW309" s="2"/>
      <c r="AX309" s="2"/>
      <c r="AY309" s="2"/>
      <c r="AZ309" s="5"/>
      <c r="BA309" s="2"/>
      <c r="BD309" s="2"/>
      <c r="BE309" s="2"/>
      <c r="BF309" s="2"/>
      <c r="BG309" s="2"/>
      <c r="BH309" s="2"/>
      <c r="BI309" s="2"/>
      <c r="BJ309" s="2"/>
      <c r="BK309" s="2"/>
      <c r="BM309" s="2"/>
      <c r="BN309" s="2"/>
      <c r="BO309" s="2"/>
      <c r="BP309" s="2"/>
      <c r="BQ309" s="2"/>
      <c r="BR309" s="6"/>
      <c r="BS309" s="6"/>
      <c r="BT309" s="2"/>
      <c r="BU309" s="2"/>
      <c r="BV309" s="2"/>
      <c r="BW309" s="2"/>
      <c r="BX309" s="2"/>
      <c r="BY309" s="2"/>
      <c r="BZ309" s="2"/>
      <c r="CA309" s="2"/>
      <c r="CB309" s="2"/>
      <c r="CC309" s="2"/>
      <c r="CD309" s="3"/>
      <c r="CE309" s="2"/>
      <c r="CF309" s="4"/>
      <c r="CG309" s="4"/>
      <c r="CI309" s="2"/>
    </row>
    <row r="310" spans="1:88" s="101" customFormat="1" x14ac:dyDescent="0.35">
      <c r="A310" s="1"/>
      <c r="C310" s="1"/>
      <c r="G310" s="2"/>
      <c r="H310" s="2"/>
      <c r="I310" s="2"/>
      <c r="J310" s="2"/>
      <c r="K310" s="81"/>
      <c r="L310" s="4"/>
      <c r="M310" s="4"/>
      <c r="N310" s="4"/>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3"/>
      <c r="AP310" s="2"/>
      <c r="AQ310" s="2"/>
      <c r="AR310" s="2"/>
      <c r="AS310" s="2"/>
      <c r="AT310" s="2"/>
      <c r="AU310" s="2"/>
      <c r="AV310" s="2"/>
      <c r="AW310" s="2"/>
      <c r="AX310" s="2"/>
      <c r="AY310" s="2"/>
      <c r="AZ310" s="5"/>
      <c r="BA310" s="2"/>
      <c r="BD310" s="2"/>
      <c r="BE310" s="2"/>
      <c r="BF310" s="2"/>
      <c r="BG310" s="2"/>
      <c r="BH310" s="2"/>
      <c r="BI310" s="2"/>
      <c r="BJ310" s="2"/>
      <c r="BK310" s="2"/>
      <c r="BM310" s="2"/>
      <c r="BN310" s="2"/>
      <c r="BO310" s="2"/>
      <c r="BP310" s="2"/>
      <c r="BQ310" s="2"/>
      <c r="BR310" s="6"/>
      <c r="BS310" s="6"/>
      <c r="BT310" s="2"/>
      <c r="BU310" s="2"/>
      <c r="BV310" s="2"/>
      <c r="BW310" s="2"/>
      <c r="BX310" s="2"/>
      <c r="BY310" s="2"/>
      <c r="BZ310" s="2"/>
      <c r="CA310" s="2"/>
      <c r="CB310" s="2"/>
      <c r="CC310" s="2"/>
      <c r="CD310" s="3"/>
      <c r="CE310" s="2"/>
      <c r="CF310" s="4"/>
      <c r="CG310" s="4"/>
      <c r="CI310" s="2"/>
    </row>
    <row r="311" spans="1:88" s="101" customFormat="1" x14ac:dyDescent="0.35">
      <c r="A311" s="1"/>
      <c r="C311" s="1"/>
      <c r="G311" s="2"/>
      <c r="H311" s="2"/>
      <c r="I311" s="2"/>
      <c r="J311" s="2"/>
      <c r="K311" s="81"/>
      <c r="L311" s="4"/>
      <c r="M311" s="4"/>
      <c r="N311" s="4"/>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3"/>
      <c r="AP311" s="2"/>
      <c r="AQ311" s="2"/>
      <c r="AR311" s="2"/>
      <c r="AS311" s="2"/>
      <c r="AT311" s="2"/>
      <c r="AU311" s="2"/>
      <c r="AV311" s="2"/>
      <c r="AW311" s="2"/>
      <c r="AX311" s="2"/>
      <c r="AY311" s="2"/>
      <c r="AZ311" s="5"/>
      <c r="BA311" s="2"/>
      <c r="BD311" s="2"/>
      <c r="BE311" s="2"/>
      <c r="BF311" s="2"/>
      <c r="BG311" s="2"/>
      <c r="BH311" s="2"/>
      <c r="BI311" s="2"/>
      <c r="BJ311" s="2"/>
      <c r="BK311" s="2"/>
      <c r="BM311" s="2"/>
      <c r="BN311" s="2"/>
      <c r="BO311" s="2"/>
      <c r="BP311" s="2"/>
      <c r="BQ311" s="2"/>
      <c r="BR311" s="6"/>
      <c r="BS311" s="6"/>
      <c r="BT311" s="2"/>
      <c r="BU311" s="2"/>
      <c r="BV311" s="2"/>
      <c r="BW311" s="2"/>
      <c r="BX311" s="2"/>
      <c r="BY311" s="2"/>
      <c r="BZ311" s="2"/>
      <c r="CA311" s="2"/>
      <c r="CB311" s="2"/>
      <c r="CC311" s="2"/>
      <c r="CD311" s="3"/>
      <c r="CE311" s="2"/>
      <c r="CF311" s="4"/>
      <c r="CG311" s="4"/>
      <c r="CI311" s="2"/>
    </row>
    <row r="312" spans="1:88" s="101" customFormat="1" x14ac:dyDescent="0.35">
      <c r="A312" s="1"/>
      <c r="C312" s="1"/>
      <c r="G312" s="2"/>
      <c r="H312" s="2"/>
      <c r="I312" s="2"/>
      <c r="J312" s="2"/>
      <c r="K312" s="81"/>
      <c r="L312" s="4"/>
      <c r="M312" s="4"/>
      <c r="N312" s="4"/>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3"/>
      <c r="AP312" s="2"/>
      <c r="AQ312" s="2"/>
      <c r="AR312" s="2"/>
      <c r="AS312" s="2"/>
      <c r="AT312" s="2"/>
      <c r="AU312" s="2"/>
      <c r="AV312" s="2"/>
      <c r="AW312" s="2"/>
      <c r="AX312" s="2"/>
      <c r="AY312" s="2"/>
      <c r="AZ312" s="5"/>
      <c r="BA312" s="2"/>
      <c r="BD312" s="2"/>
      <c r="BE312" s="2"/>
      <c r="BF312" s="2"/>
      <c r="BG312" s="2"/>
      <c r="BH312" s="2"/>
      <c r="BI312" s="2"/>
      <c r="BJ312" s="2"/>
      <c r="BK312" s="2"/>
      <c r="BM312" s="2"/>
      <c r="BN312" s="2"/>
      <c r="BO312" s="2"/>
      <c r="BP312" s="2"/>
      <c r="BQ312" s="2"/>
      <c r="BR312" s="6"/>
      <c r="BS312" s="6"/>
      <c r="BT312" s="2"/>
      <c r="BU312" s="2"/>
      <c r="BV312" s="2"/>
      <c r="BW312" s="2"/>
      <c r="BX312" s="2"/>
      <c r="BY312" s="2"/>
      <c r="BZ312" s="2"/>
      <c r="CA312" s="2"/>
      <c r="CB312" s="2"/>
      <c r="CC312" s="2"/>
      <c r="CD312" s="3"/>
      <c r="CE312" s="2"/>
      <c r="CF312" s="4"/>
      <c r="CG312" s="4"/>
      <c r="CI312" s="2"/>
    </row>
    <row r="313" spans="1:88" s="101" customFormat="1" x14ac:dyDescent="0.35">
      <c r="A313" s="1"/>
      <c r="C313" s="1"/>
      <c r="G313" s="2"/>
      <c r="H313" s="2"/>
      <c r="I313" s="2"/>
      <c r="J313" s="2"/>
      <c r="K313" s="81"/>
      <c r="L313" s="4"/>
      <c r="M313" s="4"/>
      <c r="N313" s="4"/>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3"/>
      <c r="AP313" s="2"/>
      <c r="AQ313" s="2"/>
      <c r="AR313" s="2"/>
      <c r="AS313" s="2"/>
      <c r="AT313" s="2"/>
      <c r="AU313" s="2"/>
      <c r="AV313" s="2"/>
      <c r="AW313" s="2"/>
      <c r="AX313" s="2"/>
      <c r="AY313" s="2"/>
      <c r="AZ313" s="5"/>
      <c r="BA313" s="2"/>
      <c r="BD313" s="2"/>
      <c r="BE313" s="2"/>
      <c r="BF313" s="2"/>
      <c r="BG313" s="2"/>
      <c r="BH313" s="2"/>
      <c r="BI313" s="2"/>
      <c r="BJ313" s="2"/>
      <c r="BK313" s="2"/>
      <c r="BM313" s="2"/>
      <c r="BN313" s="2"/>
      <c r="BO313" s="2"/>
      <c r="BP313" s="2"/>
      <c r="BQ313" s="2"/>
      <c r="BR313" s="6"/>
      <c r="BS313" s="6"/>
      <c r="BT313" s="2"/>
      <c r="BU313" s="2"/>
      <c r="BV313" s="2"/>
      <c r="BW313" s="2"/>
      <c r="BX313" s="2"/>
      <c r="BY313" s="2"/>
      <c r="BZ313" s="2"/>
      <c r="CA313" s="2"/>
      <c r="CB313" s="2"/>
      <c r="CC313" s="2"/>
      <c r="CD313" s="3"/>
      <c r="CE313" s="2"/>
      <c r="CF313" s="4"/>
      <c r="CG313" s="4"/>
      <c r="CI313" s="2"/>
    </row>
    <row r="314" spans="1:88" s="101" customFormat="1" x14ac:dyDescent="0.35">
      <c r="A314" s="1"/>
      <c r="C314" s="1"/>
      <c r="G314" s="2"/>
      <c r="H314" s="2"/>
      <c r="I314" s="2"/>
      <c r="J314" s="2"/>
      <c r="K314" s="81"/>
      <c r="L314" s="4"/>
      <c r="M314" s="4"/>
      <c r="N314" s="4"/>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3"/>
      <c r="AP314" s="2"/>
      <c r="AQ314" s="2"/>
      <c r="AR314" s="2"/>
      <c r="AS314" s="2"/>
      <c r="AT314" s="2"/>
      <c r="AU314" s="2"/>
      <c r="AV314" s="2"/>
      <c r="AW314" s="2"/>
      <c r="AX314" s="2"/>
      <c r="AY314" s="2"/>
      <c r="AZ314" s="5"/>
      <c r="BA314" s="2"/>
      <c r="BD314" s="2"/>
      <c r="BE314" s="2"/>
      <c r="BF314" s="2"/>
      <c r="BG314" s="2"/>
      <c r="BH314" s="2"/>
      <c r="BI314" s="2"/>
      <c r="BJ314" s="2"/>
      <c r="BK314" s="2"/>
      <c r="BM314" s="2"/>
      <c r="BN314" s="2"/>
      <c r="BO314" s="2"/>
      <c r="BP314" s="2"/>
      <c r="BQ314" s="2"/>
      <c r="BR314" s="6"/>
      <c r="BS314" s="6"/>
      <c r="BT314" s="2"/>
      <c r="BU314" s="2"/>
      <c r="BV314" s="2"/>
      <c r="BW314" s="2"/>
      <c r="BX314" s="2"/>
      <c r="BY314" s="2"/>
      <c r="BZ314" s="2"/>
      <c r="CA314" s="2"/>
      <c r="CB314" s="2"/>
      <c r="CC314" s="2"/>
      <c r="CD314" s="3"/>
      <c r="CE314" s="2"/>
      <c r="CF314" s="4"/>
      <c r="CG314" s="4"/>
      <c r="CI314" s="2"/>
    </row>
    <row r="315" spans="1:88" s="101" customFormat="1" x14ac:dyDescent="0.35">
      <c r="A315" s="1"/>
      <c r="C315" s="1"/>
      <c r="G315" s="2"/>
      <c r="H315" s="2"/>
      <c r="I315" s="2"/>
      <c r="J315" s="2"/>
      <c r="K315" s="81"/>
      <c r="L315" s="4"/>
      <c r="M315" s="4"/>
      <c r="N315" s="4"/>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3"/>
      <c r="AP315" s="2"/>
      <c r="AQ315" s="2"/>
      <c r="AR315" s="2"/>
      <c r="AS315" s="2"/>
      <c r="AT315" s="2"/>
      <c r="AU315" s="2"/>
      <c r="AV315" s="2"/>
      <c r="AW315" s="2"/>
      <c r="AX315" s="2"/>
      <c r="AY315" s="2"/>
      <c r="AZ315" s="5"/>
      <c r="BA315" s="2"/>
      <c r="BD315" s="2"/>
      <c r="BE315" s="2"/>
      <c r="BF315" s="2"/>
      <c r="BG315" s="2"/>
      <c r="BH315" s="2"/>
      <c r="BI315" s="2"/>
      <c r="BJ315" s="2"/>
      <c r="BK315" s="2"/>
      <c r="BM315" s="2"/>
      <c r="BN315" s="2"/>
      <c r="BO315" s="2"/>
      <c r="BP315" s="2"/>
      <c r="BQ315" s="2"/>
      <c r="BR315" s="6"/>
      <c r="BS315" s="6"/>
      <c r="BT315" s="2"/>
      <c r="BU315" s="2"/>
      <c r="BV315" s="2"/>
      <c r="BW315" s="2"/>
      <c r="BX315" s="2"/>
      <c r="BY315" s="2"/>
      <c r="BZ315" s="2"/>
      <c r="CA315" s="2"/>
      <c r="CB315" s="2"/>
      <c r="CC315" s="2"/>
      <c r="CD315" s="3"/>
      <c r="CE315" s="2"/>
      <c r="CF315" s="4"/>
      <c r="CG315" s="4"/>
      <c r="CI315" s="2"/>
    </row>
    <row r="316" spans="1:88" s="101" customFormat="1" x14ac:dyDescent="0.35">
      <c r="A316" s="1"/>
      <c r="C316" s="1"/>
      <c r="G316" s="2"/>
      <c r="H316" s="2"/>
      <c r="I316" s="2"/>
      <c r="J316" s="2"/>
      <c r="K316" s="81"/>
      <c r="L316" s="4"/>
      <c r="M316" s="4"/>
      <c r="N316" s="4"/>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3"/>
      <c r="AP316" s="2"/>
      <c r="AQ316" s="2"/>
      <c r="AR316" s="2"/>
      <c r="AS316" s="2"/>
      <c r="AT316" s="2"/>
      <c r="AU316" s="2"/>
      <c r="AV316" s="2"/>
      <c r="AW316" s="2"/>
      <c r="AX316" s="2"/>
      <c r="AY316" s="2"/>
      <c r="AZ316" s="5"/>
      <c r="BA316" s="2"/>
      <c r="BD316" s="2"/>
      <c r="BE316" s="2"/>
      <c r="BF316" s="2"/>
      <c r="BG316" s="2"/>
      <c r="BH316" s="2"/>
      <c r="BI316" s="2"/>
      <c r="BJ316" s="2"/>
      <c r="BK316" s="2"/>
      <c r="BM316" s="2"/>
      <c r="BN316" s="2"/>
      <c r="BO316" s="2"/>
      <c r="BP316" s="2"/>
      <c r="BQ316" s="2"/>
      <c r="BR316" s="6"/>
      <c r="BS316" s="6"/>
      <c r="BT316" s="2"/>
      <c r="BU316" s="2"/>
      <c r="BV316" s="2"/>
      <c r="BW316" s="2"/>
      <c r="BX316" s="2"/>
      <c r="BY316" s="2"/>
      <c r="BZ316" s="2"/>
      <c r="CA316" s="2"/>
      <c r="CB316" s="2"/>
      <c r="CC316" s="2"/>
      <c r="CD316" s="3"/>
      <c r="CE316" s="2"/>
      <c r="CF316" s="4"/>
      <c r="CG316" s="4"/>
      <c r="CI316" s="2"/>
    </row>
    <row r="317" spans="1:88" s="101" customFormat="1" x14ac:dyDescent="0.35">
      <c r="A317" s="1"/>
      <c r="C317" s="1"/>
      <c r="G317" s="2"/>
      <c r="H317" s="2"/>
      <c r="I317" s="2"/>
      <c r="J317" s="2"/>
      <c r="K317" s="81"/>
      <c r="L317" s="4"/>
      <c r="M317" s="4"/>
      <c r="N317" s="4"/>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3"/>
      <c r="AP317" s="2"/>
      <c r="AQ317" s="2"/>
      <c r="AR317" s="2"/>
      <c r="AS317" s="2"/>
      <c r="AT317" s="2"/>
      <c r="AU317" s="2"/>
      <c r="AV317" s="2"/>
      <c r="AW317" s="2"/>
      <c r="AX317" s="2"/>
      <c r="AY317" s="2"/>
      <c r="AZ317" s="5"/>
      <c r="BA317" s="2"/>
      <c r="BD317" s="2"/>
      <c r="BE317" s="2"/>
      <c r="BF317" s="2"/>
      <c r="BG317" s="2"/>
      <c r="BH317" s="2"/>
      <c r="BI317" s="2"/>
      <c r="BJ317" s="2"/>
      <c r="BK317" s="2"/>
      <c r="BM317" s="2"/>
      <c r="BN317" s="2"/>
      <c r="BO317" s="2"/>
      <c r="BP317" s="2"/>
      <c r="BQ317" s="2"/>
      <c r="BR317" s="6"/>
      <c r="BS317" s="6"/>
      <c r="BT317" s="2"/>
      <c r="BU317" s="2"/>
      <c r="BV317" s="2"/>
      <c r="BW317" s="2"/>
      <c r="BX317" s="2"/>
      <c r="BY317" s="2"/>
      <c r="BZ317" s="2"/>
      <c r="CA317" s="2"/>
      <c r="CB317" s="2"/>
      <c r="CC317" s="2"/>
      <c r="CD317" s="3"/>
      <c r="CE317" s="2"/>
      <c r="CF317" s="4"/>
      <c r="CG317" s="4"/>
      <c r="CI317" s="2"/>
    </row>
    <row r="318" spans="1:88" s="101" customFormat="1" x14ac:dyDescent="0.35">
      <c r="A318" s="1"/>
      <c r="C318" s="1"/>
      <c r="G318" s="2"/>
      <c r="H318" s="2"/>
      <c r="I318" s="2"/>
      <c r="J318" s="2"/>
      <c r="K318" s="81"/>
      <c r="L318" s="4"/>
      <c r="M318" s="4"/>
      <c r="N318" s="4"/>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3"/>
      <c r="AP318" s="2"/>
      <c r="AQ318" s="2"/>
      <c r="AR318" s="2"/>
      <c r="AS318" s="2"/>
      <c r="AT318" s="2"/>
      <c r="AU318" s="2"/>
      <c r="AV318" s="2"/>
      <c r="AW318" s="2"/>
      <c r="AX318" s="2"/>
      <c r="AY318" s="2"/>
      <c r="AZ318" s="5"/>
      <c r="BA318" s="2"/>
      <c r="BD318" s="2"/>
      <c r="BE318" s="2"/>
      <c r="BF318" s="2"/>
      <c r="BG318" s="2"/>
      <c r="BH318" s="2"/>
      <c r="BI318" s="2"/>
      <c r="BJ318" s="2"/>
      <c r="BK318" s="2"/>
      <c r="BM318" s="2"/>
      <c r="BN318" s="2"/>
      <c r="BO318" s="2"/>
      <c r="BP318" s="2"/>
      <c r="BQ318" s="2"/>
      <c r="BR318" s="6"/>
      <c r="BS318" s="6"/>
      <c r="BT318" s="2"/>
      <c r="BU318" s="2"/>
      <c r="BV318" s="2"/>
      <c r="BW318" s="2"/>
      <c r="BX318" s="2"/>
      <c r="BY318" s="2"/>
      <c r="BZ318" s="2"/>
      <c r="CA318" s="2"/>
      <c r="CB318" s="2"/>
      <c r="CC318" s="2"/>
      <c r="CD318" s="3"/>
      <c r="CE318" s="2"/>
      <c r="CF318" s="4"/>
      <c r="CG318" s="4"/>
      <c r="CI318" s="2"/>
    </row>
    <row r="319" spans="1:88" s="101" customFormat="1" x14ac:dyDescent="0.35">
      <c r="A319" s="1"/>
      <c r="C319" s="1"/>
      <c r="G319" s="2"/>
      <c r="H319" s="2"/>
      <c r="I319" s="2"/>
      <c r="J319" s="2"/>
      <c r="K319" s="81"/>
      <c r="L319" s="4"/>
      <c r="M319" s="4"/>
      <c r="N319" s="4"/>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3"/>
      <c r="AP319" s="2"/>
      <c r="AQ319" s="2"/>
      <c r="AR319" s="2"/>
      <c r="AS319" s="2"/>
      <c r="AT319" s="2"/>
      <c r="AU319" s="2"/>
      <c r="AV319" s="2"/>
      <c r="AW319" s="2"/>
      <c r="AX319" s="2"/>
      <c r="AY319" s="2"/>
      <c r="AZ319" s="5"/>
      <c r="BA319" s="2"/>
      <c r="BD319" s="2"/>
      <c r="BE319" s="2"/>
      <c r="BF319" s="2"/>
      <c r="BG319" s="2"/>
      <c r="BH319" s="2"/>
      <c r="BI319" s="2"/>
      <c r="BJ319" s="2"/>
      <c r="BK319" s="2"/>
      <c r="BM319" s="2"/>
      <c r="BN319" s="2"/>
      <c r="BO319" s="2"/>
      <c r="BP319" s="2"/>
      <c r="BQ319" s="2"/>
      <c r="BR319" s="6"/>
      <c r="BS319" s="6"/>
      <c r="BT319" s="2"/>
      <c r="BU319" s="2"/>
      <c r="BV319" s="2"/>
      <c r="BW319" s="2"/>
      <c r="BX319" s="2"/>
      <c r="BY319" s="2"/>
      <c r="BZ319" s="2"/>
      <c r="CA319" s="2"/>
      <c r="CB319" s="2"/>
      <c r="CC319" s="2"/>
      <c r="CD319" s="3"/>
      <c r="CE319" s="2"/>
      <c r="CF319" s="4"/>
      <c r="CG319" s="4"/>
      <c r="CI319" s="2"/>
    </row>
    <row r="320" spans="1:88" s="101" customFormat="1" x14ac:dyDescent="0.35">
      <c r="A320" s="1"/>
      <c r="C320" s="1"/>
      <c r="G320" s="2"/>
      <c r="H320" s="2"/>
      <c r="I320" s="2"/>
      <c r="J320" s="2"/>
      <c r="K320" s="81"/>
      <c r="L320" s="4"/>
      <c r="M320" s="4"/>
      <c r="N320" s="4"/>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3"/>
      <c r="AP320" s="2"/>
      <c r="AQ320" s="2"/>
      <c r="AR320" s="2"/>
      <c r="AS320" s="2"/>
      <c r="AT320" s="2"/>
      <c r="AU320" s="2"/>
      <c r="AV320" s="2"/>
      <c r="AW320" s="2"/>
      <c r="AX320" s="2"/>
      <c r="AY320" s="2"/>
      <c r="AZ320" s="5"/>
      <c r="BA320" s="2"/>
      <c r="BD320" s="2"/>
      <c r="BE320" s="2"/>
      <c r="BF320" s="2"/>
      <c r="BG320" s="2"/>
      <c r="BH320" s="2"/>
      <c r="BI320" s="2"/>
      <c r="BJ320" s="2"/>
      <c r="BK320" s="2"/>
      <c r="BM320" s="2"/>
      <c r="BN320" s="2"/>
      <c r="BO320" s="2"/>
      <c r="BP320" s="2"/>
      <c r="BQ320" s="2"/>
      <c r="BR320" s="6"/>
      <c r="BS320" s="6"/>
      <c r="BT320" s="2"/>
      <c r="BU320" s="2"/>
      <c r="BV320" s="2"/>
      <c r="BW320" s="2"/>
      <c r="BX320" s="2"/>
      <c r="BY320" s="2"/>
      <c r="BZ320" s="2"/>
      <c r="CA320" s="2"/>
      <c r="CB320" s="2"/>
      <c r="CC320" s="2"/>
      <c r="CD320" s="3"/>
      <c r="CE320" s="2"/>
      <c r="CF320" s="4"/>
      <c r="CG320" s="4"/>
      <c r="CI320" s="2"/>
    </row>
    <row r="321" spans="1:87" s="101" customFormat="1" x14ac:dyDescent="0.35">
      <c r="A321" s="1"/>
      <c r="C321" s="1"/>
      <c r="G321" s="2"/>
      <c r="H321" s="2"/>
      <c r="I321" s="2"/>
      <c r="J321" s="2"/>
      <c r="K321" s="81"/>
      <c r="L321" s="4"/>
      <c r="M321" s="4"/>
      <c r="N321" s="4"/>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3"/>
      <c r="AP321" s="2"/>
      <c r="AQ321" s="2"/>
      <c r="AR321" s="2"/>
      <c r="AS321" s="2"/>
      <c r="AT321" s="2"/>
      <c r="AU321" s="2"/>
      <c r="AV321" s="2"/>
      <c r="AW321" s="2"/>
      <c r="AX321" s="2"/>
      <c r="AY321" s="2"/>
      <c r="AZ321" s="5"/>
      <c r="BA321" s="2"/>
      <c r="BD321" s="2"/>
      <c r="BE321" s="2"/>
      <c r="BF321" s="2"/>
      <c r="BG321" s="2"/>
      <c r="BH321" s="2"/>
      <c r="BI321" s="2"/>
      <c r="BJ321" s="2"/>
      <c r="BK321" s="2"/>
      <c r="BM321" s="2"/>
      <c r="BN321" s="2"/>
      <c r="BO321" s="2"/>
      <c r="BP321" s="2"/>
      <c r="BQ321" s="2"/>
      <c r="BR321" s="6"/>
      <c r="BS321" s="6"/>
      <c r="BT321" s="2"/>
      <c r="BU321" s="2"/>
      <c r="BV321" s="2"/>
      <c r="BW321" s="2"/>
      <c r="BX321" s="2"/>
      <c r="BY321" s="2"/>
      <c r="BZ321" s="2"/>
      <c r="CA321" s="2"/>
      <c r="CB321" s="2"/>
      <c r="CC321" s="2"/>
      <c r="CD321" s="3"/>
      <c r="CE321" s="2"/>
      <c r="CF321" s="4"/>
      <c r="CG321" s="4"/>
      <c r="CI321" s="2"/>
    </row>
    <row r="322" spans="1:87" s="101" customFormat="1" x14ac:dyDescent="0.35">
      <c r="A322" s="1"/>
      <c r="C322" s="1"/>
      <c r="G322" s="2"/>
      <c r="H322" s="2"/>
      <c r="I322" s="2"/>
      <c r="J322" s="2"/>
      <c r="K322" s="81"/>
      <c r="L322" s="4"/>
      <c r="M322" s="4"/>
      <c r="N322" s="4"/>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3"/>
      <c r="AP322" s="2"/>
      <c r="AQ322" s="2"/>
      <c r="AR322" s="2"/>
      <c r="AS322" s="2"/>
      <c r="AT322" s="2"/>
      <c r="AU322" s="2"/>
      <c r="AV322" s="2"/>
      <c r="AW322" s="2"/>
      <c r="AX322" s="2"/>
      <c r="AY322" s="2"/>
      <c r="AZ322" s="5"/>
      <c r="BA322" s="2"/>
      <c r="BD322" s="2"/>
      <c r="BE322" s="2"/>
      <c r="BF322" s="2"/>
      <c r="BG322" s="2"/>
      <c r="BH322" s="2"/>
      <c r="BI322" s="2"/>
      <c r="BJ322" s="2"/>
      <c r="BK322" s="2"/>
      <c r="BM322" s="2"/>
      <c r="BN322" s="2"/>
      <c r="BO322" s="2"/>
      <c r="BP322" s="2"/>
      <c r="BQ322" s="2"/>
      <c r="BR322" s="6"/>
      <c r="BS322" s="6"/>
      <c r="BT322" s="2"/>
      <c r="BU322" s="2"/>
      <c r="BV322" s="2"/>
      <c r="BW322" s="2"/>
      <c r="BX322" s="2"/>
      <c r="BY322" s="2"/>
      <c r="BZ322" s="2"/>
      <c r="CA322" s="2"/>
      <c r="CB322" s="2"/>
      <c r="CC322" s="2"/>
      <c r="CD322" s="3"/>
      <c r="CE322" s="2"/>
      <c r="CF322" s="4"/>
      <c r="CG322" s="4"/>
      <c r="CI322" s="2"/>
    </row>
    <row r="323" spans="1:87" s="101" customFormat="1" x14ac:dyDescent="0.35">
      <c r="A323" s="1"/>
      <c r="C323" s="1"/>
      <c r="G323" s="2"/>
      <c r="H323" s="2"/>
      <c r="I323" s="2"/>
      <c r="J323" s="2"/>
      <c r="K323" s="81"/>
      <c r="L323" s="4"/>
      <c r="M323" s="4"/>
      <c r="N323" s="4"/>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3"/>
      <c r="AP323" s="2"/>
      <c r="AQ323" s="2"/>
      <c r="AR323" s="2"/>
      <c r="AS323" s="2"/>
      <c r="AT323" s="2"/>
      <c r="AU323" s="2"/>
      <c r="AV323" s="2"/>
      <c r="AW323" s="2"/>
      <c r="AX323" s="2"/>
      <c r="AY323" s="2"/>
      <c r="AZ323" s="5"/>
      <c r="BA323" s="2"/>
      <c r="BD323" s="2"/>
      <c r="BE323" s="2"/>
      <c r="BF323" s="2"/>
      <c r="BG323" s="2"/>
      <c r="BH323" s="2"/>
      <c r="BI323" s="2"/>
      <c r="BJ323" s="2"/>
      <c r="BK323" s="2"/>
      <c r="BM323" s="2"/>
      <c r="BN323" s="2"/>
      <c r="BO323" s="2"/>
      <c r="BP323" s="2"/>
      <c r="BQ323" s="2"/>
      <c r="BR323" s="6"/>
      <c r="BS323" s="6"/>
      <c r="BT323" s="2"/>
      <c r="BU323" s="2"/>
      <c r="BV323" s="2"/>
      <c r="BW323" s="2"/>
      <c r="BX323" s="2"/>
      <c r="BY323" s="2"/>
      <c r="BZ323" s="2"/>
      <c r="CA323" s="2"/>
      <c r="CB323" s="2"/>
      <c r="CC323" s="2"/>
      <c r="CD323" s="3"/>
      <c r="CE323" s="2"/>
      <c r="CF323" s="4"/>
      <c r="CG323" s="4"/>
      <c r="CI323" s="2"/>
    </row>
    <row r="324" spans="1:87" s="101" customFormat="1" x14ac:dyDescent="0.35">
      <c r="A324" s="1"/>
      <c r="C324" s="1"/>
      <c r="G324" s="2"/>
      <c r="H324" s="2"/>
      <c r="I324" s="2"/>
      <c r="J324" s="2"/>
      <c r="K324" s="81"/>
      <c r="L324" s="4"/>
      <c r="M324" s="4"/>
      <c r="N324" s="4"/>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3"/>
      <c r="AP324" s="2"/>
      <c r="AQ324" s="2"/>
      <c r="AR324" s="2"/>
      <c r="AS324" s="2"/>
      <c r="AT324" s="2"/>
      <c r="AU324" s="2"/>
      <c r="AV324" s="2"/>
      <c r="AW324" s="2"/>
      <c r="AX324" s="2"/>
      <c r="AY324" s="2"/>
      <c r="AZ324" s="5"/>
      <c r="BA324" s="2"/>
      <c r="BD324" s="2"/>
      <c r="BE324" s="2"/>
      <c r="BF324" s="2"/>
      <c r="BG324" s="2"/>
      <c r="BH324" s="2"/>
      <c r="BI324" s="2"/>
      <c r="BJ324" s="2"/>
      <c r="BK324" s="2"/>
      <c r="BM324" s="2"/>
      <c r="BN324" s="2"/>
      <c r="BO324" s="2"/>
      <c r="BP324" s="2"/>
      <c r="BQ324" s="2"/>
      <c r="BR324" s="6"/>
      <c r="BS324" s="6"/>
      <c r="BT324" s="2"/>
      <c r="BU324" s="2"/>
      <c r="BV324" s="2"/>
      <c r="BW324" s="2"/>
      <c r="BX324" s="2"/>
      <c r="BY324" s="2"/>
      <c r="BZ324" s="2"/>
      <c r="CA324" s="2"/>
      <c r="CB324" s="2"/>
      <c r="CC324" s="2"/>
      <c r="CD324" s="3"/>
      <c r="CE324" s="2"/>
      <c r="CF324" s="4"/>
      <c r="CG324" s="4"/>
      <c r="CI324" s="2"/>
    </row>
    <row r="325" spans="1:87" s="101" customFormat="1" x14ac:dyDescent="0.35">
      <c r="A325" s="1"/>
      <c r="C325" s="1"/>
      <c r="G325" s="2"/>
      <c r="H325" s="2"/>
      <c r="I325" s="2"/>
      <c r="J325" s="2"/>
      <c r="K325" s="81"/>
      <c r="L325" s="4"/>
      <c r="M325" s="4"/>
      <c r="N325" s="4"/>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3"/>
      <c r="AP325" s="2"/>
      <c r="AQ325" s="2"/>
      <c r="AR325" s="2"/>
      <c r="AS325" s="2"/>
      <c r="AT325" s="2"/>
      <c r="AU325" s="2"/>
      <c r="AV325" s="2"/>
      <c r="AW325" s="2"/>
      <c r="AX325" s="2"/>
      <c r="AY325" s="2"/>
      <c r="AZ325" s="5"/>
      <c r="BA325" s="2"/>
      <c r="BD325" s="2"/>
      <c r="BE325" s="2"/>
      <c r="BF325" s="2"/>
      <c r="BG325" s="2"/>
      <c r="BH325" s="2"/>
      <c r="BI325" s="2"/>
      <c r="BJ325" s="2"/>
      <c r="BK325" s="2"/>
      <c r="BM325" s="2"/>
      <c r="BN325" s="2"/>
      <c r="BO325" s="2"/>
      <c r="BP325" s="2"/>
      <c r="BQ325" s="2"/>
      <c r="BR325" s="6"/>
      <c r="BS325" s="6"/>
      <c r="BT325" s="2"/>
      <c r="BU325" s="2"/>
      <c r="BV325" s="2"/>
      <c r="BW325" s="2"/>
      <c r="BX325" s="2"/>
      <c r="BY325" s="2"/>
      <c r="BZ325" s="2"/>
      <c r="CA325" s="2"/>
      <c r="CB325" s="2"/>
      <c r="CC325" s="2"/>
      <c r="CD325" s="3"/>
      <c r="CE325" s="2"/>
      <c r="CF325" s="4"/>
      <c r="CG325" s="4"/>
      <c r="CI325" s="2"/>
    </row>
    <row r="326" spans="1:87" s="101" customFormat="1" x14ac:dyDescent="0.35">
      <c r="A326" s="1"/>
      <c r="C326" s="1"/>
      <c r="G326" s="2"/>
      <c r="H326" s="2"/>
      <c r="I326" s="2"/>
      <c r="J326" s="2"/>
      <c r="K326" s="81"/>
      <c r="L326" s="4"/>
      <c r="M326" s="4"/>
      <c r="N326" s="4"/>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3"/>
      <c r="AP326" s="2"/>
      <c r="AQ326" s="2"/>
      <c r="AR326" s="2"/>
      <c r="AS326" s="2"/>
      <c r="AT326" s="2"/>
      <c r="AU326" s="2"/>
      <c r="AV326" s="2"/>
      <c r="AW326" s="2"/>
      <c r="AX326" s="2"/>
      <c r="AY326" s="2"/>
      <c r="AZ326" s="5"/>
      <c r="BA326" s="2"/>
      <c r="BD326" s="2"/>
      <c r="BE326" s="2"/>
      <c r="BF326" s="2"/>
      <c r="BG326" s="2"/>
      <c r="BH326" s="2"/>
      <c r="BI326" s="2"/>
      <c r="BJ326" s="2"/>
      <c r="BK326" s="2"/>
      <c r="BM326" s="2"/>
      <c r="BN326" s="2"/>
      <c r="BO326" s="2"/>
      <c r="BP326" s="2"/>
      <c r="BQ326" s="2"/>
      <c r="BR326" s="6"/>
      <c r="BS326" s="6"/>
      <c r="BT326" s="2"/>
      <c r="BU326" s="2"/>
      <c r="BV326" s="2"/>
      <c r="BW326" s="2"/>
      <c r="BX326" s="2"/>
      <c r="BY326" s="2"/>
      <c r="BZ326" s="2"/>
      <c r="CA326" s="2"/>
      <c r="CB326" s="2"/>
      <c r="CC326" s="2"/>
      <c r="CD326" s="3"/>
      <c r="CE326" s="2"/>
      <c r="CF326" s="4"/>
      <c r="CG326" s="4"/>
      <c r="CI326" s="2"/>
    </row>
    <row r="327" spans="1:87" s="101" customFormat="1" x14ac:dyDescent="0.35">
      <c r="A327" s="1"/>
      <c r="C327" s="1"/>
      <c r="G327" s="2"/>
      <c r="H327" s="2"/>
      <c r="I327" s="2"/>
      <c r="J327" s="2"/>
      <c r="K327" s="81"/>
      <c r="L327" s="4"/>
      <c r="M327" s="4"/>
      <c r="N327" s="4"/>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3"/>
      <c r="AP327" s="2"/>
      <c r="AQ327" s="2"/>
      <c r="AR327" s="2"/>
      <c r="AS327" s="2"/>
      <c r="AT327" s="2"/>
      <c r="AU327" s="2"/>
      <c r="AV327" s="2"/>
      <c r="AW327" s="2"/>
      <c r="AX327" s="2"/>
      <c r="AY327" s="2"/>
      <c r="AZ327" s="5"/>
      <c r="BA327" s="2"/>
      <c r="BD327" s="2"/>
      <c r="BE327" s="2"/>
      <c r="BF327" s="2"/>
      <c r="BG327" s="2"/>
      <c r="BH327" s="2"/>
      <c r="BI327" s="2"/>
      <c r="BJ327" s="2"/>
      <c r="BK327" s="2"/>
      <c r="BM327" s="2"/>
      <c r="BN327" s="2"/>
      <c r="BO327" s="2"/>
      <c r="BP327" s="2"/>
      <c r="BQ327" s="2"/>
      <c r="BR327" s="6"/>
      <c r="BS327" s="6"/>
      <c r="BT327" s="2"/>
      <c r="BU327" s="2"/>
      <c r="BV327" s="2"/>
      <c r="BW327" s="2"/>
      <c r="BX327" s="2"/>
      <c r="BY327" s="2"/>
      <c r="BZ327" s="2"/>
      <c r="CA327" s="2"/>
      <c r="CB327" s="2"/>
      <c r="CC327" s="2"/>
      <c r="CD327" s="3"/>
      <c r="CE327" s="2"/>
      <c r="CF327" s="4"/>
      <c r="CG327" s="4"/>
      <c r="CI327" s="2"/>
    </row>
    <row r="328" spans="1:87" s="101" customFormat="1" x14ac:dyDescent="0.35">
      <c r="A328" s="1"/>
      <c r="C328" s="1"/>
      <c r="G328" s="2"/>
      <c r="H328" s="2"/>
      <c r="I328" s="2"/>
      <c r="J328" s="2"/>
      <c r="K328" s="81"/>
      <c r="L328" s="4"/>
      <c r="M328" s="4"/>
      <c r="N328" s="4"/>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3"/>
      <c r="AP328" s="2"/>
      <c r="AQ328" s="2"/>
      <c r="AR328" s="2"/>
      <c r="AS328" s="2"/>
      <c r="AT328" s="2"/>
      <c r="AU328" s="2"/>
      <c r="AV328" s="2"/>
      <c r="AW328" s="2"/>
      <c r="AX328" s="2"/>
      <c r="AY328" s="2"/>
      <c r="AZ328" s="5"/>
      <c r="BA328" s="2"/>
      <c r="BD328" s="2"/>
      <c r="BE328" s="2"/>
      <c r="BF328" s="2"/>
      <c r="BG328" s="2"/>
      <c r="BH328" s="2"/>
      <c r="BI328" s="2"/>
      <c r="BJ328" s="2"/>
      <c r="BK328" s="2"/>
      <c r="BM328" s="2"/>
      <c r="BN328" s="2"/>
      <c r="BO328" s="2"/>
      <c r="BP328" s="2"/>
      <c r="BQ328" s="2"/>
      <c r="BR328" s="6"/>
      <c r="BS328" s="6"/>
      <c r="BT328" s="2"/>
      <c r="BU328" s="2"/>
      <c r="BV328" s="2"/>
      <c r="BW328" s="2"/>
      <c r="BX328" s="2"/>
      <c r="BY328" s="2"/>
      <c r="BZ328" s="2"/>
      <c r="CA328" s="2"/>
      <c r="CB328" s="2"/>
      <c r="CC328" s="2"/>
      <c r="CD328" s="3"/>
      <c r="CE328" s="2"/>
      <c r="CF328" s="4"/>
      <c r="CG328" s="4"/>
      <c r="CI328" s="2"/>
    </row>
    <row r="329" spans="1:87" s="101" customFormat="1" x14ac:dyDescent="0.35">
      <c r="A329" s="1"/>
      <c r="C329" s="1"/>
      <c r="G329" s="2"/>
      <c r="H329" s="2"/>
      <c r="I329" s="2"/>
      <c r="J329" s="2"/>
      <c r="K329" s="81"/>
      <c r="L329" s="4"/>
      <c r="M329" s="4"/>
      <c r="N329" s="4"/>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3"/>
      <c r="AP329" s="2"/>
      <c r="AQ329" s="2"/>
      <c r="AR329" s="2"/>
      <c r="AS329" s="2"/>
      <c r="AT329" s="2"/>
      <c r="AU329" s="2"/>
      <c r="AV329" s="2"/>
      <c r="AW329" s="2"/>
      <c r="AX329" s="2"/>
      <c r="AY329" s="2"/>
      <c r="AZ329" s="5"/>
      <c r="BA329" s="2"/>
      <c r="BD329" s="2"/>
      <c r="BE329" s="2"/>
      <c r="BF329" s="2"/>
      <c r="BG329" s="2"/>
      <c r="BH329" s="2"/>
      <c r="BI329" s="2"/>
      <c r="BJ329" s="2"/>
      <c r="BK329" s="2"/>
      <c r="BM329" s="2"/>
      <c r="BN329" s="2"/>
      <c r="BO329" s="2"/>
      <c r="BP329" s="2"/>
      <c r="BQ329" s="2"/>
      <c r="BR329" s="6"/>
      <c r="BS329" s="6"/>
      <c r="BT329" s="2"/>
      <c r="BU329" s="2"/>
      <c r="BV329" s="2"/>
      <c r="BW329" s="2"/>
      <c r="BX329" s="2"/>
      <c r="BY329" s="2"/>
      <c r="BZ329" s="2"/>
      <c r="CA329" s="2"/>
      <c r="CB329" s="2"/>
      <c r="CC329" s="2"/>
      <c r="CD329" s="3"/>
      <c r="CE329" s="2"/>
      <c r="CF329" s="4"/>
      <c r="CG329" s="4"/>
      <c r="CI329" s="2"/>
    </row>
    <row r="330" spans="1:87" s="101" customFormat="1" x14ac:dyDescent="0.35">
      <c r="A330" s="1"/>
      <c r="C330" s="1"/>
      <c r="G330" s="2"/>
      <c r="H330" s="2"/>
      <c r="I330" s="2"/>
      <c r="J330" s="2"/>
      <c r="K330" s="81"/>
      <c r="L330" s="4"/>
      <c r="M330" s="4"/>
      <c r="N330" s="4"/>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3"/>
      <c r="AP330" s="2"/>
      <c r="AQ330" s="2"/>
      <c r="AR330" s="2"/>
      <c r="AS330" s="2"/>
      <c r="AT330" s="2"/>
      <c r="AU330" s="2"/>
      <c r="AV330" s="2"/>
      <c r="AW330" s="2"/>
      <c r="AX330" s="2"/>
      <c r="AY330" s="2"/>
      <c r="AZ330" s="5"/>
      <c r="BA330" s="2"/>
      <c r="BD330" s="2"/>
      <c r="BE330" s="2"/>
      <c r="BF330" s="2"/>
      <c r="BG330" s="2"/>
      <c r="BH330" s="2"/>
      <c r="BI330" s="2"/>
      <c r="BJ330" s="2"/>
      <c r="BK330" s="2"/>
      <c r="BM330" s="2"/>
      <c r="BN330" s="2"/>
      <c r="BO330" s="2"/>
      <c r="BP330" s="2"/>
      <c r="BQ330" s="2"/>
      <c r="BR330" s="6"/>
      <c r="BS330" s="6"/>
      <c r="BT330" s="2"/>
      <c r="BU330" s="2"/>
      <c r="BV330" s="2"/>
      <c r="BW330" s="2"/>
      <c r="BX330" s="2"/>
      <c r="BY330" s="2"/>
      <c r="BZ330" s="2"/>
      <c r="CA330" s="2"/>
      <c r="CB330" s="2"/>
      <c r="CC330" s="2"/>
      <c r="CD330" s="3"/>
      <c r="CE330" s="2"/>
      <c r="CF330" s="4"/>
      <c r="CG330" s="4"/>
      <c r="CI330" s="2"/>
    </row>
    <row r="331" spans="1:87" s="101" customFormat="1" x14ac:dyDescent="0.35">
      <c r="A331" s="1"/>
      <c r="C331" s="1"/>
      <c r="G331" s="2"/>
      <c r="H331" s="2"/>
      <c r="I331" s="2"/>
      <c r="J331" s="2"/>
      <c r="K331" s="81"/>
      <c r="L331" s="4"/>
      <c r="M331" s="4"/>
      <c r="N331" s="4"/>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3"/>
      <c r="AP331" s="2"/>
      <c r="AQ331" s="2"/>
      <c r="AR331" s="2"/>
      <c r="AS331" s="2"/>
      <c r="AT331" s="2"/>
      <c r="AU331" s="2"/>
      <c r="AV331" s="2"/>
      <c r="AW331" s="2"/>
      <c r="AX331" s="2"/>
      <c r="AY331" s="2"/>
      <c r="AZ331" s="5"/>
      <c r="BA331" s="2"/>
      <c r="BD331" s="2"/>
      <c r="BE331" s="2"/>
      <c r="BF331" s="2"/>
      <c r="BG331" s="2"/>
      <c r="BH331" s="2"/>
      <c r="BI331" s="2"/>
      <c r="BJ331" s="2"/>
      <c r="BK331" s="2"/>
      <c r="BM331" s="2"/>
      <c r="BN331" s="2"/>
      <c r="BO331" s="2"/>
      <c r="BP331" s="2"/>
      <c r="BQ331" s="2"/>
      <c r="BR331" s="6"/>
      <c r="BS331" s="6"/>
      <c r="BT331" s="2"/>
      <c r="BU331" s="2"/>
      <c r="BV331" s="2"/>
      <c r="BW331" s="2"/>
      <c r="BX331" s="2"/>
      <c r="BY331" s="2"/>
      <c r="BZ331" s="2"/>
      <c r="CA331" s="2"/>
      <c r="CB331" s="2"/>
      <c r="CC331" s="2"/>
      <c r="CD331" s="3"/>
      <c r="CE331" s="2"/>
      <c r="CF331" s="4"/>
      <c r="CG331" s="4"/>
      <c r="CI331" s="2"/>
    </row>
    <row r="332" spans="1:87" s="101" customFormat="1" x14ac:dyDescent="0.35">
      <c r="A332" s="1"/>
      <c r="C332" s="1"/>
      <c r="G332" s="2"/>
      <c r="H332" s="2"/>
      <c r="I332" s="2"/>
      <c r="J332" s="2"/>
      <c r="K332" s="81"/>
      <c r="L332" s="4"/>
      <c r="M332" s="4"/>
      <c r="N332" s="4"/>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3"/>
      <c r="AP332" s="2"/>
      <c r="AQ332" s="2"/>
      <c r="AR332" s="2"/>
      <c r="AS332" s="2"/>
      <c r="AT332" s="2"/>
      <c r="AU332" s="2"/>
      <c r="AV332" s="2"/>
      <c r="AW332" s="2"/>
      <c r="AX332" s="2"/>
      <c r="AY332" s="2"/>
      <c r="AZ332" s="5"/>
      <c r="BA332" s="2"/>
      <c r="BD332" s="2"/>
      <c r="BE332" s="2"/>
      <c r="BF332" s="2"/>
      <c r="BG332" s="2"/>
      <c r="BH332" s="2"/>
      <c r="BI332" s="2"/>
      <c r="BJ332" s="2"/>
      <c r="BK332" s="2"/>
      <c r="BM332" s="2"/>
      <c r="BN332" s="2"/>
      <c r="BO332" s="2"/>
      <c r="BP332" s="2"/>
      <c r="BQ332" s="2"/>
      <c r="BR332" s="6"/>
      <c r="BS332" s="6"/>
      <c r="BT332" s="2"/>
      <c r="BU332" s="2"/>
      <c r="BV332" s="2"/>
      <c r="BW332" s="2"/>
      <c r="BX332" s="2"/>
      <c r="BY332" s="2"/>
      <c r="BZ332" s="2"/>
      <c r="CA332" s="2"/>
      <c r="CB332" s="2"/>
      <c r="CC332" s="2"/>
      <c r="CD332" s="3"/>
      <c r="CE332" s="2"/>
      <c r="CF332" s="4"/>
      <c r="CG332" s="4"/>
      <c r="CI332" s="2"/>
    </row>
    <row r="333" spans="1:87" s="101" customFormat="1" x14ac:dyDescent="0.35">
      <c r="A333" s="1"/>
      <c r="C333" s="1"/>
      <c r="G333" s="2"/>
      <c r="H333" s="2"/>
      <c r="I333" s="2"/>
      <c r="J333" s="2"/>
      <c r="K333" s="81"/>
      <c r="L333" s="4"/>
      <c r="M333" s="4"/>
      <c r="N333" s="4"/>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3"/>
      <c r="AP333" s="2"/>
      <c r="AQ333" s="2"/>
      <c r="AR333" s="2"/>
      <c r="AS333" s="2"/>
      <c r="AT333" s="2"/>
      <c r="AU333" s="2"/>
      <c r="AV333" s="2"/>
      <c r="AW333" s="2"/>
      <c r="AX333" s="2"/>
      <c r="AY333" s="2"/>
      <c r="AZ333" s="5"/>
      <c r="BA333" s="2"/>
      <c r="BD333" s="2"/>
      <c r="BE333" s="2"/>
      <c r="BF333" s="2"/>
      <c r="BG333" s="2"/>
      <c r="BH333" s="2"/>
      <c r="BI333" s="2"/>
      <c r="BJ333" s="2"/>
      <c r="BK333" s="2"/>
      <c r="BM333" s="2"/>
      <c r="BN333" s="2"/>
      <c r="BO333" s="2"/>
      <c r="BP333" s="2"/>
      <c r="BQ333" s="2"/>
      <c r="BR333" s="6"/>
      <c r="BS333" s="6"/>
      <c r="BT333" s="2"/>
      <c r="BU333" s="2"/>
      <c r="BV333" s="2"/>
      <c r="BW333" s="2"/>
      <c r="BX333" s="2"/>
      <c r="BY333" s="2"/>
      <c r="BZ333" s="2"/>
      <c r="CA333" s="2"/>
      <c r="CB333" s="2"/>
      <c r="CC333" s="2"/>
      <c r="CD333" s="3"/>
      <c r="CE333" s="2"/>
      <c r="CF333" s="4"/>
      <c r="CG333" s="4"/>
      <c r="CI333" s="2"/>
    </row>
    <row r="334" spans="1:87" s="101" customFormat="1" x14ac:dyDescent="0.35">
      <c r="A334" s="1"/>
      <c r="C334" s="1"/>
      <c r="G334" s="2"/>
      <c r="H334" s="2"/>
      <c r="I334" s="2"/>
      <c r="J334" s="2"/>
      <c r="K334" s="81"/>
      <c r="L334" s="4"/>
      <c r="M334" s="4"/>
      <c r="N334" s="4"/>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3"/>
      <c r="AP334" s="2"/>
      <c r="AQ334" s="2"/>
      <c r="AR334" s="2"/>
      <c r="AS334" s="2"/>
      <c r="AT334" s="2"/>
      <c r="AU334" s="2"/>
      <c r="AV334" s="2"/>
      <c r="AW334" s="2"/>
      <c r="AX334" s="2"/>
      <c r="AY334" s="2"/>
      <c r="AZ334" s="5"/>
      <c r="BA334" s="2"/>
      <c r="BD334" s="2"/>
      <c r="BE334" s="2"/>
      <c r="BF334" s="2"/>
      <c r="BG334" s="2"/>
      <c r="BH334" s="2"/>
      <c r="BI334" s="2"/>
      <c r="BJ334" s="2"/>
      <c r="BK334" s="2"/>
      <c r="BM334" s="2"/>
      <c r="BN334" s="2"/>
      <c r="BO334" s="2"/>
      <c r="BP334" s="2"/>
      <c r="BQ334" s="2"/>
      <c r="BR334" s="6"/>
      <c r="BS334" s="6"/>
      <c r="BT334" s="2"/>
      <c r="BU334" s="2"/>
      <c r="BV334" s="2"/>
      <c r="BW334" s="2"/>
      <c r="BX334" s="2"/>
      <c r="BY334" s="2"/>
      <c r="BZ334" s="2"/>
      <c r="CA334" s="2"/>
      <c r="CB334" s="2"/>
      <c r="CC334" s="2"/>
      <c r="CD334" s="3"/>
      <c r="CE334" s="2"/>
      <c r="CF334" s="4"/>
      <c r="CG334" s="4"/>
      <c r="CI334" s="2"/>
    </row>
    <row r="335" spans="1:87" s="101" customFormat="1" x14ac:dyDescent="0.35">
      <c r="A335" s="1"/>
      <c r="C335" s="1"/>
      <c r="G335" s="2"/>
      <c r="H335" s="2"/>
      <c r="I335" s="2"/>
      <c r="J335" s="2"/>
      <c r="K335" s="81"/>
      <c r="L335" s="4"/>
      <c r="M335" s="4"/>
      <c r="N335" s="4"/>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3"/>
      <c r="AP335" s="2"/>
      <c r="AQ335" s="2"/>
      <c r="AR335" s="2"/>
      <c r="AS335" s="2"/>
      <c r="AT335" s="2"/>
      <c r="AU335" s="2"/>
      <c r="AV335" s="2"/>
      <c r="AW335" s="2"/>
      <c r="AX335" s="2"/>
      <c r="AY335" s="2"/>
      <c r="AZ335" s="5"/>
      <c r="BA335" s="2"/>
      <c r="BD335" s="2"/>
      <c r="BE335" s="2"/>
      <c r="BF335" s="2"/>
      <c r="BG335" s="2"/>
      <c r="BH335" s="2"/>
      <c r="BI335" s="2"/>
      <c r="BJ335" s="2"/>
      <c r="BK335" s="2"/>
      <c r="BM335" s="2"/>
      <c r="BN335" s="2"/>
      <c r="BO335" s="2"/>
      <c r="BP335" s="2"/>
      <c r="BQ335" s="2"/>
      <c r="BR335" s="6"/>
      <c r="BS335" s="6"/>
      <c r="BT335" s="2"/>
      <c r="BU335" s="2"/>
      <c r="BV335" s="2"/>
      <c r="BW335" s="2"/>
      <c r="BX335" s="2"/>
      <c r="BY335" s="2"/>
      <c r="BZ335" s="2"/>
      <c r="CA335" s="2"/>
      <c r="CB335" s="2"/>
      <c r="CC335" s="2"/>
      <c r="CD335" s="3"/>
      <c r="CE335" s="2"/>
      <c r="CF335" s="4"/>
      <c r="CG335" s="4"/>
      <c r="CI335" s="2"/>
    </row>
    <row r="336" spans="1:87" s="101" customFormat="1" x14ac:dyDescent="0.35">
      <c r="A336" s="1"/>
      <c r="C336" s="1"/>
      <c r="G336" s="2"/>
      <c r="H336" s="2"/>
      <c r="I336" s="2"/>
      <c r="J336" s="2"/>
      <c r="K336" s="81"/>
      <c r="L336" s="4"/>
      <c r="M336" s="4"/>
      <c r="N336" s="4"/>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3"/>
      <c r="AP336" s="2"/>
      <c r="AQ336" s="2"/>
      <c r="AR336" s="2"/>
      <c r="AS336" s="2"/>
      <c r="AT336" s="2"/>
      <c r="AU336" s="2"/>
      <c r="AV336" s="2"/>
      <c r="AW336" s="2"/>
      <c r="AX336" s="2"/>
      <c r="AY336" s="2"/>
      <c r="AZ336" s="5"/>
      <c r="BA336" s="2"/>
      <c r="BD336" s="2"/>
      <c r="BE336" s="2"/>
      <c r="BF336" s="2"/>
      <c r="BG336" s="2"/>
      <c r="BH336" s="2"/>
      <c r="BI336" s="2"/>
      <c r="BJ336" s="2"/>
      <c r="BK336" s="2"/>
      <c r="BM336" s="2"/>
      <c r="BN336" s="2"/>
      <c r="BO336" s="2"/>
      <c r="BP336" s="2"/>
      <c r="BQ336" s="2"/>
      <c r="BR336" s="6"/>
      <c r="BS336" s="6"/>
      <c r="BT336" s="2"/>
      <c r="BU336" s="2"/>
      <c r="BV336" s="2"/>
      <c r="BW336" s="2"/>
      <c r="BX336" s="2"/>
      <c r="BY336" s="2"/>
      <c r="BZ336" s="2"/>
      <c r="CA336" s="2"/>
      <c r="CB336" s="2"/>
      <c r="CC336" s="2"/>
      <c r="CD336" s="3"/>
      <c r="CE336" s="2"/>
      <c r="CF336" s="4"/>
      <c r="CG336" s="4"/>
      <c r="CI336" s="2"/>
    </row>
    <row r="337" spans="1:87" s="101" customFormat="1" x14ac:dyDescent="0.35">
      <c r="A337" s="1"/>
      <c r="C337" s="1"/>
      <c r="G337" s="2"/>
      <c r="H337" s="2"/>
      <c r="I337" s="2"/>
      <c r="J337" s="2"/>
      <c r="K337" s="81"/>
      <c r="L337" s="4"/>
      <c r="M337" s="4"/>
      <c r="N337" s="4"/>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3"/>
      <c r="AP337" s="2"/>
      <c r="AQ337" s="2"/>
      <c r="AR337" s="2"/>
      <c r="AS337" s="2"/>
      <c r="AT337" s="2"/>
      <c r="AU337" s="2"/>
      <c r="AV337" s="2"/>
      <c r="AW337" s="2"/>
      <c r="AX337" s="2"/>
      <c r="AY337" s="2"/>
      <c r="AZ337" s="5"/>
      <c r="BA337" s="2"/>
      <c r="BD337" s="2"/>
      <c r="BE337" s="2"/>
      <c r="BF337" s="2"/>
      <c r="BG337" s="2"/>
      <c r="BH337" s="2"/>
      <c r="BI337" s="2"/>
      <c r="BJ337" s="2"/>
      <c r="BK337" s="2"/>
      <c r="BM337" s="2"/>
      <c r="BN337" s="2"/>
      <c r="BO337" s="2"/>
      <c r="BP337" s="2"/>
      <c r="BQ337" s="2"/>
      <c r="BR337" s="6"/>
      <c r="BS337" s="6"/>
      <c r="BT337" s="2"/>
      <c r="BU337" s="2"/>
      <c r="BV337" s="2"/>
      <c r="BW337" s="2"/>
      <c r="BX337" s="2"/>
      <c r="BY337" s="2"/>
      <c r="BZ337" s="2"/>
      <c r="CA337" s="2"/>
      <c r="CB337" s="2"/>
      <c r="CC337" s="2"/>
      <c r="CD337" s="3"/>
      <c r="CE337" s="2"/>
      <c r="CF337" s="4"/>
      <c r="CG337" s="4"/>
      <c r="CI337" s="2"/>
    </row>
    <row r="338" spans="1:87" s="101" customFormat="1" x14ac:dyDescent="0.35">
      <c r="A338" s="1"/>
      <c r="C338" s="1"/>
      <c r="G338" s="2"/>
      <c r="H338" s="2"/>
      <c r="I338" s="2"/>
      <c r="J338" s="2"/>
      <c r="K338" s="81"/>
      <c r="L338" s="4"/>
      <c r="M338" s="4"/>
      <c r="N338" s="4"/>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3"/>
      <c r="AP338" s="2"/>
      <c r="AQ338" s="2"/>
      <c r="AR338" s="2"/>
      <c r="AS338" s="2"/>
      <c r="AT338" s="2"/>
      <c r="AU338" s="2"/>
      <c r="AV338" s="2"/>
      <c r="AW338" s="2"/>
      <c r="AX338" s="2"/>
      <c r="AY338" s="2"/>
      <c r="AZ338" s="5"/>
      <c r="BA338" s="2"/>
      <c r="BD338" s="2"/>
      <c r="BE338" s="2"/>
      <c r="BF338" s="2"/>
      <c r="BG338" s="2"/>
      <c r="BH338" s="2"/>
      <c r="BI338" s="2"/>
      <c r="BJ338" s="2"/>
      <c r="BK338" s="2"/>
      <c r="BM338" s="2"/>
      <c r="BN338" s="2"/>
      <c r="BO338" s="2"/>
      <c r="BP338" s="2"/>
      <c r="BQ338" s="2"/>
      <c r="BR338" s="6"/>
      <c r="BS338" s="6"/>
      <c r="BT338" s="2"/>
      <c r="BU338" s="2"/>
      <c r="BV338" s="2"/>
      <c r="BW338" s="2"/>
      <c r="BX338" s="2"/>
      <c r="BY338" s="2"/>
      <c r="BZ338" s="2"/>
      <c r="CA338" s="2"/>
      <c r="CB338" s="2"/>
      <c r="CC338" s="2"/>
      <c r="CD338" s="3"/>
      <c r="CE338" s="2"/>
      <c r="CF338" s="4"/>
      <c r="CG338" s="4"/>
      <c r="CI338" s="2"/>
    </row>
    <row r="339" spans="1:87" s="101" customFormat="1" x14ac:dyDescent="0.35">
      <c r="A339" s="1"/>
      <c r="C339" s="1"/>
      <c r="G339" s="2"/>
      <c r="H339" s="2"/>
      <c r="I339" s="2"/>
      <c r="J339" s="2"/>
      <c r="K339" s="81"/>
      <c r="L339" s="4"/>
      <c r="M339" s="4"/>
      <c r="N339" s="4"/>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3"/>
      <c r="AP339" s="2"/>
      <c r="AQ339" s="2"/>
      <c r="AR339" s="2"/>
      <c r="AS339" s="2"/>
      <c r="AT339" s="2"/>
      <c r="AU339" s="2"/>
      <c r="AV339" s="2"/>
      <c r="AW339" s="2"/>
      <c r="AX339" s="2"/>
      <c r="AY339" s="2"/>
      <c r="AZ339" s="5"/>
      <c r="BA339" s="2"/>
      <c r="BD339" s="2"/>
      <c r="BE339" s="2"/>
      <c r="BF339" s="2"/>
      <c r="BG339" s="2"/>
      <c r="BH339" s="2"/>
      <c r="BI339" s="2"/>
      <c r="BJ339" s="2"/>
      <c r="BK339" s="2"/>
      <c r="BM339" s="2"/>
      <c r="BN339" s="2"/>
      <c r="BO339" s="2"/>
      <c r="BP339" s="2"/>
      <c r="BQ339" s="2"/>
      <c r="BR339" s="6"/>
      <c r="BS339" s="6"/>
      <c r="BT339" s="2"/>
      <c r="BU339" s="2"/>
      <c r="BV339" s="2"/>
      <c r="BW339" s="2"/>
      <c r="BX339" s="2"/>
      <c r="BY339" s="2"/>
      <c r="BZ339" s="2"/>
      <c r="CA339" s="2"/>
      <c r="CB339" s="2"/>
      <c r="CC339" s="2"/>
      <c r="CD339" s="3"/>
      <c r="CE339" s="2"/>
      <c r="CF339" s="4"/>
      <c r="CG339" s="4"/>
      <c r="CI339" s="2"/>
    </row>
    <row r="340" spans="1:87" s="101" customFormat="1" x14ac:dyDescent="0.35">
      <c r="A340" s="1"/>
      <c r="C340" s="1"/>
      <c r="G340" s="2"/>
      <c r="H340" s="2"/>
      <c r="I340" s="2"/>
      <c r="J340" s="2"/>
      <c r="K340" s="81"/>
      <c r="L340" s="4"/>
      <c r="M340" s="4"/>
      <c r="N340" s="4"/>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3"/>
      <c r="AP340" s="2"/>
      <c r="AQ340" s="2"/>
      <c r="AR340" s="2"/>
      <c r="AS340" s="2"/>
      <c r="AT340" s="2"/>
      <c r="AU340" s="2"/>
      <c r="AV340" s="2"/>
      <c r="AW340" s="2"/>
      <c r="AX340" s="2"/>
      <c r="AY340" s="2"/>
      <c r="AZ340" s="5"/>
      <c r="BA340" s="2"/>
      <c r="BD340" s="2"/>
      <c r="BE340" s="2"/>
      <c r="BF340" s="2"/>
      <c r="BG340" s="2"/>
      <c r="BH340" s="2"/>
      <c r="BI340" s="2"/>
      <c r="BJ340" s="2"/>
      <c r="BK340" s="2"/>
      <c r="BM340" s="2"/>
      <c r="BN340" s="2"/>
      <c r="BO340" s="2"/>
      <c r="BP340" s="2"/>
      <c r="BQ340" s="2"/>
      <c r="BR340" s="6"/>
      <c r="BS340" s="6"/>
      <c r="BT340" s="2"/>
      <c r="BU340" s="2"/>
      <c r="BV340" s="2"/>
      <c r="BW340" s="2"/>
      <c r="BX340" s="2"/>
      <c r="BY340" s="2"/>
      <c r="BZ340" s="2"/>
      <c r="CA340" s="2"/>
      <c r="CB340" s="2"/>
      <c r="CC340" s="2"/>
      <c r="CD340" s="3"/>
      <c r="CE340" s="2"/>
      <c r="CF340" s="4"/>
      <c r="CG340" s="4"/>
      <c r="CI340" s="2"/>
    </row>
    <row r="341" spans="1:87" s="101" customFormat="1" x14ac:dyDescent="0.35">
      <c r="A341" s="1"/>
      <c r="C341" s="1"/>
      <c r="G341" s="2"/>
      <c r="H341" s="2"/>
      <c r="I341" s="2"/>
      <c r="J341" s="2"/>
      <c r="K341" s="81"/>
      <c r="L341" s="4"/>
      <c r="M341" s="4"/>
      <c r="N341" s="4"/>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3"/>
      <c r="AP341" s="2"/>
      <c r="AQ341" s="2"/>
      <c r="AR341" s="2"/>
      <c r="AS341" s="2"/>
      <c r="AT341" s="2"/>
      <c r="AU341" s="2"/>
      <c r="AV341" s="2"/>
      <c r="AW341" s="2"/>
      <c r="AX341" s="2"/>
      <c r="AY341" s="2"/>
      <c r="AZ341" s="5"/>
      <c r="BA341" s="2"/>
      <c r="BD341" s="2"/>
      <c r="BE341" s="2"/>
      <c r="BF341" s="2"/>
      <c r="BG341" s="2"/>
      <c r="BH341" s="2"/>
      <c r="BI341" s="2"/>
      <c r="BJ341" s="2"/>
      <c r="BK341" s="2"/>
      <c r="BM341" s="2"/>
      <c r="BN341" s="2"/>
      <c r="BO341" s="2"/>
      <c r="BP341" s="2"/>
      <c r="BQ341" s="2"/>
      <c r="BR341" s="6"/>
      <c r="BS341" s="6"/>
      <c r="BT341" s="2"/>
      <c r="BU341" s="2"/>
      <c r="BV341" s="2"/>
      <c r="BW341" s="2"/>
      <c r="BX341" s="2"/>
      <c r="BY341" s="2"/>
      <c r="BZ341" s="2"/>
      <c r="CA341" s="2"/>
      <c r="CB341" s="2"/>
      <c r="CC341" s="2"/>
      <c r="CD341" s="3"/>
      <c r="CE341" s="2"/>
      <c r="CF341" s="4"/>
      <c r="CG341" s="4"/>
      <c r="CI341" s="2"/>
    </row>
    <row r="342" spans="1:87" s="101" customFormat="1" x14ac:dyDescent="0.35">
      <c r="A342" s="1"/>
      <c r="C342" s="1"/>
      <c r="G342" s="2"/>
      <c r="H342" s="2"/>
      <c r="I342" s="2"/>
      <c r="J342" s="2"/>
      <c r="K342" s="81"/>
      <c r="L342" s="4"/>
      <c r="M342" s="4"/>
      <c r="N342" s="4"/>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3"/>
      <c r="AP342" s="2"/>
      <c r="AQ342" s="2"/>
      <c r="AR342" s="2"/>
      <c r="AS342" s="2"/>
      <c r="AT342" s="2"/>
      <c r="AU342" s="2"/>
      <c r="AV342" s="2"/>
      <c r="AW342" s="2"/>
      <c r="AX342" s="2"/>
      <c r="AY342" s="2"/>
      <c r="AZ342" s="5"/>
      <c r="BA342" s="2"/>
      <c r="BD342" s="2"/>
      <c r="BE342" s="2"/>
      <c r="BF342" s="2"/>
      <c r="BG342" s="2"/>
      <c r="BH342" s="2"/>
      <c r="BI342" s="2"/>
      <c r="BJ342" s="2"/>
      <c r="BK342" s="2"/>
      <c r="BM342" s="2"/>
      <c r="BN342" s="2"/>
      <c r="BO342" s="2"/>
      <c r="BP342" s="2"/>
      <c r="BQ342" s="2"/>
      <c r="BR342" s="6"/>
      <c r="BS342" s="6"/>
      <c r="BT342" s="2"/>
      <c r="BU342" s="2"/>
      <c r="BV342" s="2"/>
      <c r="BW342" s="2"/>
      <c r="BX342" s="2"/>
      <c r="BY342" s="2"/>
      <c r="BZ342" s="2"/>
      <c r="CA342" s="2"/>
      <c r="CB342" s="2"/>
      <c r="CC342" s="2"/>
      <c r="CD342" s="3"/>
      <c r="CE342" s="2"/>
      <c r="CF342" s="4"/>
      <c r="CG342" s="4"/>
      <c r="CI342" s="2"/>
    </row>
    <row r="343" spans="1:87" s="101" customFormat="1" x14ac:dyDescent="0.35">
      <c r="A343" s="1"/>
      <c r="C343" s="1"/>
      <c r="G343" s="2"/>
      <c r="H343" s="2"/>
      <c r="I343" s="2"/>
      <c r="J343" s="2"/>
      <c r="K343" s="81"/>
      <c r="L343" s="4"/>
      <c r="M343" s="4"/>
      <c r="N343" s="4"/>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3"/>
      <c r="AP343" s="2"/>
      <c r="AQ343" s="2"/>
      <c r="AR343" s="2"/>
      <c r="AS343" s="2"/>
      <c r="AT343" s="2"/>
      <c r="AU343" s="2"/>
      <c r="AV343" s="2"/>
      <c r="AW343" s="2"/>
      <c r="AX343" s="2"/>
      <c r="AY343" s="2"/>
      <c r="AZ343" s="5"/>
      <c r="BA343" s="2"/>
      <c r="BD343" s="2"/>
      <c r="BE343" s="2"/>
      <c r="BF343" s="2"/>
      <c r="BG343" s="2"/>
      <c r="BH343" s="2"/>
      <c r="BI343" s="2"/>
      <c r="BJ343" s="2"/>
      <c r="BK343" s="2"/>
      <c r="BM343" s="2"/>
      <c r="BN343" s="2"/>
      <c r="BO343" s="2"/>
      <c r="BP343" s="2"/>
      <c r="BQ343" s="2"/>
      <c r="BR343" s="6"/>
      <c r="BS343" s="6"/>
      <c r="BT343" s="2"/>
      <c r="BU343" s="2"/>
      <c r="BV343" s="2"/>
      <c r="BW343" s="2"/>
      <c r="BX343" s="2"/>
      <c r="BY343" s="2"/>
      <c r="BZ343" s="2"/>
      <c r="CA343" s="2"/>
      <c r="CB343" s="2"/>
      <c r="CC343" s="2"/>
      <c r="CD343" s="3"/>
      <c r="CE343" s="2"/>
      <c r="CF343" s="4"/>
      <c r="CG343" s="4"/>
      <c r="CI343" s="2"/>
    </row>
    <row r="344" spans="1:87" s="101" customFormat="1" x14ac:dyDescent="0.35">
      <c r="A344" s="1"/>
      <c r="C344" s="1"/>
      <c r="G344" s="2"/>
      <c r="H344" s="2"/>
      <c r="I344" s="2"/>
      <c r="J344" s="2"/>
      <c r="K344" s="81"/>
      <c r="L344" s="4"/>
      <c r="M344" s="4"/>
      <c r="N344" s="4"/>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3"/>
      <c r="AP344" s="2"/>
      <c r="AQ344" s="2"/>
      <c r="AR344" s="2"/>
      <c r="AS344" s="2"/>
      <c r="AT344" s="2"/>
      <c r="AU344" s="2"/>
      <c r="AV344" s="2"/>
      <c r="AW344" s="2"/>
      <c r="AX344" s="2"/>
      <c r="AY344" s="2"/>
      <c r="AZ344" s="5"/>
      <c r="BA344" s="2"/>
      <c r="BD344" s="2"/>
      <c r="BE344" s="2"/>
      <c r="BF344" s="2"/>
      <c r="BG344" s="2"/>
      <c r="BH344" s="2"/>
      <c r="BI344" s="2"/>
      <c r="BJ344" s="2"/>
      <c r="BK344" s="2"/>
      <c r="BM344" s="2"/>
      <c r="BN344" s="2"/>
      <c r="BO344" s="2"/>
      <c r="BP344" s="2"/>
      <c r="BQ344" s="2"/>
      <c r="BR344" s="6"/>
      <c r="BS344" s="6"/>
      <c r="BT344" s="2"/>
      <c r="BU344" s="2"/>
      <c r="BV344" s="2"/>
      <c r="BW344" s="2"/>
      <c r="BX344" s="2"/>
      <c r="BY344" s="2"/>
      <c r="BZ344" s="2"/>
      <c r="CA344" s="2"/>
      <c r="CB344" s="2"/>
      <c r="CC344" s="2"/>
      <c r="CD344" s="3"/>
      <c r="CE344" s="2"/>
      <c r="CF344" s="4"/>
      <c r="CG344" s="4"/>
      <c r="CI344" s="2"/>
    </row>
    <row r="345" spans="1:87" s="101" customFormat="1" x14ac:dyDescent="0.35">
      <c r="A345" s="1"/>
      <c r="C345" s="1"/>
      <c r="G345" s="2"/>
      <c r="H345" s="2"/>
      <c r="I345" s="2"/>
      <c r="J345" s="2"/>
      <c r="K345" s="81"/>
      <c r="L345" s="4"/>
      <c r="M345" s="4"/>
      <c r="N345" s="4"/>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3"/>
      <c r="AP345" s="2"/>
      <c r="AQ345" s="2"/>
      <c r="AR345" s="2"/>
      <c r="AS345" s="2"/>
      <c r="AT345" s="2"/>
      <c r="AU345" s="2"/>
      <c r="AV345" s="2"/>
      <c r="AW345" s="2"/>
      <c r="AX345" s="2"/>
      <c r="AY345" s="2"/>
      <c r="AZ345" s="5"/>
      <c r="BA345" s="2"/>
      <c r="BD345" s="2"/>
      <c r="BE345" s="2"/>
      <c r="BF345" s="2"/>
      <c r="BG345" s="2"/>
      <c r="BH345" s="2"/>
      <c r="BI345" s="2"/>
      <c r="BJ345" s="2"/>
      <c r="BK345" s="2"/>
      <c r="BM345" s="2"/>
      <c r="BN345" s="2"/>
      <c r="BO345" s="2"/>
      <c r="BP345" s="2"/>
      <c r="BQ345" s="2"/>
      <c r="BR345" s="6"/>
      <c r="BS345" s="6"/>
      <c r="BT345" s="2"/>
      <c r="BU345" s="2"/>
      <c r="BV345" s="2"/>
      <c r="BW345" s="2"/>
      <c r="BX345" s="2"/>
      <c r="BY345" s="2"/>
      <c r="BZ345" s="2"/>
      <c r="CA345" s="2"/>
      <c r="CB345" s="2"/>
      <c r="CC345" s="2"/>
      <c r="CD345" s="3"/>
      <c r="CE345" s="2"/>
      <c r="CF345" s="4"/>
      <c r="CG345" s="4"/>
      <c r="CI345" s="2"/>
    </row>
    <row r="346" spans="1:87" s="101" customFormat="1" x14ac:dyDescent="0.35">
      <c r="A346" s="1"/>
      <c r="C346" s="1"/>
      <c r="G346" s="2"/>
      <c r="H346" s="2"/>
      <c r="I346" s="2"/>
      <c r="J346" s="2"/>
      <c r="K346" s="81"/>
      <c r="L346" s="4"/>
      <c r="M346" s="4"/>
      <c r="N346" s="4"/>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3"/>
      <c r="AP346" s="2"/>
      <c r="AQ346" s="2"/>
      <c r="AR346" s="2"/>
      <c r="AS346" s="2"/>
      <c r="AT346" s="2"/>
      <c r="AU346" s="2"/>
      <c r="AV346" s="2"/>
      <c r="AW346" s="2"/>
      <c r="AX346" s="2"/>
      <c r="AY346" s="2"/>
      <c r="AZ346" s="5"/>
      <c r="BA346" s="2"/>
      <c r="BD346" s="2"/>
      <c r="BE346" s="2"/>
      <c r="BF346" s="2"/>
      <c r="BG346" s="2"/>
      <c r="BH346" s="2"/>
      <c r="BI346" s="2"/>
      <c r="BJ346" s="2"/>
      <c r="BK346" s="2"/>
      <c r="BM346" s="2"/>
      <c r="BN346" s="2"/>
      <c r="BO346" s="2"/>
      <c r="BP346" s="2"/>
      <c r="BQ346" s="2"/>
      <c r="BR346" s="6"/>
      <c r="BS346" s="6"/>
      <c r="BT346" s="2"/>
      <c r="BU346" s="2"/>
      <c r="BV346" s="2"/>
      <c r="BW346" s="2"/>
      <c r="BX346" s="2"/>
      <c r="BY346" s="2"/>
      <c r="BZ346" s="2"/>
      <c r="CA346" s="2"/>
      <c r="CB346" s="2"/>
      <c r="CC346" s="2"/>
      <c r="CD346" s="3"/>
      <c r="CE346" s="2"/>
      <c r="CF346" s="4"/>
      <c r="CG346" s="4"/>
      <c r="CI346" s="2"/>
    </row>
    <row r="347" spans="1:87" s="101" customFormat="1" x14ac:dyDescent="0.35">
      <c r="A347" s="1"/>
      <c r="C347" s="1"/>
      <c r="G347" s="2"/>
      <c r="H347" s="2"/>
      <c r="I347" s="2"/>
      <c r="J347" s="2"/>
      <c r="K347" s="81"/>
      <c r="L347" s="4"/>
      <c r="M347" s="4"/>
      <c r="N347" s="4"/>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3"/>
      <c r="AP347" s="2"/>
      <c r="AQ347" s="2"/>
      <c r="AR347" s="2"/>
      <c r="AS347" s="2"/>
      <c r="AT347" s="2"/>
      <c r="AU347" s="2"/>
      <c r="AV347" s="2"/>
      <c r="AW347" s="2"/>
      <c r="AX347" s="2"/>
      <c r="AY347" s="2"/>
      <c r="AZ347" s="5"/>
      <c r="BA347" s="2"/>
      <c r="BD347" s="2"/>
      <c r="BE347" s="2"/>
      <c r="BF347" s="2"/>
      <c r="BG347" s="2"/>
      <c r="BH347" s="2"/>
      <c r="BI347" s="2"/>
      <c r="BJ347" s="2"/>
      <c r="BK347" s="2"/>
      <c r="BM347" s="2"/>
      <c r="BN347" s="2"/>
      <c r="BO347" s="2"/>
      <c r="BP347" s="2"/>
      <c r="BQ347" s="2"/>
      <c r="BR347" s="6"/>
      <c r="BS347" s="6"/>
      <c r="BT347" s="2"/>
      <c r="BU347" s="2"/>
      <c r="BV347" s="2"/>
      <c r="BW347" s="2"/>
      <c r="BX347" s="2"/>
      <c r="BY347" s="2"/>
      <c r="BZ347" s="2"/>
      <c r="CA347" s="2"/>
      <c r="CB347" s="2"/>
      <c r="CC347" s="2"/>
      <c r="CD347" s="3"/>
      <c r="CE347" s="2"/>
      <c r="CF347" s="4"/>
      <c r="CG347" s="4"/>
      <c r="CI347" s="2"/>
    </row>
    <row r="348" spans="1:87" s="101" customFormat="1" x14ac:dyDescent="0.35">
      <c r="A348" s="1"/>
      <c r="C348" s="1"/>
      <c r="G348" s="2"/>
      <c r="H348" s="2"/>
      <c r="I348" s="2"/>
      <c r="J348" s="2"/>
      <c r="K348" s="81"/>
      <c r="L348" s="4"/>
      <c r="M348" s="4"/>
      <c r="N348" s="4"/>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3"/>
      <c r="AP348" s="2"/>
      <c r="AQ348" s="2"/>
      <c r="AR348" s="2"/>
      <c r="AS348" s="2"/>
      <c r="AT348" s="2"/>
      <c r="AU348" s="2"/>
      <c r="AV348" s="2"/>
      <c r="AW348" s="2"/>
      <c r="AX348" s="2"/>
      <c r="AY348" s="2"/>
      <c r="AZ348" s="5"/>
      <c r="BA348" s="2"/>
      <c r="BD348" s="2"/>
      <c r="BE348" s="2"/>
      <c r="BF348" s="2"/>
      <c r="BG348" s="2"/>
      <c r="BH348" s="2"/>
      <c r="BI348" s="2"/>
      <c r="BJ348" s="2"/>
      <c r="BK348" s="2"/>
      <c r="BM348" s="2"/>
      <c r="BN348" s="2"/>
      <c r="BO348" s="2"/>
      <c r="BP348" s="2"/>
      <c r="BQ348" s="2"/>
      <c r="BR348" s="6"/>
      <c r="BS348" s="6"/>
      <c r="BT348" s="2"/>
      <c r="BU348" s="2"/>
      <c r="BV348" s="2"/>
      <c r="BW348" s="2"/>
      <c r="BX348" s="2"/>
      <c r="BY348" s="2"/>
      <c r="BZ348" s="2"/>
      <c r="CA348" s="2"/>
      <c r="CB348" s="2"/>
      <c r="CC348" s="2"/>
      <c r="CD348" s="3"/>
      <c r="CE348" s="2"/>
      <c r="CF348" s="4"/>
      <c r="CG348" s="4"/>
      <c r="CI348" s="2"/>
    </row>
    <row r="349" spans="1:87" s="101" customFormat="1" x14ac:dyDescent="0.35">
      <c r="A349" s="1"/>
      <c r="C349" s="1"/>
      <c r="G349" s="2"/>
      <c r="H349" s="2"/>
      <c r="I349" s="2"/>
      <c r="J349" s="2"/>
      <c r="K349" s="81"/>
      <c r="L349" s="4"/>
      <c r="M349" s="4"/>
      <c r="N349" s="4"/>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3"/>
      <c r="AP349" s="2"/>
      <c r="AQ349" s="2"/>
      <c r="AR349" s="2"/>
      <c r="AS349" s="2"/>
      <c r="AT349" s="2"/>
      <c r="AU349" s="2"/>
      <c r="AV349" s="2"/>
      <c r="AW349" s="2"/>
      <c r="AX349" s="2"/>
      <c r="AY349" s="2"/>
      <c r="AZ349" s="5"/>
      <c r="BA349" s="2"/>
      <c r="BD349" s="2"/>
      <c r="BE349" s="2"/>
      <c r="BF349" s="2"/>
      <c r="BG349" s="2"/>
      <c r="BH349" s="2"/>
      <c r="BI349" s="2"/>
      <c r="BJ349" s="2"/>
      <c r="BK349" s="2"/>
      <c r="BM349" s="2"/>
      <c r="BN349" s="2"/>
      <c r="BO349" s="2"/>
      <c r="BP349" s="2"/>
      <c r="BQ349" s="2"/>
      <c r="BR349" s="6"/>
      <c r="BS349" s="6"/>
      <c r="BT349" s="2"/>
      <c r="BU349" s="2"/>
      <c r="BV349" s="2"/>
      <c r="BW349" s="2"/>
      <c r="BX349" s="2"/>
      <c r="BY349" s="2"/>
      <c r="BZ349" s="2"/>
      <c r="CA349" s="2"/>
      <c r="CB349" s="2"/>
      <c r="CC349" s="2"/>
      <c r="CD349" s="3"/>
      <c r="CE349" s="2"/>
      <c r="CF349" s="4"/>
      <c r="CG349" s="4"/>
      <c r="CI349" s="2"/>
    </row>
    <row r="350" spans="1:87" s="101" customFormat="1" x14ac:dyDescent="0.35">
      <c r="A350" s="1"/>
      <c r="C350" s="1"/>
      <c r="G350" s="2"/>
      <c r="H350" s="2"/>
      <c r="I350" s="2"/>
      <c r="J350" s="2"/>
      <c r="K350" s="81"/>
      <c r="L350" s="4"/>
      <c r="M350" s="4"/>
      <c r="N350" s="4"/>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3"/>
      <c r="AP350" s="2"/>
      <c r="AQ350" s="2"/>
      <c r="AR350" s="2"/>
      <c r="AS350" s="2"/>
      <c r="AT350" s="2"/>
      <c r="AU350" s="2"/>
      <c r="AV350" s="2"/>
      <c r="AW350" s="2"/>
      <c r="AX350" s="2"/>
      <c r="AY350" s="2"/>
      <c r="AZ350" s="5"/>
      <c r="BA350" s="2"/>
      <c r="BD350" s="2"/>
      <c r="BE350" s="2"/>
      <c r="BF350" s="2"/>
      <c r="BG350" s="2"/>
      <c r="BH350" s="2"/>
      <c r="BI350" s="2"/>
      <c r="BJ350" s="2"/>
      <c r="BK350" s="2"/>
      <c r="BM350" s="2"/>
      <c r="BN350" s="2"/>
      <c r="BO350" s="2"/>
      <c r="BP350" s="2"/>
      <c r="BQ350" s="2"/>
      <c r="BR350" s="6"/>
      <c r="BS350" s="6"/>
      <c r="BT350" s="2"/>
      <c r="BU350" s="2"/>
      <c r="BV350" s="2"/>
      <c r="BW350" s="2"/>
      <c r="BX350" s="2"/>
      <c r="BY350" s="2"/>
      <c r="BZ350" s="2"/>
      <c r="CA350" s="2"/>
      <c r="CB350" s="2"/>
      <c r="CC350" s="2"/>
      <c r="CD350" s="3"/>
      <c r="CE350" s="2"/>
      <c r="CF350" s="4"/>
      <c r="CG350" s="4"/>
      <c r="CI350" s="2"/>
    </row>
    <row r="351" spans="1:87" s="101" customFormat="1" x14ac:dyDescent="0.35">
      <c r="A351" s="1"/>
      <c r="C351" s="1"/>
      <c r="G351" s="2"/>
      <c r="H351" s="2"/>
      <c r="I351" s="2"/>
      <c r="J351" s="2"/>
      <c r="K351" s="81"/>
      <c r="L351" s="4"/>
      <c r="M351" s="4"/>
      <c r="N351" s="4"/>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3"/>
      <c r="AP351" s="2"/>
      <c r="AQ351" s="2"/>
      <c r="AR351" s="2"/>
      <c r="AS351" s="2"/>
      <c r="AT351" s="2"/>
      <c r="AU351" s="2"/>
      <c r="AV351" s="2"/>
      <c r="AW351" s="2"/>
      <c r="AX351" s="2"/>
      <c r="AY351" s="2"/>
      <c r="AZ351" s="5"/>
      <c r="BA351" s="2"/>
      <c r="BD351" s="2"/>
      <c r="BE351" s="2"/>
      <c r="BF351" s="2"/>
      <c r="BG351" s="2"/>
      <c r="BH351" s="2"/>
      <c r="BI351" s="2"/>
      <c r="BJ351" s="2"/>
      <c r="BK351" s="2"/>
      <c r="BM351" s="2"/>
      <c r="BN351" s="2"/>
      <c r="BO351" s="2"/>
      <c r="BP351" s="2"/>
      <c r="BQ351" s="2"/>
      <c r="BR351" s="6"/>
      <c r="BS351" s="6"/>
      <c r="BT351" s="2"/>
      <c r="BU351" s="2"/>
      <c r="BV351" s="2"/>
      <c r="BW351" s="2"/>
      <c r="BX351" s="2"/>
      <c r="BY351" s="2"/>
      <c r="BZ351" s="2"/>
      <c r="CA351" s="2"/>
      <c r="CB351" s="2"/>
      <c r="CC351" s="2"/>
      <c r="CD351" s="3"/>
      <c r="CE351" s="2"/>
      <c r="CF351" s="4"/>
      <c r="CG351" s="4"/>
      <c r="CI351" s="2"/>
    </row>
    <row r="352" spans="1:87" s="101" customFormat="1" x14ac:dyDescent="0.35">
      <c r="A352" s="1"/>
      <c r="C352" s="1"/>
      <c r="G352" s="2"/>
      <c r="H352" s="2"/>
      <c r="I352" s="2"/>
      <c r="J352" s="2"/>
      <c r="K352" s="81"/>
      <c r="L352" s="4"/>
      <c r="M352" s="4"/>
      <c r="N352" s="4"/>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3"/>
      <c r="AP352" s="2"/>
      <c r="AQ352" s="2"/>
      <c r="AR352" s="2"/>
      <c r="AS352" s="2"/>
      <c r="AT352" s="2"/>
      <c r="AU352" s="2"/>
      <c r="AV352" s="2"/>
      <c r="AW352" s="2"/>
      <c r="AX352" s="2"/>
      <c r="AY352" s="2"/>
      <c r="AZ352" s="5"/>
      <c r="BA352" s="2"/>
      <c r="BD352" s="2"/>
      <c r="BE352" s="2"/>
      <c r="BF352" s="2"/>
      <c r="BG352" s="2"/>
      <c r="BH352" s="2"/>
      <c r="BI352" s="2"/>
      <c r="BJ352" s="2"/>
      <c r="BK352" s="2"/>
      <c r="BM352" s="2"/>
      <c r="BN352" s="2"/>
      <c r="BO352" s="2"/>
      <c r="BP352" s="2"/>
      <c r="BQ352" s="2"/>
      <c r="BR352" s="6"/>
      <c r="BS352" s="6"/>
      <c r="BT352" s="2"/>
      <c r="BU352" s="2"/>
      <c r="BV352" s="2"/>
      <c r="BW352" s="2"/>
      <c r="BX352" s="2"/>
      <c r="BY352" s="2"/>
      <c r="BZ352" s="2"/>
      <c r="CA352" s="2"/>
      <c r="CB352" s="2"/>
      <c r="CC352" s="2"/>
      <c r="CD352" s="3"/>
      <c r="CE352" s="2"/>
      <c r="CF352" s="4"/>
      <c r="CG352" s="4"/>
      <c r="CI352" s="2"/>
    </row>
    <row r="353" spans="1:87" s="101" customFormat="1" x14ac:dyDescent="0.35">
      <c r="A353" s="1"/>
      <c r="C353" s="1"/>
      <c r="G353" s="2"/>
      <c r="H353" s="2"/>
      <c r="I353" s="2"/>
      <c r="J353" s="2"/>
      <c r="K353" s="81"/>
      <c r="L353" s="4"/>
      <c r="M353" s="4"/>
      <c r="N353" s="4"/>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3"/>
      <c r="AP353" s="2"/>
      <c r="AQ353" s="2"/>
      <c r="AR353" s="2"/>
      <c r="AS353" s="2"/>
      <c r="AT353" s="2"/>
      <c r="AU353" s="2"/>
      <c r="AV353" s="2"/>
      <c r="AW353" s="2"/>
      <c r="AX353" s="2"/>
      <c r="AY353" s="2"/>
      <c r="AZ353" s="5"/>
      <c r="BA353" s="2"/>
      <c r="BD353" s="2"/>
      <c r="BE353" s="2"/>
      <c r="BF353" s="2"/>
      <c r="BG353" s="2"/>
      <c r="BH353" s="2"/>
      <c r="BI353" s="2"/>
      <c r="BJ353" s="2"/>
      <c r="BK353" s="2"/>
      <c r="BM353" s="2"/>
      <c r="BN353" s="2"/>
      <c r="BO353" s="2"/>
      <c r="BP353" s="2"/>
      <c r="BQ353" s="2"/>
      <c r="BR353" s="6"/>
      <c r="BS353" s="6"/>
      <c r="BT353" s="2"/>
      <c r="BU353" s="2"/>
      <c r="BV353" s="2"/>
      <c r="BW353" s="2"/>
      <c r="BX353" s="2"/>
      <c r="BY353" s="2"/>
      <c r="BZ353" s="2"/>
      <c r="CA353" s="2"/>
      <c r="CB353" s="2"/>
      <c r="CC353" s="2"/>
      <c r="CD353" s="3"/>
      <c r="CE353" s="2"/>
      <c r="CF353" s="4"/>
      <c r="CG353" s="4"/>
      <c r="CI353" s="2"/>
    </row>
    <row r="354" spans="1:87" s="101" customFormat="1" x14ac:dyDescent="0.35">
      <c r="A354" s="1"/>
      <c r="C354" s="1"/>
      <c r="G354" s="2"/>
      <c r="H354" s="2"/>
      <c r="I354" s="2"/>
      <c r="J354" s="2"/>
      <c r="K354" s="81"/>
      <c r="L354" s="4"/>
      <c r="M354" s="4"/>
      <c r="N354" s="4"/>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3"/>
      <c r="AP354" s="2"/>
      <c r="AQ354" s="2"/>
      <c r="AR354" s="2"/>
      <c r="AS354" s="2"/>
      <c r="AT354" s="2"/>
      <c r="AU354" s="2"/>
      <c r="AV354" s="2"/>
      <c r="AW354" s="2"/>
      <c r="AX354" s="2"/>
      <c r="AY354" s="2"/>
      <c r="AZ354" s="5"/>
      <c r="BA354" s="2"/>
      <c r="BD354" s="2"/>
      <c r="BE354" s="2"/>
      <c r="BF354" s="2"/>
      <c r="BG354" s="2"/>
      <c r="BH354" s="2"/>
      <c r="BI354" s="2"/>
      <c r="BJ354" s="2"/>
      <c r="BK354" s="2"/>
      <c r="BM354" s="2"/>
      <c r="BN354" s="2"/>
      <c r="BO354" s="2"/>
      <c r="BP354" s="2"/>
      <c r="BQ354" s="2"/>
      <c r="BR354" s="6"/>
      <c r="BS354" s="6"/>
      <c r="BT354" s="2"/>
      <c r="BU354" s="2"/>
      <c r="BV354" s="2"/>
      <c r="BW354" s="2"/>
      <c r="BX354" s="2"/>
      <c r="BY354" s="2"/>
      <c r="BZ354" s="2"/>
      <c r="CA354" s="2"/>
      <c r="CB354" s="2"/>
      <c r="CC354" s="2"/>
      <c r="CD354" s="3"/>
      <c r="CE354" s="2"/>
      <c r="CF354" s="4"/>
      <c r="CG354" s="4"/>
      <c r="CI354" s="2"/>
    </row>
    <row r="355" spans="1:87" s="101" customFormat="1" x14ac:dyDescent="0.35">
      <c r="A355" s="1"/>
      <c r="C355" s="1"/>
      <c r="G355" s="2"/>
      <c r="H355" s="2"/>
      <c r="I355" s="2"/>
      <c r="J355" s="2"/>
      <c r="K355" s="81"/>
      <c r="L355" s="4"/>
      <c r="M355" s="4"/>
      <c r="N355" s="4"/>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3"/>
      <c r="AP355" s="2"/>
      <c r="AQ355" s="2"/>
      <c r="AR355" s="2"/>
      <c r="AS355" s="2"/>
      <c r="AT355" s="2"/>
      <c r="AU355" s="2"/>
      <c r="AV355" s="2"/>
      <c r="AW355" s="2"/>
      <c r="AX355" s="2"/>
      <c r="AY355" s="2"/>
      <c r="AZ355" s="5"/>
      <c r="BA355" s="2"/>
      <c r="BD355" s="2"/>
      <c r="BE355" s="2"/>
      <c r="BF355" s="2"/>
      <c r="BG355" s="2"/>
      <c r="BH355" s="2"/>
      <c r="BI355" s="2"/>
      <c r="BJ355" s="2"/>
      <c r="BK355" s="2"/>
      <c r="BM355" s="2"/>
      <c r="BN355" s="2"/>
      <c r="BO355" s="2"/>
      <c r="BP355" s="2"/>
      <c r="BQ355" s="2"/>
      <c r="BR355" s="6"/>
      <c r="BS355" s="6"/>
      <c r="BT355" s="2"/>
      <c r="BU355" s="2"/>
      <c r="BV355" s="2"/>
      <c r="BW355" s="2"/>
      <c r="BX355" s="2"/>
      <c r="BY355" s="2"/>
      <c r="BZ355" s="2"/>
      <c r="CA355" s="2"/>
      <c r="CB355" s="2"/>
      <c r="CC355" s="2"/>
      <c r="CD355" s="3"/>
      <c r="CE355" s="2"/>
      <c r="CF355" s="4"/>
      <c r="CG355" s="4"/>
      <c r="CI355" s="2"/>
    </row>
    <row r="356" spans="1:87" s="101" customFormat="1" x14ac:dyDescent="0.35">
      <c r="A356" s="1"/>
      <c r="C356" s="1"/>
      <c r="G356" s="2"/>
      <c r="H356" s="2"/>
      <c r="I356" s="2"/>
      <c r="J356" s="2"/>
      <c r="K356" s="81"/>
      <c r="L356" s="4"/>
      <c r="M356" s="4"/>
      <c r="N356" s="4"/>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3"/>
      <c r="AP356" s="2"/>
      <c r="AQ356" s="2"/>
      <c r="AR356" s="2"/>
      <c r="AS356" s="2"/>
      <c r="AT356" s="2"/>
      <c r="AU356" s="2"/>
      <c r="AV356" s="2"/>
      <c r="AW356" s="2"/>
      <c r="AX356" s="2"/>
      <c r="AY356" s="2"/>
      <c r="AZ356" s="5"/>
      <c r="BA356" s="2"/>
      <c r="BD356" s="2"/>
      <c r="BE356" s="2"/>
      <c r="BF356" s="2"/>
      <c r="BG356" s="2"/>
      <c r="BH356" s="2"/>
      <c r="BI356" s="2"/>
      <c r="BJ356" s="2"/>
      <c r="BK356" s="2"/>
      <c r="BM356" s="2"/>
      <c r="BN356" s="2"/>
      <c r="BO356" s="2"/>
      <c r="BP356" s="2"/>
      <c r="BQ356" s="2"/>
      <c r="BR356" s="6"/>
      <c r="BS356" s="6"/>
      <c r="BT356" s="2"/>
      <c r="BU356" s="2"/>
      <c r="BV356" s="2"/>
      <c r="BW356" s="2"/>
      <c r="BX356" s="2"/>
      <c r="BY356" s="2"/>
      <c r="BZ356" s="2"/>
      <c r="CA356" s="2"/>
      <c r="CB356" s="2"/>
      <c r="CC356" s="2"/>
      <c r="CD356" s="3"/>
      <c r="CE356" s="2"/>
      <c r="CF356" s="4"/>
      <c r="CG356" s="4"/>
      <c r="CI356" s="2"/>
    </row>
    <row r="357" spans="1:87" s="101" customFormat="1" x14ac:dyDescent="0.35">
      <c r="A357" s="1"/>
      <c r="C357" s="1"/>
      <c r="G357" s="2"/>
      <c r="H357" s="2"/>
      <c r="I357" s="2"/>
      <c r="J357" s="2"/>
      <c r="K357" s="81"/>
      <c r="L357" s="4"/>
      <c r="M357" s="4"/>
      <c r="N357" s="4"/>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3"/>
      <c r="AP357" s="2"/>
      <c r="AQ357" s="2"/>
      <c r="AR357" s="2"/>
      <c r="AS357" s="2"/>
      <c r="AT357" s="2"/>
      <c r="AU357" s="2"/>
      <c r="AV357" s="2"/>
      <c r="AW357" s="2"/>
      <c r="AX357" s="2"/>
      <c r="AY357" s="2"/>
      <c r="AZ357" s="5"/>
      <c r="BA357" s="2"/>
      <c r="BD357" s="2"/>
      <c r="BE357" s="2"/>
      <c r="BF357" s="2"/>
      <c r="BG357" s="2"/>
      <c r="BH357" s="2"/>
      <c r="BI357" s="2"/>
      <c r="BJ357" s="2"/>
      <c r="BK357" s="2"/>
      <c r="BM357" s="2"/>
      <c r="BN357" s="2"/>
      <c r="BO357" s="2"/>
      <c r="BP357" s="2"/>
      <c r="BQ357" s="2"/>
      <c r="BR357" s="6"/>
      <c r="BS357" s="6"/>
      <c r="BT357" s="2"/>
      <c r="BU357" s="2"/>
      <c r="BV357" s="2"/>
      <c r="BW357" s="2"/>
      <c r="BX357" s="2"/>
      <c r="BY357" s="2"/>
      <c r="BZ357" s="2"/>
      <c r="CA357" s="2"/>
      <c r="CB357" s="2"/>
      <c r="CC357" s="2"/>
      <c r="CD357" s="3"/>
      <c r="CE357" s="2"/>
      <c r="CF357" s="4"/>
      <c r="CG357" s="4"/>
      <c r="CI357" s="2"/>
    </row>
    <row r="358" spans="1:87" s="101" customFormat="1" x14ac:dyDescent="0.35">
      <c r="A358" s="1"/>
      <c r="C358" s="1"/>
      <c r="G358" s="2"/>
      <c r="H358" s="2"/>
      <c r="I358" s="2"/>
      <c r="J358" s="2"/>
      <c r="K358" s="81"/>
      <c r="L358" s="4"/>
      <c r="M358" s="4"/>
      <c r="N358" s="4"/>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3"/>
      <c r="AP358" s="2"/>
      <c r="AQ358" s="2"/>
      <c r="AR358" s="2"/>
      <c r="AS358" s="2"/>
      <c r="AT358" s="2"/>
      <c r="AU358" s="2"/>
      <c r="AV358" s="2"/>
      <c r="AW358" s="2"/>
      <c r="AX358" s="2"/>
      <c r="AY358" s="2"/>
      <c r="AZ358" s="5"/>
      <c r="BA358" s="2"/>
      <c r="BD358" s="2"/>
      <c r="BE358" s="2"/>
      <c r="BF358" s="2"/>
      <c r="BG358" s="2"/>
      <c r="BH358" s="2"/>
      <c r="BI358" s="2"/>
      <c r="BJ358" s="2"/>
      <c r="BK358" s="2"/>
      <c r="BM358" s="2"/>
      <c r="BN358" s="2"/>
      <c r="BO358" s="2"/>
      <c r="BP358" s="2"/>
      <c r="BQ358" s="2"/>
      <c r="BR358" s="6"/>
      <c r="BS358" s="6"/>
      <c r="BT358" s="2"/>
      <c r="BU358" s="2"/>
      <c r="BV358" s="2"/>
      <c r="BW358" s="2"/>
      <c r="BX358" s="2"/>
      <c r="BY358" s="2"/>
      <c r="BZ358" s="2"/>
      <c r="CA358" s="2"/>
      <c r="CB358" s="2"/>
      <c r="CC358" s="2"/>
      <c r="CD358" s="3"/>
      <c r="CE358" s="2"/>
      <c r="CF358" s="4"/>
      <c r="CG358" s="4"/>
      <c r="CI358" s="2"/>
    </row>
    <row r="359" spans="1:87" s="101" customFormat="1" x14ac:dyDescent="0.35">
      <c r="A359" s="1"/>
      <c r="C359" s="1"/>
      <c r="G359" s="2"/>
      <c r="H359" s="2"/>
      <c r="I359" s="2"/>
      <c r="J359" s="2"/>
      <c r="K359" s="81"/>
      <c r="L359" s="4"/>
      <c r="M359" s="4"/>
      <c r="N359" s="4"/>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3"/>
      <c r="AP359" s="2"/>
      <c r="AQ359" s="2"/>
      <c r="AR359" s="2"/>
      <c r="AS359" s="2"/>
      <c r="AT359" s="2"/>
      <c r="AU359" s="2"/>
      <c r="AV359" s="2"/>
      <c r="AW359" s="2"/>
      <c r="AX359" s="2"/>
      <c r="AY359" s="2"/>
      <c r="AZ359" s="5"/>
      <c r="BA359" s="2"/>
      <c r="BD359" s="2"/>
      <c r="BE359" s="2"/>
      <c r="BF359" s="2"/>
      <c r="BG359" s="2"/>
      <c r="BH359" s="2"/>
      <c r="BI359" s="2"/>
      <c r="BJ359" s="2"/>
      <c r="BK359" s="2"/>
      <c r="BM359" s="2"/>
      <c r="BN359" s="2"/>
      <c r="BO359" s="2"/>
      <c r="BP359" s="2"/>
      <c r="BQ359" s="2"/>
      <c r="BR359" s="6"/>
      <c r="BS359" s="6"/>
      <c r="BT359" s="2"/>
      <c r="BU359" s="2"/>
      <c r="BV359" s="2"/>
      <c r="BW359" s="2"/>
      <c r="BX359" s="2"/>
      <c r="BY359" s="2"/>
      <c r="BZ359" s="2"/>
      <c r="CA359" s="2"/>
      <c r="CB359" s="2"/>
      <c r="CC359" s="2"/>
      <c r="CD359" s="3"/>
      <c r="CE359" s="2"/>
      <c r="CF359" s="4"/>
      <c r="CG359" s="4"/>
      <c r="CI359" s="2"/>
    </row>
    <row r="360" spans="1:87" s="101" customFormat="1" x14ac:dyDescent="0.35">
      <c r="A360" s="1"/>
      <c r="C360" s="1"/>
      <c r="G360" s="2"/>
      <c r="H360" s="2"/>
      <c r="I360" s="2"/>
      <c r="J360" s="2"/>
      <c r="K360" s="81"/>
      <c r="L360" s="4"/>
      <c r="M360" s="4"/>
      <c r="N360" s="4"/>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3"/>
      <c r="AP360" s="2"/>
      <c r="AQ360" s="2"/>
      <c r="AR360" s="2"/>
      <c r="AS360" s="2"/>
      <c r="AT360" s="2"/>
      <c r="AU360" s="2"/>
      <c r="AV360" s="2"/>
      <c r="AW360" s="2"/>
      <c r="AX360" s="2"/>
      <c r="AY360" s="2"/>
      <c r="AZ360" s="5"/>
      <c r="BA360" s="2"/>
      <c r="BD360" s="2"/>
      <c r="BE360" s="2"/>
      <c r="BF360" s="2"/>
      <c r="BG360" s="2"/>
      <c r="BH360" s="2"/>
      <c r="BI360" s="2"/>
      <c r="BJ360" s="2"/>
      <c r="BK360" s="2"/>
      <c r="BM360" s="2"/>
      <c r="BN360" s="2"/>
      <c r="BO360" s="2"/>
      <c r="BP360" s="2"/>
      <c r="BQ360" s="2"/>
      <c r="BR360" s="6"/>
      <c r="BS360" s="6"/>
      <c r="BT360" s="2"/>
      <c r="BU360" s="2"/>
      <c r="BV360" s="2"/>
      <c r="BW360" s="2"/>
      <c r="BX360" s="2"/>
      <c r="BY360" s="2"/>
      <c r="BZ360" s="2"/>
      <c r="CA360" s="2"/>
      <c r="CB360" s="2"/>
      <c r="CC360" s="2"/>
      <c r="CD360" s="3"/>
      <c r="CE360" s="2"/>
      <c r="CF360" s="4"/>
      <c r="CG360" s="4"/>
      <c r="CI360" s="2"/>
    </row>
    <row r="361" spans="1:87" s="101" customFormat="1" x14ac:dyDescent="0.35">
      <c r="A361" s="1"/>
      <c r="C361" s="1"/>
      <c r="G361" s="2"/>
      <c r="H361" s="2"/>
      <c r="I361" s="2"/>
      <c r="J361" s="2"/>
      <c r="K361" s="81"/>
      <c r="L361" s="4"/>
      <c r="M361" s="4"/>
      <c r="N361" s="4"/>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3"/>
      <c r="AP361" s="2"/>
      <c r="AQ361" s="2"/>
      <c r="AR361" s="2"/>
      <c r="AS361" s="2"/>
      <c r="AT361" s="2"/>
      <c r="AU361" s="2"/>
      <c r="AV361" s="2"/>
      <c r="AW361" s="2"/>
      <c r="AX361" s="2"/>
      <c r="AY361" s="2"/>
      <c r="AZ361" s="5"/>
      <c r="BA361" s="2"/>
      <c r="BD361" s="2"/>
      <c r="BE361" s="2"/>
      <c r="BF361" s="2"/>
      <c r="BG361" s="2"/>
      <c r="BH361" s="2"/>
      <c r="BI361" s="2"/>
      <c r="BJ361" s="2"/>
      <c r="BK361" s="2"/>
      <c r="BM361" s="2"/>
      <c r="BN361" s="2"/>
      <c r="BO361" s="2"/>
      <c r="BP361" s="2"/>
      <c r="BQ361" s="2"/>
      <c r="BR361" s="6"/>
      <c r="BS361" s="6"/>
      <c r="BT361" s="2"/>
      <c r="BU361" s="2"/>
      <c r="BV361" s="2"/>
      <c r="BW361" s="2"/>
      <c r="BX361" s="2"/>
      <c r="BY361" s="2"/>
      <c r="BZ361" s="2"/>
      <c r="CA361" s="2"/>
      <c r="CB361" s="2"/>
      <c r="CC361" s="2"/>
      <c r="CD361" s="3"/>
      <c r="CE361" s="2"/>
      <c r="CF361" s="4"/>
      <c r="CG361" s="4"/>
      <c r="CI361" s="2"/>
    </row>
    <row r="362" spans="1:87" s="101" customFormat="1" x14ac:dyDescent="0.35">
      <c r="A362" s="1"/>
      <c r="C362" s="1"/>
      <c r="G362" s="2"/>
      <c r="H362" s="2"/>
      <c r="I362" s="2"/>
      <c r="J362" s="2"/>
      <c r="K362" s="81"/>
      <c r="L362" s="4"/>
      <c r="M362" s="4"/>
      <c r="N362" s="4"/>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3"/>
      <c r="AP362" s="2"/>
      <c r="AQ362" s="2"/>
      <c r="AR362" s="2"/>
      <c r="AS362" s="2"/>
      <c r="AT362" s="2"/>
      <c r="AU362" s="2"/>
      <c r="AV362" s="2"/>
      <c r="AW362" s="2"/>
      <c r="AX362" s="2"/>
      <c r="AY362" s="2"/>
      <c r="AZ362" s="5"/>
      <c r="BA362" s="2"/>
      <c r="BD362" s="2"/>
      <c r="BE362" s="2"/>
      <c r="BF362" s="2"/>
      <c r="BG362" s="2"/>
      <c r="BH362" s="2"/>
      <c r="BI362" s="2"/>
      <c r="BJ362" s="2"/>
      <c r="BK362" s="2"/>
      <c r="BM362" s="2"/>
      <c r="BN362" s="2"/>
      <c r="BO362" s="2"/>
      <c r="BP362" s="2"/>
      <c r="BQ362" s="2"/>
      <c r="BR362" s="6"/>
      <c r="BS362" s="6"/>
      <c r="BT362" s="2"/>
      <c r="BU362" s="2"/>
      <c r="BV362" s="2"/>
      <c r="BW362" s="2"/>
      <c r="BX362" s="2"/>
      <c r="BY362" s="2"/>
      <c r="BZ362" s="2"/>
      <c r="CA362" s="2"/>
      <c r="CB362" s="2"/>
      <c r="CC362" s="2"/>
      <c r="CD362" s="3"/>
      <c r="CE362" s="2"/>
      <c r="CF362" s="4"/>
      <c r="CG362" s="4"/>
      <c r="CI362" s="2"/>
    </row>
    <row r="363" spans="1:87" s="101" customFormat="1" x14ac:dyDescent="0.35">
      <c r="A363" s="1"/>
      <c r="C363" s="1"/>
      <c r="G363" s="2"/>
      <c r="H363" s="2"/>
      <c r="I363" s="2"/>
      <c r="J363" s="2"/>
      <c r="K363" s="81"/>
      <c r="L363" s="4"/>
      <c r="M363" s="4"/>
      <c r="N363" s="4"/>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3"/>
      <c r="AP363" s="2"/>
      <c r="AQ363" s="2"/>
      <c r="AR363" s="2"/>
      <c r="AS363" s="2"/>
      <c r="AT363" s="2"/>
      <c r="AU363" s="2"/>
      <c r="AV363" s="2"/>
      <c r="AW363" s="2"/>
      <c r="AX363" s="2"/>
      <c r="AY363" s="2"/>
      <c r="AZ363" s="5"/>
      <c r="BA363" s="2"/>
      <c r="BD363" s="2"/>
      <c r="BE363" s="2"/>
      <c r="BF363" s="2"/>
      <c r="BG363" s="2"/>
      <c r="BH363" s="2"/>
      <c r="BI363" s="2"/>
      <c r="BJ363" s="2"/>
      <c r="BK363" s="2"/>
      <c r="BM363" s="2"/>
      <c r="BN363" s="2"/>
      <c r="BO363" s="2"/>
      <c r="BP363" s="2"/>
      <c r="BQ363" s="2"/>
      <c r="BR363" s="6"/>
      <c r="BS363" s="6"/>
      <c r="BT363" s="2"/>
      <c r="BU363" s="2"/>
      <c r="BV363" s="2"/>
      <c r="BW363" s="2"/>
      <c r="BX363" s="2"/>
      <c r="BY363" s="2"/>
      <c r="BZ363" s="2"/>
      <c r="CA363" s="2"/>
      <c r="CB363" s="2"/>
      <c r="CC363" s="2"/>
      <c r="CD363" s="3"/>
      <c r="CE363" s="2"/>
      <c r="CF363" s="4"/>
      <c r="CG363" s="4"/>
      <c r="CI363" s="2"/>
    </row>
    <row r="364" spans="1:87" s="101" customFormat="1" x14ac:dyDescent="0.35">
      <c r="A364" s="1"/>
      <c r="C364" s="1"/>
      <c r="G364" s="2"/>
      <c r="H364" s="2"/>
      <c r="I364" s="2"/>
      <c r="J364" s="2"/>
      <c r="K364" s="81"/>
      <c r="L364" s="4"/>
      <c r="M364" s="4"/>
      <c r="N364" s="4"/>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3"/>
      <c r="AP364" s="2"/>
      <c r="AQ364" s="2"/>
      <c r="AR364" s="2"/>
      <c r="AS364" s="2"/>
      <c r="AT364" s="2"/>
      <c r="AU364" s="2"/>
      <c r="AV364" s="2"/>
      <c r="AW364" s="2"/>
      <c r="AX364" s="2"/>
      <c r="AY364" s="2"/>
      <c r="AZ364" s="5"/>
      <c r="BA364" s="2"/>
      <c r="BD364" s="2"/>
      <c r="BE364" s="2"/>
      <c r="BF364" s="2"/>
      <c r="BG364" s="2"/>
      <c r="BH364" s="2"/>
      <c r="BI364" s="2"/>
      <c r="BJ364" s="2"/>
      <c r="BK364" s="2"/>
      <c r="BM364" s="2"/>
      <c r="BN364" s="2"/>
      <c r="BO364" s="2"/>
      <c r="BP364" s="2"/>
      <c r="BQ364" s="2"/>
      <c r="BR364" s="6"/>
      <c r="BS364" s="6"/>
      <c r="BT364" s="2"/>
      <c r="BU364" s="2"/>
      <c r="BV364" s="2"/>
      <c r="BW364" s="2"/>
      <c r="BX364" s="2"/>
      <c r="BY364" s="2"/>
      <c r="BZ364" s="2"/>
      <c r="CA364" s="2"/>
      <c r="CB364" s="2"/>
      <c r="CC364" s="2"/>
      <c r="CD364" s="3"/>
      <c r="CE364" s="2"/>
      <c r="CF364" s="4"/>
      <c r="CG364" s="4"/>
      <c r="CI364" s="2"/>
    </row>
    <row r="365" spans="1:87" s="101" customFormat="1" x14ac:dyDescent="0.35">
      <c r="A365" s="1"/>
      <c r="C365" s="1"/>
      <c r="G365" s="2"/>
      <c r="H365" s="2"/>
      <c r="I365" s="2"/>
      <c r="J365" s="2"/>
      <c r="K365" s="81"/>
      <c r="L365" s="4"/>
      <c r="M365" s="4"/>
      <c r="N365" s="4"/>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3"/>
      <c r="AP365" s="2"/>
      <c r="AQ365" s="2"/>
      <c r="AR365" s="2"/>
      <c r="AS365" s="2"/>
      <c r="AT365" s="2"/>
      <c r="AU365" s="2"/>
      <c r="AV365" s="2"/>
      <c r="AW365" s="2"/>
      <c r="AX365" s="2"/>
      <c r="AY365" s="2"/>
      <c r="AZ365" s="5"/>
      <c r="BA365" s="2"/>
      <c r="BD365" s="2"/>
      <c r="BE365" s="2"/>
      <c r="BF365" s="2"/>
      <c r="BG365" s="2"/>
      <c r="BH365" s="2"/>
      <c r="BI365" s="2"/>
      <c r="BJ365" s="2"/>
      <c r="BK365" s="2"/>
      <c r="BM365" s="2"/>
      <c r="BN365" s="2"/>
      <c r="BO365" s="2"/>
      <c r="BP365" s="2"/>
      <c r="BQ365" s="2"/>
      <c r="BR365" s="6"/>
      <c r="BS365" s="6"/>
      <c r="BT365" s="2"/>
      <c r="BU365" s="2"/>
      <c r="BV365" s="2"/>
      <c r="BW365" s="2"/>
      <c r="BX365" s="2"/>
      <c r="BY365" s="2"/>
      <c r="BZ365" s="2"/>
      <c r="CA365" s="2"/>
      <c r="CB365" s="2"/>
      <c r="CC365" s="2"/>
      <c r="CD365" s="3"/>
      <c r="CE365" s="2"/>
      <c r="CF365" s="4"/>
      <c r="CG365" s="4"/>
      <c r="CI365" s="2"/>
    </row>
    <row r="366" spans="1:87" s="101" customFormat="1" x14ac:dyDescent="0.35">
      <c r="A366" s="1"/>
      <c r="C366" s="1"/>
      <c r="G366" s="2"/>
      <c r="H366" s="2"/>
      <c r="I366" s="2"/>
      <c r="J366" s="2"/>
      <c r="K366" s="81"/>
      <c r="L366" s="4"/>
      <c r="M366" s="4"/>
      <c r="N366" s="4"/>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3"/>
      <c r="AP366" s="2"/>
      <c r="AQ366" s="2"/>
      <c r="AR366" s="2"/>
      <c r="AS366" s="2"/>
      <c r="AT366" s="2"/>
      <c r="AU366" s="2"/>
      <c r="AV366" s="2"/>
      <c r="AW366" s="2"/>
      <c r="AX366" s="2"/>
      <c r="AY366" s="2"/>
      <c r="AZ366" s="5"/>
      <c r="BA366" s="2"/>
      <c r="BD366" s="2"/>
      <c r="BE366" s="2"/>
      <c r="BF366" s="2"/>
      <c r="BG366" s="2"/>
      <c r="BH366" s="2"/>
      <c r="BI366" s="2"/>
      <c r="BJ366" s="2"/>
      <c r="BK366" s="2"/>
      <c r="BM366" s="2"/>
      <c r="BN366" s="2"/>
      <c r="BO366" s="2"/>
      <c r="BP366" s="2"/>
      <c r="BQ366" s="2"/>
      <c r="BR366" s="6"/>
      <c r="BS366" s="6"/>
      <c r="BT366" s="2"/>
      <c r="BU366" s="2"/>
      <c r="BV366" s="2"/>
      <c r="BW366" s="2"/>
      <c r="BX366" s="2"/>
      <c r="BY366" s="2"/>
      <c r="BZ366" s="2"/>
      <c r="CA366" s="2"/>
      <c r="CB366" s="2"/>
      <c r="CC366" s="2"/>
      <c r="CD366" s="3"/>
      <c r="CE366" s="2"/>
      <c r="CF366" s="4"/>
      <c r="CG366" s="4"/>
      <c r="CI366" s="2"/>
    </row>
    <row r="367" spans="1:87" s="101" customFormat="1" x14ac:dyDescent="0.35">
      <c r="A367" s="1"/>
      <c r="C367" s="1"/>
      <c r="G367" s="2"/>
      <c r="H367" s="2"/>
      <c r="I367" s="2"/>
      <c r="J367" s="2"/>
      <c r="K367" s="81"/>
      <c r="L367" s="4"/>
      <c r="M367" s="4"/>
      <c r="N367" s="4"/>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3"/>
      <c r="AP367" s="2"/>
      <c r="AQ367" s="2"/>
      <c r="AR367" s="2"/>
      <c r="AS367" s="2"/>
      <c r="AT367" s="2"/>
      <c r="AU367" s="2"/>
      <c r="AV367" s="2"/>
      <c r="AW367" s="2"/>
      <c r="AX367" s="2"/>
      <c r="AY367" s="2"/>
      <c r="AZ367" s="5"/>
      <c r="BA367" s="2"/>
      <c r="BD367" s="2"/>
      <c r="BE367" s="2"/>
      <c r="BF367" s="2"/>
      <c r="BG367" s="2"/>
      <c r="BH367" s="2"/>
      <c r="BI367" s="2"/>
      <c r="BJ367" s="2"/>
      <c r="BK367" s="2"/>
      <c r="BM367" s="2"/>
      <c r="BN367" s="2"/>
      <c r="BO367" s="2"/>
      <c r="BP367" s="2"/>
      <c r="BQ367" s="2"/>
      <c r="BR367" s="6"/>
      <c r="BS367" s="6"/>
      <c r="BT367" s="2"/>
      <c r="BU367" s="2"/>
      <c r="BV367" s="2"/>
      <c r="BW367" s="2"/>
      <c r="BX367" s="2"/>
      <c r="BY367" s="2"/>
      <c r="BZ367" s="2"/>
      <c r="CA367" s="2"/>
      <c r="CB367" s="2"/>
      <c r="CC367" s="2"/>
      <c r="CD367" s="3"/>
      <c r="CE367" s="2"/>
      <c r="CF367" s="4"/>
      <c r="CG367" s="4"/>
      <c r="CI367" s="2"/>
    </row>
    <row r="368" spans="1:87" s="101" customFormat="1" x14ac:dyDescent="0.35">
      <c r="A368" s="1"/>
      <c r="C368" s="1"/>
      <c r="G368" s="2"/>
      <c r="H368" s="2"/>
      <c r="I368" s="2"/>
      <c r="J368" s="2"/>
      <c r="K368" s="81"/>
      <c r="L368" s="4"/>
      <c r="M368" s="4"/>
      <c r="N368" s="4"/>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3"/>
      <c r="AP368" s="2"/>
      <c r="AQ368" s="2"/>
      <c r="AR368" s="2"/>
      <c r="AS368" s="2"/>
      <c r="AT368" s="2"/>
      <c r="AU368" s="2"/>
      <c r="AV368" s="2"/>
      <c r="AW368" s="2"/>
      <c r="AX368" s="2"/>
      <c r="AY368" s="2"/>
      <c r="AZ368" s="5"/>
      <c r="BA368" s="2"/>
      <c r="BD368" s="2"/>
      <c r="BE368" s="2"/>
      <c r="BF368" s="2"/>
      <c r="BG368" s="2"/>
      <c r="BH368" s="2"/>
      <c r="BI368" s="2"/>
      <c r="BJ368" s="2"/>
      <c r="BK368" s="2"/>
      <c r="BM368" s="2"/>
      <c r="BN368" s="2"/>
      <c r="BO368" s="2"/>
      <c r="BP368" s="2"/>
      <c r="BQ368" s="2"/>
      <c r="BR368" s="6"/>
      <c r="BS368" s="6"/>
      <c r="BT368" s="2"/>
      <c r="BU368" s="2"/>
      <c r="BV368" s="2"/>
      <c r="BW368" s="2"/>
      <c r="BX368" s="2"/>
      <c r="BY368" s="2"/>
      <c r="BZ368" s="2"/>
      <c r="CA368" s="2"/>
      <c r="CB368" s="2"/>
      <c r="CC368" s="2"/>
      <c r="CD368" s="3"/>
      <c r="CE368" s="2"/>
      <c r="CF368" s="4"/>
      <c r="CG368" s="4"/>
      <c r="CI368" s="2"/>
    </row>
    <row r="369" spans="1:87" s="101" customFormat="1" x14ac:dyDescent="0.35">
      <c r="A369" s="1"/>
      <c r="C369" s="1"/>
      <c r="G369" s="2"/>
      <c r="H369" s="2"/>
      <c r="I369" s="2"/>
      <c r="J369" s="2"/>
      <c r="K369" s="81"/>
      <c r="L369" s="4"/>
      <c r="M369" s="4"/>
      <c r="N369" s="4"/>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3"/>
      <c r="AP369" s="2"/>
      <c r="AQ369" s="2"/>
      <c r="AR369" s="2"/>
      <c r="AS369" s="2"/>
      <c r="AT369" s="2"/>
      <c r="AU369" s="2"/>
      <c r="AV369" s="2"/>
      <c r="AW369" s="2"/>
      <c r="AX369" s="2"/>
      <c r="AY369" s="2"/>
      <c r="AZ369" s="5"/>
      <c r="BA369" s="2"/>
      <c r="BD369" s="2"/>
      <c r="BE369" s="2"/>
      <c r="BF369" s="2"/>
      <c r="BG369" s="2"/>
      <c r="BH369" s="2"/>
      <c r="BI369" s="2"/>
      <c r="BJ369" s="2"/>
      <c r="BK369" s="2"/>
      <c r="BM369" s="2"/>
      <c r="BN369" s="2"/>
      <c r="BO369" s="2"/>
      <c r="BP369" s="2"/>
      <c r="BQ369" s="2"/>
      <c r="BR369" s="6"/>
      <c r="BS369" s="6"/>
      <c r="BT369" s="2"/>
      <c r="BU369" s="2"/>
      <c r="BV369" s="2"/>
      <c r="BW369" s="2"/>
      <c r="BX369" s="2"/>
      <c r="BY369" s="2"/>
      <c r="BZ369" s="2"/>
      <c r="CA369" s="2"/>
      <c r="CB369" s="2"/>
      <c r="CC369" s="2"/>
      <c r="CD369" s="3"/>
      <c r="CE369" s="2"/>
      <c r="CF369" s="4"/>
      <c r="CG369" s="4"/>
      <c r="CI369" s="2"/>
    </row>
    <row r="370" spans="1:87" s="101" customFormat="1" x14ac:dyDescent="0.35">
      <c r="A370" s="1"/>
      <c r="C370" s="1"/>
      <c r="G370" s="2"/>
      <c r="H370" s="2"/>
      <c r="I370" s="2"/>
      <c r="J370" s="2"/>
      <c r="K370" s="81"/>
      <c r="L370" s="4"/>
      <c r="M370" s="4"/>
      <c r="N370" s="4"/>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3"/>
      <c r="AP370" s="2"/>
      <c r="AQ370" s="2"/>
      <c r="AR370" s="2"/>
      <c r="AS370" s="2"/>
      <c r="AT370" s="2"/>
      <c r="AU370" s="2"/>
      <c r="AV370" s="2"/>
      <c r="AW370" s="2"/>
      <c r="AX370" s="2"/>
      <c r="AY370" s="2"/>
      <c r="AZ370" s="5"/>
      <c r="BA370" s="2"/>
      <c r="BD370" s="2"/>
      <c r="BE370" s="2"/>
      <c r="BF370" s="2"/>
      <c r="BG370" s="2"/>
      <c r="BH370" s="2"/>
      <c r="BI370" s="2"/>
      <c r="BJ370" s="2"/>
      <c r="BK370" s="2"/>
      <c r="BM370" s="2"/>
      <c r="BN370" s="2"/>
      <c r="BO370" s="2"/>
      <c r="BP370" s="2"/>
      <c r="BQ370" s="2"/>
      <c r="BR370" s="6"/>
      <c r="BS370" s="6"/>
      <c r="BT370" s="2"/>
      <c r="BU370" s="2"/>
      <c r="BV370" s="2"/>
      <c r="BW370" s="2"/>
      <c r="BX370" s="2"/>
      <c r="BY370" s="2"/>
      <c r="BZ370" s="2"/>
      <c r="CA370" s="2"/>
      <c r="CB370" s="2"/>
      <c r="CC370" s="2"/>
      <c r="CD370" s="3"/>
      <c r="CE370" s="2"/>
      <c r="CF370" s="4"/>
      <c r="CG370" s="4"/>
      <c r="CI370" s="2"/>
    </row>
    <row r="371" spans="1:87" s="101" customFormat="1" x14ac:dyDescent="0.35">
      <c r="A371" s="1"/>
      <c r="C371" s="1"/>
      <c r="G371" s="2"/>
      <c r="H371" s="2"/>
      <c r="I371" s="2"/>
      <c r="J371" s="2"/>
      <c r="K371" s="81"/>
      <c r="L371" s="4"/>
      <c r="M371" s="4"/>
      <c r="N371" s="4"/>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3"/>
      <c r="AP371" s="2"/>
      <c r="AQ371" s="2"/>
      <c r="AR371" s="2"/>
      <c r="AS371" s="2"/>
      <c r="AT371" s="2"/>
      <c r="AU371" s="2"/>
      <c r="AV371" s="2"/>
      <c r="AW371" s="2"/>
      <c r="AX371" s="2"/>
      <c r="AY371" s="2"/>
      <c r="AZ371" s="5"/>
      <c r="BA371" s="2"/>
      <c r="BD371" s="2"/>
      <c r="BE371" s="2"/>
      <c r="BF371" s="2"/>
      <c r="BG371" s="2"/>
      <c r="BH371" s="2"/>
      <c r="BI371" s="2"/>
      <c r="BJ371" s="2"/>
      <c r="BK371" s="2"/>
      <c r="BM371" s="2"/>
      <c r="BN371" s="2"/>
      <c r="BO371" s="2"/>
      <c r="BP371" s="2"/>
      <c r="BQ371" s="2"/>
      <c r="BR371" s="6"/>
      <c r="BS371" s="6"/>
      <c r="BT371" s="2"/>
      <c r="BU371" s="2"/>
      <c r="BV371" s="2"/>
      <c r="BW371" s="2"/>
      <c r="BX371" s="2"/>
      <c r="BY371" s="2"/>
      <c r="BZ371" s="2"/>
      <c r="CA371" s="2"/>
      <c r="CB371" s="2"/>
      <c r="CC371" s="2"/>
      <c r="CD371" s="3"/>
      <c r="CE371" s="2"/>
      <c r="CF371" s="4"/>
      <c r="CG371" s="4"/>
      <c r="CI371" s="2"/>
    </row>
    <row r="372" spans="1:87" s="101" customFormat="1" x14ac:dyDescent="0.35">
      <c r="A372" s="1"/>
      <c r="C372" s="1"/>
      <c r="G372" s="2"/>
      <c r="H372" s="2"/>
      <c r="I372" s="2"/>
      <c r="J372" s="2"/>
      <c r="K372" s="81"/>
      <c r="L372" s="4"/>
      <c r="M372" s="4"/>
      <c r="N372" s="4"/>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3"/>
      <c r="AP372" s="2"/>
      <c r="AQ372" s="2"/>
      <c r="AR372" s="2"/>
      <c r="AS372" s="2"/>
      <c r="AT372" s="2"/>
      <c r="AU372" s="2"/>
      <c r="AV372" s="2"/>
      <c r="AW372" s="2"/>
      <c r="AX372" s="2"/>
      <c r="AY372" s="2"/>
      <c r="AZ372" s="5"/>
      <c r="BA372" s="2"/>
      <c r="BD372" s="2"/>
      <c r="BE372" s="2"/>
      <c r="BF372" s="2"/>
      <c r="BG372" s="2"/>
      <c r="BH372" s="2"/>
      <c r="BI372" s="2"/>
      <c r="BJ372" s="2"/>
      <c r="BK372" s="2"/>
      <c r="BM372" s="2"/>
      <c r="BN372" s="2"/>
      <c r="BO372" s="2"/>
      <c r="BP372" s="2"/>
      <c r="BQ372" s="2"/>
      <c r="BR372" s="6"/>
      <c r="BS372" s="6"/>
      <c r="BT372" s="2"/>
      <c r="BU372" s="2"/>
      <c r="BV372" s="2"/>
      <c r="BW372" s="2"/>
      <c r="BX372" s="2"/>
      <c r="BY372" s="2"/>
      <c r="BZ372" s="2"/>
      <c r="CA372" s="2"/>
      <c r="CB372" s="2"/>
      <c r="CC372" s="2"/>
      <c r="CD372" s="3"/>
      <c r="CE372" s="2"/>
      <c r="CF372" s="4"/>
      <c r="CG372" s="4"/>
      <c r="CI372" s="2"/>
    </row>
    <row r="373" spans="1:87" s="101" customFormat="1" x14ac:dyDescent="0.35">
      <c r="A373" s="1"/>
      <c r="C373" s="1"/>
      <c r="G373" s="2"/>
      <c r="H373" s="2"/>
      <c r="I373" s="2"/>
      <c r="J373" s="2"/>
      <c r="K373" s="81"/>
      <c r="L373" s="4"/>
      <c r="M373" s="4"/>
      <c r="N373" s="4"/>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3"/>
      <c r="AP373" s="2"/>
      <c r="AQ373" s="2"/>
      <c r="AR373" s="2"/>
      <c r="AS373" s="2"/>
      <c r="AT373" s="2"/>
      <c r="AU373" s="2"/>
      <c r="AV373" s="2"/>
      <c r="AW373" s="2"/>
      <c r="AX373" s="2"/>
      <c r="AY373" s="2"/>
      <c r="AZ373" s="5"/>
      <c r="BA373" s="2"/>
      <c r="BD373" s="2"/>
      <c r="BE373" s="2"/>
      <c r="BF373" s="2"/>
      <c r="BG373" s="2"/>
      <c r="BH373" s="2"/>
      <c r="BI373" s="2"/>
      <c r="BJ373" s="2"/>
      <c r="BK373" s="2"/>
      <c r="BM373" s="2"/>
      <c r="BN373" s="2"/>
      <c r="BO373" s="2"/>
      <c r="BP373" s="2"/>
      <c r="BQ373" s="2"/>
      <c r="BR373" s="6"/>
      <c r="BS373" s="6"/>
      <c r="BT373" s="2"/>
      <c r="BU373" s="2"/>
      <c r="BV373" s="2"/>
      <c r="BW373" s="2"/>
      <c r="BX373" s="2"/>
      <c r="BY373" s="2"/>
      <c r="BZ373" s="2"/>
      <c r="CA373" s="2"/>
      <c r="CB373" s="2"/>
      <c r="CC373" s="2"/>
      <c r="CD373" s="3"/>
      <c r="CE373" s="2"/>
      <c r="CF373" s="4"/>
      <c r="CG373" s="4"/>
      <c r="CI373" s="2"/>
    </row>
    <row r="374" spans="1:87" s="101" customFormat="1" x14ac:dyDescent="0.35">
      <c r="A374" s="1"/>
      <c r="C374" s="1"/>
      <c r="G374" s="2"/>
      <c r="H374" s="2"/>
      <c r="I374" s="2"/>
      <c r="J374" s="2"/>
      <c r="K374" s="81"/>
      <c r="L374" s="4"/>
      <c r="M374" s="4"/>
      <c r="N374" s="4"/>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3"/>
      <c r="AP374" s="2"/>
      <c r="AQ374" s="2"/>
      <c r="AR374" s="2"/>
      <c r="AS374" s="2"/>
      <c r="AT374" s="2"/>
      <c r="AU374" s="2"/>
      <c r="AV374" s="2"/>
      <c r="AW374" s="2"/>
      <c r="AX374" s="2"/>
      <c r="AY374" s="2"/>
      <c r="AZ374" s="5"/>
      <c r="BA374" s="2"/>
      <c r="BD374" s="2"/>
      <c r="BE374" s="2"/>
      <c r="BF374" s="2"/>
      <c r="BG374" s="2"/>
      <c r="BH374" s="2"/>
      <c r="BI374" s="2"/>
      <c r="BJ374" s="2"/>
      <c r="BK374" s="2"/>
      <c r="BM374" s="2"/>
      <c r="BN374" s="2"/>
      <c r="BO374" s="2"/>
      <c r="BP374" s="2"/>
      <c r="BQ374" s="2"/>
      <c r="BR374" s="6"/>
      <c r="BS374" s="6"/>
      <c r="BT374" s="2"/>
      <c r="BU374" s="2"/>
      <c r="BV374" s="2"/>
      <c r="BW374" s="2"/>
      <c r="BX374" s="2"/>
      <c r="BY374" s="2"/>
      <c r="BZ374" s="2"/>
      <c r="CA374" s="2"/>
      <c r="CB374" s="2"/>
      <c r="CC374" s="2"/>
      <c r="CD374" s="3"/>
      <c r="CE374" s="2"/>
      <c r="CF374" s="4"/>
      <c r="CG374" s="4"/>
      <c r="CI374" s="2"/>
    </row>
    <row r="375" spans="1:87" s="101" customFormat="1" x14ac:dyDescent="0.35">
      <c r="A375" s="1"/>
      <c r="C375" s="1"/>
      <c r="G375" s="2"/>
      <c r="H375" s="2"/>
      <c r="I375" s="2"/>
      <c r="J375" s="2"/>
      <c r="K375" s="81"/>
      <c r="L375" s="4"/>
      <c r="M375" s="4"/>
      <c r="N375" s="4"/>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3"/>
      <c r="AP375" s="2"/>
      <c r="AQ375" s="2"/>
      <c r="AR375" s="2"/>
      <c r="AS375" s="2"/>
      <c r="AT375" s="2"/>
      <c r="AU375" s="2"/>
      <c r="AV375" s="2"/>
      <c r="AW375" s="2"/>
      <c r="AX375" s="2"/>
      <c r="AY375" s="2"/>
      <c r="AZ375" s="5"/>
      <c r="BA375" s="2"/>
      <c r="BD375" s="2"/>
      <c r="BE375" s="2"/>
      <c r="BF375" s="2"/>
      <c r="BG375" s="2"/>
      <c r="BH375" s="2"/>
      <c r="BI375" s="2"/>
      <c r="BJ375" s="2"/>
      <c r="BK375" s="2"/>
      <c r="BM375" s="2"/>
      <c r="BN375" s="2"/>
      <c r="BO375" s="2"/>
      <c r="BP375" s="2"/>
      <c r="BQ375" s="2"/>
      <c r="BR375" s="6"/>
      <c r="BS375" s="6"/>
      <c r="BT375" s="2"/>
      <c r="BU375" s="2"/>
      <c r="BV375" s="2"/>
      <c r="BW375" s="2"/>
      <c r="BX375" s="2"/>
      <c r="BY375" s="2"/>
      <c r="BZ375" s="2"/>
      <c r="CA375" s="2"/>
      <c r="CB375" s="2"/>
      <c r="CC375" s="2"/>
      <c r="CD375" s="3"/>
      <c r="CE375" s="2"/>
      <c r="CF375" s="4"/>
      <c r="CG375" s="4"/>
      <c r="CI375" s="2"/>
    </row>
    <row r="376" spans="1:87" s="101" customFormat="1" x14ac:dyDescent="0.35">
      <c r="A376" s="1"/>
      <c r="C376" s="1"/>
      <c r="G376" s="2"/>
      <c r="H376" s="2"/>
      <c r="I376" s="2"/>
      <c r="J376" s="2"/>
      <c r="K376" s="81"/>
      <c r="L376" s="4"/>
      <c r="M376" s="4"/>
      <c r="N376" s="4"/>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3"/>
      <c r="AP376" s="2"/>
      <c r="AQ376" s="2"/>
      <c r="AR376" s="2"/>
      <c r="AS376" s="2"/>
      <c r="AT376" s="2"/>
      <c r="AU376" s="2"/>
      <c r="AV376" s="2"/>
      <c r="AW376" s="2"/>
      <c r="AX376" s="2"/>
      <c r="AY376" s="2"/>
      <c r="AZ376" s="5"/>
      <c r="BA376" s="2"/>
      <c r="BD376" s="2"/>
      <c r="BE376" s="2"/>
      <c r="BF376" s="2"/>
      <c r="BG376" s="2"/>
      <c r="BH376" s="2"/>
      <c r="BI376" s="2"/>
      <c r="BJ376" s="2"/>
      <c r="BK376" s="2"/>
      <c r="BM376" s="2"/>
      <c r="BN376" s="2"/>
      <c r="BO376" s="2"/>
      <c r="BP376" s="2"/>
      <c r="BQ376" s="2"/>
      <c r="BR376" s="6"/>
      <c r="BS376" s="6"/>
      <c r="BT376" s="2"/>
      <c r="BU376" s="2"/>
      <c r="BV376" s="2"/>
      <c r="BW376" s="2"/>
      <c r="BX376" s="2"/>
      <c r="BY376" s="2"/>
      <c r="BZ376" s="2"/>
      <c r="CA376" s="2"/>
      <c r="CB376" s="2"/>
      <c r="CC376" s="2"/>
      <c r="CD376" s="3"/>
      <c r="CE376" s="2"/>
      <c r="CF376" s="4"/>
      <c r="CG376" s="4"/>
      <c r="CI376" s="2"/>
    </row>
    <row r="377" spans="1:87" s="101" customFormat="1" x14ac:dyDescent="0.35">
      <c r="A377" s="1"/>
      <c r="C377" s="1"/>
      <c r="G377" s="2"/>
      <c r="H377" s="2"/>
      <c r="I377" s="2"/>
      <c r="J377" s="2"/>
      <c r="K377" s="81"/>
      <c r="L377" s="4"/>
      <c r="M377" s="4"/>
      <c r="N377" s="4"/>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3"/>
      <c r="AP377" s="2"/>
      <c r="AQ377" s="2"/>
      <c r="AR377" s="2"/>
      <c r="AS377" s="2"/>
      <c r="AT377" s="2"/>
      <c r="AU377" s="2"/>
      <c r="AV377" s="2"/>
      <c r="AW377" s="2"/>
      <c r="AX377" s="2"/>
      <c r="AY377" s="2"/>
      <c r="AZ377" s="5"/>
      <c r="BA377" s="2"/>
      <c r="BD377" s="2"/>
      <c r="BE377" s="2"/>
      <c r="BF377" s="2"/>
      <c r="BG377" s="2"/>
      <c r="BH377" s="2"/>
      <c r="BI377" s="2"/>
      <c r="BJ377" s="2"/>
      <c r="BK377" s="2"/>
      <c r="BM377" s="2"/>
      <c r="BN377" s="2"/>
      <c r="BO377" s="2"/>
      <c r="BP377" s="2"/>
      <c r="BQ377" s="2"/>
      <c r="BR377" s="6"/>
      <c r="BS377" s="6"/>
      <c r="BT377" s="2"/>
      <c r="BU377" s="2"/>
      <c r="BV377" s="2"/>
      <c r="BW377" s="2"/>
      <c r="BX377" s="2"/>
      <c r="BY377" s="2"/>
      <c r="BZ377" s="2"/>
      <c r="CA377" s="2"/>
      <c r="CB377" s="2"/>
      <c r="CC377" s="2"/>
      <c r="CD377" s="3"/>
      <c r="CE377" s="2"/>
      <c r="CF377" s="4"/>
      <c r="CG377" s="4"/>
      <c r="CI377" s="2"/>
    </row>
    <row r="378" spans="1:87" s="101" customFormat="1" x14ac:dyDescent="0.35">
      <c r="A378" s="1"/>
      <c r="C378" s="1"/>
      <c r="G378" s="2"/>
      <c r="H378" s="2"/>
      <c r="I378" s="2"/>
      <c r="J378" s="2"/>
      <c r="K378" s="81"/>
      <c r="L378" s="4"/>
      <c r="M378" s="4"/>
      <c r="N378" s="4"/>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3"/>
      <c r="AP378" s="2"/>
      <c r="AQ378" s="2"/>
      <c r="AR378" s="2"/>
      <c r="AS378" s="2"/>
      <c r="AT378" s="2"/>
      <c r="AU378" s="2"/>
      <c r="AV378" s="2"/>
      <c r="AW378" s="2"/>
      <c r="AX378" s="2"/>
      <c r="AY378" s="2"/>
      <c r="AZ378" s="5"/>
      <c r="BA378" s="2"/>
      <c r="BD378" s="2"/>
      <c r="BE378" s="2"/>
      <c r="BF378" s="2"/>
      <c r="BG378" s="2"/>
      <c r="BH378" s="2"/>
      <c r="BI378" s="2"/>
      <c r="BJ378" s="2"/>
      <c r="BK378" s="2"/>
      <c r="BM378" s="2"/>
      <c r="BN378" s="2"/>
      <c r="BO378" s="2"/>
      <c r="BP378" s="2"/>
      <c r="BQ378" s="2"/>
      <c r="BR378" s="6"/>
      <c r="BS378" s="6"/>
      <c r="BT378" s="2"/>
      <c r="BU378" s="2"/>
      <c r="BV378" s="2"/>
      <c r="BW378" s="2"/>
      <c r="BX378" s="2"/>
      <c r="BY378" s="2"/>
      <c r="BZ378" s="2"/>
      <c r="CA378" s="2"/>
      <c r="CB378" s="2"/>
      <c r="CC378" s="2"/>
      <c r="CD378" s="3"/>
      <c r="CE378" s="2"/>
      <c r="CF378" s="4"/>
      <c r="CG378" s="4"/>
      <c r="CI378" s="2"/>
    </row>
    <row r="379" spans="1:87" s="101" customFormat="1" x14ac:dyDescent="0.35">
      <c r="A379" s="1"/>
      <c r="C379" s="1"/>
      <c r="G379" s="2"/>
      <c r="H379" s="2"/>
      <c r="I379" s="2"/>
      <c r="J379" s="2"/>
      <c r="K379" s="81"/>
      <c r="L379" s="4"/>
      <c r="M379" s="4"/>
      <c r="N379" s="4"/>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3"/>
      <c r="AP379" s="2"/>
      <c r="AQ379" s="2"/>
      <c r="AR379" s="2"/>
      <c r="AS379" s="2"/>
      <c r="AT379" s="2"/>
      <c r="AU379" s="2"/>
      <c r="AV379" s="2"/>
      <c r="AW379" s="2"/>
      <c r="AX379" s="2"/>
      <c r="AY379" s="2"/>
      <c r="AZ379" s="5"/>
      <c r="BA379" s="2"/>
      <c r="BD379" s="2"/>
      <c r="BE379" s="2"/>
      <c r="BF379" s="2"/>
      <c r="BG379" s="2"/>
      <c r="BH379" s="2"/>
      <c r="BI379" s="2"/>
      <c r="BJ379" s="2"/>
      <c r="BK379" s="2"/>
      <c r="BM379" s="2"/>
      <c r="BN379" s="2"/>
      <c r="BO379" s="2"/>
      <c r="BP379" s="2"/>
      <c r="BQ379" s="2"/>
      <c r="BR379" s="6"/>
      <c r="BS379" s="6"/>
      <c r="BT379" s="2"/>
      <c r="BU379" s="2"/>
      <c r="BV379" s="2"/>
      <c r="BW379" s="2"/>
      <c r="BX379" s="2"/>
      <c r="BY379" s="2"/>
      <c r="BZ379" s="2"/>
      <c r="CA379" s="2"/>
      <c r="CB379" s="2"/>
      <c r="CC379" s="2"/>
      <c r="CD379" s="3"/>
      <c r="CE379" s="2"/>
      <c r="CF379" s="4"/>
      <c r="CG379" s="4"/>
      <c r="CI379" s="2"/>
    </row>
    <row r="380" spans="1:87" s="101" customFormat="1" x14ac:dyDescent="0.35">
      <c r="A380" s="1"/>
      <c r="C380" s="1"/>
      <c r="G380" s="2"/>
      <c r="H380" s="2"/>
      <c r="I380" s="2"/>
      <c r="J380" s="2"/>
      <c r="K380" s="81"/>
      <c r="L380" s="4"/>
      <c r="M380" s="4"/>
      <c r="N380" s="4"/>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3"/>
      <c r="AP380" s="2"/>
      <c r="AQ380" s="2"/>
      <c r="AR380" s="2"/>
      <c r="AS380" s="2"/>
      <c r="AT380" s="2"/>
      <c r="AU380" s="2"/>
      <c r="AV380" s="2"/>
      <c r="AW380" s="2"/>
      <c r="AX380" s="2"/>
      <c r="AY380" s="2"/>
      <c r="AZ380" s="5"/>
      <c r="BA380" s="2"/>
      <c r="BD380" s="2"/>
      <c r="BE380" s="2"/>
      <c r="BF380" s="2"/>
      <c r="BG380" s="2"/>
      <c r="BH380" s="2"/>
      <c r="BI380" s="2"/>
      <c r="BJ380" s="2"/>
      <c r="BK380" s="2"/>
      <c r="BM380" s="2"/>
      <c r="BN380" s="2"/>
      <c r="BO380" s="2"/>
      <c r="BP380" s="2"/>
      <c r="BQ380" s="2"/>
      <c r="BR380" s="6"/>
      <c r="BS380" s="6"/>
      <c r="BT380" s="2"/>
      <c r="BU380" s="2"/>
      <c r="BV380" s="2"/>
      <c r="BW380" s="2"/>
      <c r="BX380" s="2"/>
      <c r="BY380" s="2"/>
      <c r="BZ380" s="2"/>
      <c r="CA380" s="2"/>
      <c r="CB380" s="2"/>
      <c r="CC380" s="2"/>
      <c r="CD380" s="3"/>
      <c r="CE380" s="2"/>
      <c r="CF380" s="4"/>
      <c r="CG380" s="4"/>
      <c r="CI380" s="2"/>
    </row>
    <row r="381" spans="1:87" s="101" customFormat="1" x14ac:dyDescent="0.35">
      <c r="A381" s="1"/>
      <c r="C381" s="1"/>
      <c r="G381" s="2"/>
      <c r="H381" s="2"/>
      <c r="I381" s="2"/>
      <c r="J381" s="2"/>
      <c r="K381" s="81"/>
      <c r="L381" s="4"/>
      <c r="M381" s="4"/>
      <c r="N381" s="4"/>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3"/>
      <c r="AP381" s="2"/>
      <c r="AQ381" s="2"/>
      <c r="AR381" s="2"/>
      <c r="AS381" s="2"/>
      <c r="AT381" s="2"/>
      <c r="AU381" s="2"/>
      <c r="AV381" s="2"/>
      <c r="AW381" s="2"/>
      <c r="AX381" s="2"/>
      <c r="AY381" s="2"/>
      <c r="AZ381" s="5"/>
      <c r="BA381" s="2"/>
      <c r="BD381" s="2"/>
      <c r="BE381" s="2"/>
      <c r="BF381" s="2"/>
      <c r="BG381" s="2"/>
      <c r="BH381" s="2"/>
      <c r="BI381" s="2"/>
      <c r="BJ381" s="2"/>
      <c r="BK381" s="2"/>
      <c r="BM381" s="2"/>
      <c r="BN381" s="2"/>
      <c r="BO381" s="2"/>
      <c r="BP381" s="2"/>
      <c r="BQ381" s="2"/>
      <c r="BR381" s="6"/>
      <c r="BS381" s="6"/>
      <c r="BT381" s="2"/>
      <c r="BU381" s="2"/>
      <c r="BV381" s="2"/>
      <c r="BW381" s="2"/>
      <c r="BX381" s="2"/>
      <c r="BY381" s="2"/>
      <c r="BZ381" s="2"/>
      <c r="CA381" s="2"/>
      <c r="CB381" s="2"/>
      <c r="CC381" s="2"/>
      <c r="CD381" s="3"/>
      <c r="CE381" s="2"/>
      <c r="CF381" s="4"/>
      <c r="CG381" s="4"/>
      <c r="CI381" s="2"/>
    </row>
    <row r="382" spans="1:87" s="101" customFormat="1" x14ac:dyDescent="0.35">
      <c r="A382" s="1"/>
      <c r="C382" s="1"/>
      <c r="G382" s="2"/>
      <c r="H382" s="2"/>
      <c r="I382" s="2"/>
      <c r="J382" s="2"/>
      <c r="K382" s="81"/>
      <c r="L382" s="4"/>
      <c r="M382" s="4"/>
      <c r="N382" s="4"/>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3"/>
      <c r="AP382" s="2"/>
      <c r="AQ382" s="2"/>
      <c r="AR382" s="2"/>
      <c r="AS382" s="2"/>
      <c r="AT382" s="2"/>
      <c r="AU382" s="2"/>
      <c r="AV382" s="2"/>
      <c r="AW382" s="2"/>
      <c r="AX382" s="2"/>
      <c r="AY382" s="2"/>
      <c r="AZ382" s="5"/>
      <c r="BA382" s="2"/>
      <c r="BD382" s="2"/>
      <c r="BE382" s="2"/>
      <c r="BF382" s="2"/>
      <c r="BG382" s="2"/>
      <c r="BH382" s="2"/>
      <c r="BI382" s="2"/>
      <c r="BJ382" s="2"/>
      <c r="BK382" s="2"/>
      <c r="BM382" s="2"/>
      <c r="BN382" s="2"/>
      <c r="BO382" s="2"/>
      <c r="BP382" s="2"/>
      <c r="BQ382" s="2"/>
      <c r="BR382" s="6"/>
      <c r="BS382" s="6"/>
      <c r="BT382" s="2"/>
      <c r="BU382" s="2"/>
      <c r="BV382" s="2"/>
      <c r="BW382" s="2"/>
      <c r="BX382" s="2"/>
      <c r="BY382" s="2"/>
      <c r="BZ382" s="2"/>
      <c r="CA382" s="2"/>
      <c r="CB382" s="2"/>
      <c r="CC382" s="2"/>
      <c r="CD382" s="3"/>
      <c r="CE382" s="2"/>
      <c r="CF382" s="4"/>
      <c r="CG382" s="4"/>
      <c r="CI382" s="2"/>
    </row>
    <row r="383" spans="1:87" s="101" customFormat="1" x14ac:dyDescent="0.35">
      <c r="A383" s="1"/>
      <c r="C383" s="1"/>
      <c r="G383" s="2"/>
      <c r="H383" s="2"/>
      <c r="I383" s="2"/>
      <c r="J383" s="2"/>
      <c r="K383" s="81"/>
      <c r="L383" s="4"/>
      <c r="M383" s="4"/>
      <c r="N383" s="4"/>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3"/>
      <c r="AP383" s="2"/>
      <c r="AQ383" s="2"/>
      <c r="AR383" s="2"/>
      <c r="AS383" s="2"/>
      <c r="AT383" s="2"/>
      <c r="AU383" s="2"/>
      <c r="AV383" s="2"/>
      <c r="AW383" s="2"/>
      <c r="AX383" s="2"/>
      <c r="AY383" s="2"/>
      <c r="AZ383" s="5"/>
      <c r="BA383" s="2"/>
      <c r="BD383" s="2"/>
      <c r="BE383" s="2"/>
      <c r="BF383" s="2"/>
      <c r="BG383" s="2"/>
      <c r="BH383" s="2"/>
      <c r="BI383" s="2"/>
      <c r="BJ383" s="2"/>
      <c r="BK383" s="2"/>
      <c r="BM383" s="2"/>
      <c r="BN383" s="2"/>
      <c r="BO383" s="2"/>
      <c r="BP383" s="2"/>
      <c r="BQ383" s="2"/>
      <c r="BR383" s="6"/>
      <c r="BS383" s="6"/>
      <c r="BT383" s="2"/>
      <c r="BU383" s="2"/>
      <c r="BV383" s="2"/>
      <c r="BW383" s="2"/>
      <c r="BX383" s="2"/>
      <c r="BY383" s="2"/>
      <c r="BZ383" s="2"/>
      <c r="CA383" s="2"/>
      <c r="CB383" s="2"/>
      <c r="CC383" s="2"/>
      <c r="CD383" s="3"/>
      <c r="CE383" s="2"/>
      <c r="CF383" s="4"/>
      <c r="CG383" s="4"/>
      <c r="CI383" s="2"/>
    </row>
    <row r="384" spans="1:87" s="101" customFormat="1" x14ac:dyDescent="0.35">
      <c r="A384" s="1"/>
      <c r="C384" s="1"/>
      <c r="G384" s="2"/>
      <c r="H384" s="2"/>
      <c r="I384" s="2"/>
      <c r="J384" s="2"/>
      <c r="K384" s="81"/>
      <c r="L384" s="4"/>
      <c r="M384" s="4"/>
      <c r="N384" s="4"/>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3"/>
      <c r="AP384" s="2"/>
      <c r="AQ384" s="2"/>
      <c r="AR384" s="2"/>
      <c r="AS384" s="2"/>
      <c r="AT384" s="2"/>
      <c r="AU384" s="2"/>
      <c r="AV384" s="2"/>
      <c r="AW384" s="2"/>
      <c r="AX384" s="2"/>
      <c r="AY384" s="2"/>
      <c r="AZ384" s="5"/>
      <c r="BA384" s="2"/>
      <c r="BD384" s="2"/>
      <c r="BE384" s="2"/>
      <c r="BF384" s="2"/>
      <c r="BG384" s="2"/>
      <c r="BH384" s="2"/>
      <c r="BI384" s="2"/>
      <c r="BJ384" s="2"/>
      <c r="BK384" s="2"/>
      <c r="BM384" s="2"/>
      <c r="BN384" s="2"/>
      <c r="BO384" s="2"/>
      <c r="BP384" s="2"/>
      <c r="BQ384" s="2"/>
      <c r="BR384" s="6"/>
      <c r="BS384" s="6"/>
      <c r="BT384" s="2"/>
      <c r="BU384" s="2"/>
      <c r="BV384" s="2"/>
      <c r="BW384" s="2"/>
      <c r="BX384" s="2"/>
      <c r="BY384" s="2"/>
      <c r="BZ384" s="2"/>
      <c r="CA384" s="2"/>
      <c r="CB384" s="2"/>
      <c r="CC384" s="2"/>
      <c r="CD384" s="3"/>
      <c r="CE384" s="2"/>
      <c r="CF384" s="4"/>
      <c r="CG384" s="4"/>
      <c r="CI384" s="2"/>
    </row>
    <row r="385" spans="1:87" s="101" customFormat="1" x14ac:dyDescent="0.35">
      <c r="A385" s="1"/>
      <c r="C385" s="1"/>
      <c r="G385" s="2"/>
      <c r="H385" s="2"/>
      <c r="I385" s="2"/>
      <c r="J385" s="2"/>
      <c r="K385" s="81"/>
      <c r="L385" s="4"/>
      <c r="M385" s="4"/>
      <c r="N385" s="4"/>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3"/>
      <c r="AP385" s="2"/>
      <c r="AQ385" s="2"/>
      <c r="AR385" s="2"/>
      <c r="AS385" s="2"/>
      <c r="AT385" s="2"/>
      <c r="AU385" s="2"/>
      <c r="AV385" s="2"/>
      <c r="AW385" s="2"/>
      <c r="AX385" s="2"/>
      <c r="AY385" s="2"/>
      <c r="AZ385" s="5"/>
      <c r="BA385" s="2"/>
      <c r="BD385" s="2"/>
      <c r="BE385" s="2"/>
      <c r="BF385" s="2"/>
      <c r="BG385" s="2"/>
      <c r="BH385" s="2"/>
      <c r="BI385" s="2"/>
      <c r="BJ385" s="2"/>
      <c r="BK385" s="2"/>
      <c r="BM385" s="2"/>
      <c r="BN385" s="2"/>
      <c r="BO385" s="2"/>
      <c r="BP385" s="2"/>
      <c r="BQ385" s="2"/>
      <c r="BR385" s="6"/>
      <c r="BS385" s="6"/>
      <c r="BT385" s="2"/>
      <c r="BU385" s="2"/>
      <c r="BV385" s="2"/>
      <c r="BW385" s="2"/>
      <c r="BX385" s="2"/>
      <c r="BY385" s="2"/>
      <c r="BZ385" s="2"/>
      <c r="CA385" s="2"/>
      <c r="CB385" s="2"/>
      <c r="CC385" s="2"/>
      <c r="CD385" s="3"/>
      <c r="CE385" s="2"/>
      <c r="CF385" s="4"/>
      <c r="CG385" s="4"/>
      <c r="CI385" s="2"/>
    </row>
    <row r="386" spans="1:87" s="101" customFormat="1" x14ac:dyDescent="0.35">
      <c r="A386" s="1"/>
      <c r="C386" s="1"/>
      <c r="G386" s="2"/>
      <c r="H386" s="2"/>
      <c r="I386" s="2"/>
      <c r="J386" s="2"/>
      <c r="K386" s="81"/>
      <c r="L386" s="4"/>
      <c r="M386" s="4"/>
      <c r="N386" s="4"/>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3"/>
      <c r="AP386" s="2"/>
      <c r="AQ386" s="2"/>
      <c r="AR386" s="2"/>
      <c r="AS386" s="2"/>
      <c r="AT386" s="2"/>
      <c r="AU386" s="2"/>
      <c r="AV386" s="2"/>
      <c r="AW386" s="2"/>
      <c r="AX386" s="2"/>
      <c r="AY386" s="2"/>
      <c r="AZ386" s="5"/>
      <c r="BA386" s="2"/>
      <c r="BD386" s="2"/>
      <c r="BE386" s="2"/>
      <c r="BF386" s="2"/>
      <c r="BG386" s="2"/>
      <c r="BH386" s="2"/>
      <c r="BI386" s="2"/>
      <c r="BJ386" s="2"/>
      <c r="BK386" s="2"/>
      <c r="BM386" s="2"/>
      <c r="BN386" s="2"/>
      <c r="BO386" s="2"/>
      <c r="BP386" s="2"/>
      <c r="BQ386" s="2"/>
      <c r="BR386" s="6"/>
      <c r="BS386" s="6"/>
      <c r="BT386" s="2"/>
      <c r="BU386" s="2"/>
      <c r="BV386" s="2"/>
      <c r="BW386" s="2"/>
      <c r="BX386" s="2"/>
      <c r="BY386" s="2"/>
      <c r="BZ386" s="2"/>
      <c r="CA386" s="2"/>
      <c r="CB386" s="2"/>
      <c r="CC386" s="2"/>
      <c r="CD386" s="3"/>
      <c r="CE386" s="2"/>
      <c r="CF386" s="4"/>
      <c r="CG386" s="4"/>
      <c r="CI386" s="2"/>
    </row>
    <row r="387" spans="1:87" s="101" customFormat="1" x14ac:dyDescent="0.35">
      <c r="A387" s="1"/>
      <c r="C387" s="1"/>
      <c r="G387" s="2"/>
      <c r="H387" s="2"/>
      <c r="I387" s="2"/>
      <c r="J387" s="2"/>
      <c r="K387" s="81"/>
      <c r="L387" s="4"/>
      <c r="M387" s="4"/>
      <c r="N387" s="4"/>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3"/>
      <c r="AP387" s="2"/>
      <c r="AQ387" s="2"/>
      <c r="AR387" s="2"/>
      <c r="AS387" s="2"/>
      <c r="AT387" s="2"/>
      <c r="AU387" s="2"/>
      <c r="AV387" s="2"/>
      <c r="AW387" s="2"/>
      <c r="AX387" s="2"/>
      <c r="AY387" s="2"/>
      <c r="AZ387" s="5"/>
      <c r="BA387" s="2"/>
      <c r="BD387" s="2"/>
      <c r="BE387" s="2"/>
      <c r="BF387" s="2"/>
      <c r="BG387" s="2"/>
      <c r="BH387" s="2"/>
      <c r="BI387" s="2"/>
      <c r="BJ387" s="2"/>
      <c r="BK387" s="2"/>
      <c r="BM387" s="2"/>
      <c r="BN387" s="2"/>
      <c r="BO387" s="2"/>
      <c r="BP387" s="2"/>
      <c r="BQ387" s="2"/>
      <c r="BR387" s="6"/>
      <c r="BS387" s="6"/>
      <c r="BT387" s="2"/>
      <c r="BU387" s="2"/>
      <c r="BV387" s="2"/>
      <c r="BW387" s="2"/>
      <c r="BX387" s="2"/>
      <c r="BY387" s="2"/>
      <c r="BZ387" s="2"/>
      <c r="CA387" s="2"/>
      <c r="CB387" s="2"/>
      <c r="CC387" s="2"/>
      <c r="CD387" s="3"/>
      <c r="CE387" s="2"/>
      <c r="CF387" s="4"/>
      <c r="CG387" s="4"/>
      <c r="CI387" s="2"/>
    </row>
    <row r="388" spans="1:87" s="101" customFormat="1" x14ac:dyDescent="0.35">
      <c r="A388" s="1"/>
      <c r="C388" s="1"/>
      <c r="G388" s="2"/>
      <c r="H388" s="2"/>
      <c r="I388" s="2"/>
      <c r="J388" s="2"/>
      <c r="K388" s="81"/>
      <c r="L388" s="4"/>
      <c r="M388" s="4"/>
      <c r="N388" s="4"/>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3"/>
      <c r="AP388" s="2"/>
      <c r="AQ388" s="2"/>
      <c r="AR388" s="2"/>
      <c r="AS388" s="2"/>
      <c r="AT388" s="2"/>
      <c r="AU388" s="2"/>
      <c r="AV388" s="2"/>
      <c r="AW388" s="2"/>
      <c r="AX388" s="2"/>
      <c r="AY388" s="2"/>
      <c r="AZ388" s="5"/>
      <c r="BA388" s="2"/>
      <c r="BD388" s="2"/>
      <c r="BE388" s="2"/>
      <c r="BF388" s="2"/>
      <c r="BG388" s="2"/>
      <c r="BH388" s="2"/>
      <c r="BI388" s="2"/>
      <c r="BJ388" s="2"/>
      <c r="BK388" s="2"/>
      <c r="BM388" s="2"/>
      <c r="BN388" s="2"/>
      <c r="BO388" s="2"/>
      <c r="BP388" s="2"/>
      <c r="BQ388" s="2"/>
      <c r="BR388" s="6"/>
      <c r="BS388" s="6"/>
      <c r="BT388" s="2"/>
      <c r="BU388" s="2"/>
      <c r="BV388" s="2"/>
      <c r="BW388" s="2"/>
      <c r="BX388" s="2"/>
      <c r="BY388" s="2"/>
      <c r="BZ388" s="2"/>
      <c r="CA388" s="2"/>
      <c r="CB388" s="2"/>
      <c r="CC388" s="2"/>
      <c r="CD388" s="3"/>
      <c r="CE388" s="2"/>
      <c r="CF388" s="4"/>
      <c r="CG388" s="4"/>
      <c r="CI388" s="2"/>
    </row>
    <row r="389" spans="1:87" s="101" customFormat="1" x14ac:dyDescent="0.35">
      <c r="A389" s="1"/>
      <c r="C389" s="1"/>
      <c r="G389" s="2"/>
      <c r="H389" s="2"/>
      <c r="I389" s="2"/>
      <c r="J389" s="2"/>
      <c r="K389" s="81"/>
      <c r="L389" s="4"/>
      <c r="M389" s="4"/>
      <c r="N389" s="4"/>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3"/>
      <c r="AP389" s="2"/>
      <c r="AQ389" s="2"/>
      <c r="AR389" s="2"/>
      <c r="AS389" s="2"/>
      <c r="AT389" s="2"/>
      <c r="AU389" s="2"/>
      <c r="AV389" s="2"/>
      <c r="AW389" s="2"/>
      <c r="AX389" s="2"/>
      <c r="AY389" s="2"/>
      <c r="AZ389" s="5"/>
      <c r="BA389" s="2"/>
      <c r="BD389" s="2"/>
      <c r="BE389" s="2"/>
      <c r="BF389" s="2"/>
      <c r="BG389" s="2"/>
      <c r="BH389" s="2"/>
      <c r="BI389" s="2"/>
      <c r="BJ389" s="2"/>
      <c r="BK389" s="2"/>
      <c r="BM389" s="2"/>
      <c r="BN389" s="2"/>
      <c r="BO389" s="2"/>
      <c r="BP389" s="2"/>
      <c r="BQ389" s="2"/>
      <c r="BR389" s="6"/>
      <c r="BS389" s="6"/>
      <c r="BT389" s="2"/>
      <c r="BU389" s="2"/>
      <c r="BV389" s="2"/>
      <c r="BW389" s="2"/>
      <c r="BX389" s="2"/>
      <c r="BY389" s="2"/>
      <c r="BZ389" s="2"/>
      <c r="CA389" s="2"/>
      <c r="CB389" s="2"/>
      <c r="CC389" s="2"/>
      <c r="CD389" s="3"/>
      <c r="CE389" s="2"/>
      <c r="CF389" s="4"/>
      <c r="CG389" s="4"/>
      <c r="CI389" s="2"/>
    </row>
    <row r="390" spans="1:87" s="101" customFormat="1" x14ac:dyDescent="0.35">
      <c r="A390" s="1"/>
      <c r="C390" s="1"/>
      <c r="G390" s="2"/>
      <c r="H390" s="2"/>
      <c r="I390" s="2"/>
      <c r="J390" s="2"/>
      <c r="K390" s="81"/>
      <c r="L390" s="4"/>
      <c r="M390" s="4"/>
      <c r="N390" s="4"/>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3"/>
      <c r="AP390" s="2"/>
      <c r="AQ390" s="2"/>
      <c r="AR390" s="2"/>
      <c r="AS390" s="2"/>
      <c r="AT390" s="2"/>
      <c r="AU390" s="2"/>
      <c r="AV390" s="2"/>
      <c r="AW390" s="2"/>
      <c r="AX390" s="2"/>
      <c r="AY390" s="2"/>
      <c r="AZ390" s="5"/>
      <c r="BA390" s="2"/>
      <c r="BD390" s="2"/>
      <c r="BE390" s="2"/>
      <c r="BF390" s="2"/>
      <c r="BG390" s="2"/>
      <c r="BH390" s="2"/>
      <c r="BI390" s="2"/>
      <c r="BJ390" s="2"/>
      <c r="BK390" s="2"/>
      <c r="BM390" s="2"/>
      <c r="BN390" s="2"/>
      <c r="BO390" s="2"/>
      <c r="BP390" s="2"/>
      <c r="BQ390" s="2"/>
      <c r="BR390" s="6"/>
      <c r="BS390" s="6"/>
      <c r="BT390" s="2"/>
      <c r="BU390" s="2"/>
      <c r="BV390" s="2"/>
      <c r="BW390" s="2"/>
      <c r="BX390" s="2"/>
      <c r="BY390" s="2"/>
      <c r="BZ390" s="2"/>
      <c r="CA390" s="2"/>
      <c r="CB390" s="2"/>
      <c r="CC390" s="2"/>
      <c r="CD390" s="3"/>
      <c r="CE390" s="2"/>
      <c r="CF390" s="4"/>
      <c r="CG390" s="4"/>
      <c r="CI390" s="2"/>
    </row>
    <row r="391" spans="1:87" s="101" customFormat="1" x14ac:dyDescent="0.35">
      <c r="A391" s="1"/>
      <c r="C391" s="1"/>
      <c r="G391" s="2"/>
      <c r="H391" s="2"/>
      <c r="I391" s="2"/>
      <c r="J391" s="2"/>
      <c r="K391" s="81"/>
      <c r="L391" s="4"/>
      <c r="M391" s="4"/>
      <c r="N391" s="4"/>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3"/>
      <c r="AP391" s="2"/>
      <c r="AQ391" s="2"/>
      <c r="AR391" s="2"/>
      <c r="AS391" s="2"/>
      <c r="AT391" s="2"/>
      <c r="AU391" s="2"/>
      <c r="AV391" s="2"/>
      <c r="AW391" s="2"/>
      <c r="AX391" s="2"/>
      <c r="AY391" s="2"/>
      <c r="AZ391" s="5"/>
      <c r="BA391" s="2"/>
      <c r="BD391" s="2"/>
      <c r="BE391" s="2"/>
      <c r="BF391" s="2"/>
      <c r="BG391" s="2"/>
      <c r="BH391" s="2"/>
      <c r="BI391" s="2"/>
      <c r="BJ391" s="2"/>
      <c r="BK391" s="2"/>
      <c r="BM391" s="2"/>
      <c r="BN391" s="2"/>
      <c r="BO391" s="2"/>
      <c r="BP391" s="2"/>
      <c r="BQ391" s="2"/>
      <c r="BR391" s="6"/>
      <c r="BS391" s="6"/>
      <c r="BT391" s="2"/>
      <c r="BU391" s="2"/>
      <c r="BV391" s="2"/>
      <c r="BW391" s="2"/>
      <c r="BX391" s="2"/>
      <c r="BY391" s="2"/>
      <c r="BZ391" s="2"/>
      <c r="CA391" s="2"/>
      <c r="CB391" s="2"/>
      <c r="CC391" s="2"/>
      <c r="CD391" s="3"/>
      <c r="CE391" s="2"/>
      <c r="CF391" s="4"/>
      <c r="CG391" s="4"/>
      <c r="CI391" s="2"/>
    </row>
    <row r="392" spans="1:87" s="101" customFormat="1" x14ac:dyDescent="0.35">
      <c r="A392" s="1"/>
      <c r="C392" s="1"/>
      <c r="G392" s="2"/>
      <c r="H392" s="2"/>
      <c r="I392" s="2"/>
      <c r="J392" s="2"/>
      <c r="K392" s="81"/>
      <c r="L392" s="4"/>
      <c r="M392" s="4"/>
      <c r="N392" s="4"/>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3"/>
      <c r="AP392" s="2"/>
      <c r="AQ392" s="2"/>
      <c r="AR392" s="2"/>
      <c r="AS392" s="2"/>
      <c r="AT392" s="2"/>
      <c r="AU392" s="2"/>
      <c r="AV392" s="2"/>
      <c r="AW392" s="2"/>
      <c r="AX392" s="2"/>
      <c r="AY392" s="2"/>
      <c r="AZ392" s="5"/>
      <c r="BA392" s="2"/>
      <c r="BD392" s="2"/>
      <c r="BE392" s="2"/>
      <c r="BF392" s="2"/>
      <c r="BG392" s="2"/>
      <c r="BH392" s="2"/>
      <c r="BI392" s="2"/>
      <c r="BJ392" s="2"/>
      <c r="BK392" s="2"/>
      <c r="BM392" s="2"/>
      <c r="BN392" s="2"/>
      <c r="BO392" s="2"/>
      <c r="BP392" s="2"/>
      <c r="BQ392" s="2"/>
      <c r="BR392" s="6"/>
      <c r="BS392" s="6"/>
      <c r="BT392" s="2"/>
      <c r="BU392" s="2"/>
      <c r="BV392" s="2"/>
      <c r="BW392" s="2"/>
      <c r="BX392" s="2"/>
      <c r="BY392" s="2"/>
      <c r="BZ392" s="2"/>
      <c r="CA392" s="2"/>
      <c r="CB392" s="2"/>
      <c r="CC392" s="2"/>
      <c r="CD392" s="3"/>
      <c r="CE392" s="2"/>
      <c r="CF392" s="4"/>
      <c r="CG392" s="4"/>
      <c r="CI392" s="2"/>
    </row>
    <row r="393" spans="1:87" s="101" customFormat="1" x14ac:dyDescent="0.35">
      <c r="A393" s="1"/>
      <c r="C393" s="1"/>
      <c r="G393" s="2"/>
      <c r="H393" s="2"/>
      <c r="I393" s="2"/>
      <c r="J393" s="2"/>
      <c r="K393" s="81"/>
      <c r="L393" s="4"/>
      <c r="M393" s="4"/>
      <c r="N393" s="4"/>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3"/>
      <c r="AP393" s="2"/>
      <c r="AQ393" s="2"/>
      <c r="AR393" s="2"/>
      <c r="AS393" s="2"/>
      <c r="AT393" s="2"/>
      <c r="AU393" s="2"/>
      <c r="AV393" s="2"/>
      <c r="AW393" s="2"/>
      <c r="AX393" s="2"/>
      <c r="AY393" s="2"/>
      <c r="AZ393" s="5"/>
      <c r="BA393" s="2"/>
      <c r="BD393" s="2"/>
      <c r="BE393" s="2"/>
      <c r="BF393" s="2"/>
      <c r="BG393" s="2"/>
      <c r="BH393" s="2"/>
      <c r="BI393" s="2"/>
      <c r="BJ393" s="2"/>
      <c r="BK393" s="2"/>
      <c r="BM393" s="2"/>
      <c r="BN393" s="2"/>
      <c r="BO393" s="2"/>
      <c r="BP393" s="2"/>
      <c r="BQ393" s="2"/>
      <c r="BR393" s="6"/>
      <c r="BS393" s="6"/>
      <c r="BT393" s="2"/>
      <c r="BU393" s="2"/>
      <c r="BV393" s="2"/>
      <c r="BW393" s="2"/>
      <c r="BX393" s="2"/>
      <c r="BY393" s="2"/>
      <c r="BZ393" s="2"/>
      <c r="CA393" s="2"/>
      <c r="CB393" s="2"/>
      <c r="CC393" s="2"/>
      <c r="CD393" s="3"/>
      <c r="CE393" s="2"/>
      <c r="CF393" s="4"/>
      <c r="CG393" s="4"/>
      <c r="CI393" s="2"/>
    </row>
    <row r="394" spans="1:87" s="101" customFormat="1" x14ac:dyDescent="0.35">
      <c r="A394" s="1"/>
      <c r="C394" s="1"/>
      <c r="G394" s="2"/>
      <c r="H394" s="2"/>
      <c r="I394" s="2"/>
      <c r="J394" s="2"/>
      <c r="K394" s="81"/>
      <c r="L394" s="4"/>
      <c r="M394" s="4"/>
      <c r="N394" s="4"/>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3"/>
      <c r="AP394" s="2"/>
      <c r="AQ394" s="2"/>
      <c r="AR394" s="2"/>
      <c r="AS394" s="2"/>
      <c r="AT394" s="2"/>
      <c r="AU394" s="2"/>
      <c r="AV394" s="2"/>
      <c r="AW394" s="2"/>
      <c r="AX394" s="2"/>
      <c r="AY394" s="2"/>
      <c r="AZ394" s="5"/>
      <c r="BA394" s="2"/>
      <c r="BD394" s="2"/>
      <c r="BE394" s="2"/>
      <c r="BF394" s="2"/>
      <c r="BG394" s="2"/>
      <c r="BH394" s="2"/>
      <c r="BI394" s="2"/>
      <c r="BJ394" s="2"/>
      <c r="BK394" s="2"/>
      <c r="BM394" s="2"/>
      <c r="BN394" s="2"/>
      <c r="BO394" s="2"/>
      <c r="BP394" s="2"/>
      <c r="BQ394" s="2"/>
      <c r="BR394" s="6"/>
      <c r="BS394" s="6"/>
      <c r="BT394" s="2"/>
      <c r="BU394" s="2"/>
      <c r="BV394" s="2"/>
      <c r="BW394" s="2"/>
      <c r="BX394" s="2"/>
      <c r="BY394" s="2"/>
      <c r="BZ394" s="2"/>
      <c r="CA394" s="2"/>
      <c r="CB394" s="2"/>
      <c r="CC394" s="2"/>
      <c r="CD394" s="3"/>
      <c r="CE394" s="2"/>
      <c r="CF394" s="4"/>
      <c r="CG394" s="4"/>
      <c r="CI394" s="2"/>
    </row>
    <row r="395" spans="1:87" s="101" customFormat="1" x14ac:dyDescent="0.35">
      <c r="A395" s="1"/>
      <c r="C395" s="1"/>
      <c r="G395" s="2"/>
      <c r="H395" s="2"/>
      <c r="I395" s="2"/>
      <c r="J395" s="2"/>
      <c r="K395" s="81"/>
      <c r="L395" s="4"/>
      <c r="M395" s="4"/>
      <c r="N395" s="4"/>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3"/>
      <c r="AP395" s="2"/>
      <c r="AQ395" s="2"/>
      <c r="AR395" s="2"/>
      <c r="AS395" s="2"/>
      <c r="AT395" s="2"/>
      <c r="AU395" s="2"/>
      <c r="AV395" s="2"/>
      <c r="AW395" s="2"/>
      <c r="AX395" s="2"/>
      <c r="AY395" s="2"/>
      <c r="AZ395" s="5"/>
      <c r="BA395" s="2"/>
      <c r="BD395" s="2"/>
      <c r="BE395" s="2"/>
      <c r="BF395" s="2"/>
      <c r="BG395" s="2"/>
      <c r="BH395" s="2"/>
      <c r="BI395" s="2"/>
      <c r="BJ395" s="2"/>
      <c r="BK395" s="2"/>
      <c r="BM395" s="2"/>
      <c r="BN395" s="2"/>
      <c r="BO395" s="2"/>
      <c r="BP395" s="2"/>
      <c r="BQ395" s="2"/>
      <c r="BR395" s="6"/>
      <c r="BS395" s="6"/>
      <c r="BT395" s="2"/>
      <c r="BU395" s="2"/>
      <c r="BV395" s="2"/>
      <c r="BW395" s="2"/>
      <c r="BX395" s="2"/>
      <c r="BY395" s="2"/>
      <c r="BZ395" s="2"/>
      <c r="CA395" s="2"/>
      <c r="CB395" s="2"/>
      <c r="CC395" s="2"/>
      <c r="CD395" s="3"/>
      <c r="CE395" s="2"/>
      <c r="CF395" s="4"/>
      <c r="CG395" s="4"/>
      <c r="CI395" s="2"/>
    </row>
    <row r="396" spans="1:87" s="101" customFormat="1" x14ac:dyDescent="0.35">
      <c r="A396" s="1"/>
      <c r="C396" s="1"/>
      <c r="G396" s="2"/>
      <c r="H396" s="2"/>
      <c r="I396" s="2"/>
      <c r="J396" s="2"/>
      <c r="K396" s="81"/>
      <c r="L396" s="4"/>
      <c r="M396" s="4"/>
      <c r="N396" s="4"/>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3"/>
      <c r="AP396" s="2"/>
      <c r="AQ396" s="2"/>
      <c r="AR396" s="2"/>
      <c r="AS396" s="2"/>
      <c r="AT396" s="2"/>
      <c r="AU396" s="2"/>
      <c r="AV396" s="2"/>
      <c r="AW396" s="2"/>
      <c r="AX396" s="2"/>
      <c r="AY396" s="2"/>
      <c r="AZ396" s="5"/>
      <c r="BA396" s="2"/>
      <c r="BD396" s="2"/>
      <c r="BE396" s="2"/>
      <c r="BF396" s="2"/>
      <c r="BG396" s="2"/>
      <c r="BH396" s="2"/>
      <c r="BI396" s="2"/>
      <c r="BJ396" s="2"/>
      <c r="BK396" s="2"/>
      <c r="BM396" s="2"/>
      <c r="BN396" s="2"/>
      <c r="BO396" s="2"/>
      <c r="BP396" s="2"/>
      <c r="BQ396" s="2"/>
      <c r="BR396" s="6"/>
      <c r="BS396" s="6"/>
      <c r="BT396" s="2"/>
      <c r="BU396" s="2"/>
      <c r="BV396" s="2"/>
      <c r="BW396" s="2"/>
      <c r="BX396" s="2"/>
      <c r="BY396" s="2"/>
      <c r="BZ396" s="2"/>
      <c r="CA396" s="2"/>
      <c r="CB396" s="2"/>
      <c r="CC396" s="2"/>
      <c r="CD396" s="3"/>
      <c r="CE396" s="2"/>
      <c r="CF396" s="4"/>
      <c r="CG396" s="4"/>
      <c r="CI396" s="2"/>
    </row>
    <row r="397" spans="1:87" s="101" customFormat="1" x14ac:dyDescent="0.35">
      <c r="A397" s="1"/>
      <c r="C397" s="1"/>
      <c r="G397" s="2"/>
      <c r="H397" s="2"/>
      <c r="I397" s="2"/>
      <c r="J397" s="2"/>
      <c r="K397" s="81"/>
      <c r="L397" s="4"/>
      <c r="M397" s="4"/>
      <c r="N397" s="4"/>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3"/>
      <c r="AP397" s="2"/>
      <c r="AQ397" s="2"/>
      <c r="AR397" s="2"/>
      <c r="AS397" s="2"/>
      <c r="AT397" s="2"/>
      <c r="AU397" s="2"/>
      <c r="AV397" s="2"/>
      <c r="AW397" s="2"/>
      <c r="AX397" s="2"/>
      <c r="AY397" s="2"/>
      <c r="AZ397" s="5"/>
      <c r="BA397" s="2"/>
      <c r="BD397" s="2"/>
      <c r="BE397" s="2"/>
      <c r="BF397" s="2"/>
      <c r="BG397" s="2"/>
      <c r="BH397" s="2"/>
      <c r="BI397" s="2"/>
      <c r="BJ397" s="2"/>
      <c r="BK397" s="2"/>
      <c r="BM397" s="2"/>
      <c r="BN397" s="2"/>
      <c r="BO397" s="2"/>
      <c r="BP397" s="2"/>
      <c r="BQ397" s="2"/>
      <c r="BR397" s="6"/>
      <c r="BS397" s="6"/>
      <c r="BT397" s="2"/>
      <c r="BU397" s="2"/>
      <c r="BV397" s="2"/>
      <c r="BW397" s="2"/>
      <c r="BX397" s="2"/>
      <c r="BY397" s="2"/>
      <c r="BZ397" s="2"/>
      <c r="CA397" s="2"/>
      <c r="CB397" s="2"/>
      <c r="CC397" s="2"/>
      <c r="CD397" s="3"/>
      <c r="CE397" s="2"/>
      <c r="CF397" s="4"/>
      <c r="CG397" s="4"/>
      <c r="CI397" s="2"/>
    </row>
    <row r="398" spans="1:87" s="101" customFormat="1" x14ac:dyDescent="0.35">
      <c r="A398" s="1"/>
      <c r="C398" s="1"/>
      <c r="G398" s="2"/>
      <c r="H398" s="2"/>
      <c r="I398" s="2"/>
      <c r="J398" s="2"/>
      <c r="K398" s="81"/>
      <c r="L398" s="4"/>
      <c r="M398" s="4"/>
      <c r="N398" s="4"/>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3"/>
      <c r="AP398" s="2"/>
      <c r="AQ398" s="2"/>
      <c r="AR398" s="2"/>
      <c r="AS398" s="2"/>
      <c r="AT398" s="2"/>
      <c r="AU398" s="2"/>
      <c r="AV398" s="2"/>
      <c r="AW398" s="2"/>
      <c r="AX398" s="2"/>
      <c r="AY398" s="2"/>
      <c r="AZ398" s="5"/>
      <c r="BA398" s="2"/>
      <c r="BD398" s="2"/>
      <c r="BE398" s="2"/>
      <c r="BF398" s="2"/>
      <c r="BG398" s="2"/>
      <c r="BH398" s="2"/>
      <c r="BI398" s="2"/>
      <c r="BJ398" s="2"/>
      <c r="BK398" s="2"/>
      <c r="BM398" s="2"/>
      <c r="BN398" s="2"/>
      <c r="BO398" s="2"/>
      <c r="BP398" s="2"/>
      <c r="BQ398" s="2"/>
      <c r="BR398" s="6"/>
      <c r="BS398" s="6"/>
      <c r="BT398" s="2"/>
      <c r="BU398" s="2"/>
      <c r="BV398" s="2"/>
      <c r="BW398" s="2"/>
      <c r="BX398" s="2"/>
      <c r="BY398" s="2"/>
      <c r="BZ398" s="2"/>
      <c r="CA398" s="2"/>
      <c r="CB398" s="2"/>
      <c r="CC398" s="2"/>
      <c r="CD398" s="3"/>
      <c r="CE398" s="2"/>
      <c r="CF398" s="4"/>
      <c r="CG398" s="4"/>
      <c r="CI398" s="2"/>
    </row>
    <row r="399" spans="1:87" s="101" customFormat="1" x14ac:dyDescent="0.35">
      <c r="A399" s="1"/>
      <c r="C399" s="1"/>
      <c r="G399" s="2"/>
      <c r="H399" s="2"/>
      <c r="I399" s="2"/>
      <c r="J399" s="2"/>
      <c r="K399" s="81"/>
      <c r="L399" s="4"/>
      <c r="M399" s="4"/>
      <c r="N399" s="4"/>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3"/>
      <c r="AP399" s="2"/>
      <c r="AQ399" s="2"/>
      <c r="AR399" s="2"/>
      <c r="AS399" s="2"/>
      <c r="AT399" s="2"/>
      <c r="AU399" s="2"/>
      <c r="AV399" s="2"/>
      <c r="AW399" s="2"/>
      <c r="AX399" s="2"/>
      <c r="AY399" s="2"/>
      <c r="AZ399" s="5"/>
      <c r="BA399" s="2"/>
      <c r="BD399" s="2"/>
      <c r="BE399" s="2"/>
      <c r="BF399" s="2"/>
      <c r="BG399" s="2"/>
      <c r="BH399" s="2"/>
      <c r="BI399" s="2"/>
      <c r="BJ399" s="2"/>
      <c r="BK399" s="2"/>
      <c r="BM399" s="2"/>
      <c r="BN399" s="2"/>
      <c r="BO399" s="2"/>
      <c r="BP399" s="2"/>
      <c r="BQ399" s="2"/>
      <c r="BR399" s="6"/>
      <c r="BS399" s="6"/>
      <c r="BT399" s="2"/>
      <c r="BU399" s="2"/>
      <c r="BV399" s="2"/>
      <c r="BW399" s="2"/>
      <c r="BX399" s="2"/>
      <c r="BY399" s="2"/>
      <c r="BZ399" s="2"/>
      <c r="CA399" s="2"/>
      <c r="CB399" s="2"/>
      <c r="CC399" s="2"/>
      <c r="CD399" s="3"/>
      <c r="CE399" s="2"/>
      <c r="CF399" s="4"/>
      <c r="CG399" s="4"/>
      <c r="CI399" s="2"/>
    </row>
    <row r="400" spans="1:87" s="101" customFormat="1" x14ac:dyDescent="0.35">
      <c r="A400" s="1"/>
      <c r="C400" s="1"/>
      <c r="G400" s="2"/>
      <c r="H400" s="2"/>
      <c r="I400" s="2"/>
      <c r="J400" s="2"/>
      <c r="K400" s="81"/>
      <c r="L400" s="4"/>
      <c r="M400" s="4"/>
      <c r="N400" s="4"/>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3"/>
      <c r="AP400" s="2"/>
      <c r="AQ400" s="2"/>
      <c r="AR400" s="2"/>
      <c r="AS400" s="2"/>
      <c r="AT400" s="2"/>
      <c r="AU400" s="2"/>
      <c r="AV400" s="2"/>
      <c r="AW400" s="2"/>
      <c r="AX400" s="2"/>
      <c r="AY400" s="2"/>
      <c r="AZ400" s="5"/>
      <c r="BA400" s="2"/>
      <c r="BD400" s="2"/>
      <c r="BE400" s="2"/>
      <c r="BF400" s="2"/>
      <c r="BG400" s="2"/>
      <c r="BH400" s="2"/>
      <c r="BI400" s="2"/>
      <c r="BJ400" s="2"/>
      <c r="BK400" s="2"/>
      <c r="BM400" s="2"/>
      <c r="BN400" s="2"/>
      <c r="BO400" s="2"/>
      <c r="BP400" s="2"/>
      <c r="BQ400" s="2"/>
      <c r="BR400" s="6"/>
      <c r="BS400" s="6"/>
      <c r="BT400" s="2"/>
      <c r="BU400" s="2"/>
      <c r="BV400" s="2"/>
      <c r="BW400" s="2"/>
      <c r="BX400" s="2"/>
      <c r="BY400" s="2"/>
      <c r="BZ400" s="2"/>
      <c r="CA400" s="2"/>
      <c r="CB400" s="2"/>
      <c r="CC400" s="2"/>
      <c r="CD400" s="3"/>
      <c r="CE400" s="2"/>
      <c r="CF400" s="4"/>
      <c r="CG400" s="4"/>
      <c r="CI400" s="2"/>
    </row>
    <row r="401" spans="1:87" s="101" customFormat="1" x14ac:dyDescent="0.35">
      <c r="A401" s="1"/>
      <c r="C401" s="1"/>
      <c r="G401" s="2"/>
      <c r="H401" s="2"/>
      <c r="I401" s="2"/>
      <c r="J401" s="2"/>
      <c r="K401" s="81"/>
      <c r="L401" s="4"/>
      <c r="M401" s="4"/>
      <c r="N401" s="4"/>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3"/>
      <c r="AP401" s="2"/>
      <c r="AQ401" s="2"/>
      <c r="AR401" s="2"/>
      <c r="AS401" s="2"/>
      <c r="AT401" s="2"/>
      <c r="AU401" s="2"/>
      <c r="AV401" s="2"/>
      <c r="AW401" s="2"/>
      <c r="AX401" s="2"/>
      <c r="AY401" s="2"/>
      <c r="AZ401" s="5"/>
      <c r="BA401" s="2"/>
      <c r="BD401" s="2"/>
      <c r="BE401" s="2"/>
      <c r="BF401" s="2"/>
      <c r="BG401" s="2"/>
      <c r="BH401" s="2"/>
      <c r="BI401" s="2"/>
      <c r="BJ401" s="2"/>
      <c r="BK401" s="2"/>
      <c r="BM401" s="2"/>
      <c r="BN401" s="2"/>
      <c r="BO401" s="2"/>
      <c r="BP401" s="2"/>
      <c r="BQ401" s="2"/>
      <c r="BR401" s="6"/>
      <c r="BS401" s="6"/>
      <c r="BT401" s="2"/>
      <c r="BU401" s="2"/>
      <c r="BV401" s="2"/>
      <c r="BW401" s="2"/>
      <c r="BX401" s="2"/>
      <c r="BY401" s="2"/>
      <c r="BZ401" s="2"/>
      <c r="CA401" s="2"/>
      <c r="CB401" s="2"/>
      <c r="CC401" s="2"/>
      <c r="CD401" s="3"/>
      <c r="CE401" s="2"/>
      <c r="CF401" s="4"/>
      <c r="CG401" s="4"/>
      <c r="CI401" s="2"/>
    </row>
    <row r="402" spans="1:87" s="101" customFormat="1" x14ac:dyDescent="0.35">
      <c r="A402" s="1"/>
      <c r="C402" s="1"/>
      <c r="G402" s="2"/>
      <c r="H402" s="2"/>
      <c r="I402" s="2"/>
      <c r="J402" s="2"/>
      <c r="K402" s="81"/>
      <c r="L402" s="4"/>
      <c r="M402" s="4"/>
      <c r="N402" s="4"/>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3"/>
      <c r="AP402" s="2"/>
      <c r="AQ402" s="2"/>
      <c r="AR402" s="2"/>
      <c r="AS402" s="2"/>
      <c r="AT402" s="2"/>
      <c r="AU402" s="2"/>
      <c r="AV402" s="2"/>
      <c r="AW402" s="2"/>
      <c r="AX402" s="2"/>
      <c r="AY402" s="2"/>
      <c r="AZ402" s="5"/>
      <c r="BA402" s="2"/>
      <c r="BD402" s="2"/>
      <c r="BE402" s="2"/>
      <c r="BF402" s="2"/>
      <c r="BG402" s="2"/>
      <c r="BH402" s="2"/>
      <c r="BI402" s="2"/>
      <c r="BJ402" s="2"/>
      <c r="BK402" s="2"/>
      <c r="BM402" s="2"/>
      <c r="BN402" s="2"/>
      <c r="BO402" s="2"/>
      <c r="BP402" s="2"/>
      <c r="BQ402" s="2"/>
      <c r="BR402" s="6"/>
      <c r="BS402" s="6"/>
      <c r="BT402" s="2"/>
      <c r="BU402" s="2"/>
      <c r="BV402" s="2"/>
      <c r="BW402" s="2"/>
      <c r="BX402" s="2"/>
      <c r="BY402" s="2"/>
      <c r="BZ402" s="2"/>
      <c r="CA402" s="2"/>
      <c r="CB402" s="2"/>
      <c r="CC402" s="2"/>
      <c r="CD402" s="3"/>
      <c r="CE402" s="2"/>
      <c r="CF402" s="4"/>
      <c r="CG402" s="4"/>
      <c r="CI402" s="2"/>
    </row>
    <row r="403" spans="1:87" s="101" customFormat="1" x14ac:dyDescent="0.35">
      <c r="A403" s="1"/>
      <c r="C403" s="1"/>
      <c r="G403" s="2"/>
      <c r="H403" s="2"/>
      <c r="I403" s="2"/>
      <c r="J403" s="2"/>
      <c r="K403" s="81"/>
      <c r="L403" s="4"/>
      <c r="M403" s="4"/>
      <c r="N403" s="4"/>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3"/>
      <c r="AP403" s="2"/>
      <c r="AQ403" s="2"/>
      <c r="AR403" s="2"/>
      <c r="AS403" s="2"/>
      <c r="AT403" s="2"/>
      <c r="AU403" s="2"/>
      <c r="AV403" s="2"/>
      <c r="AW403" s="2"/>
      <c r="AX403" s="2"/>
      <c r="AY403" s="2"/>
      <c r="AZ403" s="5"/>
      <c r="BA403" s="2"/>
      <c r="BD403" s="2"/>
      <c r="BE403" s="2"/>
      <c r="BF403" s="2"/>
      <c r="BG403" s="2"/>
      <c r="BH403" s="2"/>
      <c r="BI403" s="2"/>
      <c r="BJ403" s="2"/>
      <c r="BK403" s="2"/>
      <c r="BM403" s="2"/>
      <c r="BN403" s="2"/>
      <c r="BO403" s="2"/>
      <c r="BP403" s="2"/>
      <c r="BQ403" s="2"/>
      <c r="BR403" s="6"/>
      <c r="BS403" s="6"/>
      <c r="BT403" s="2"/>
      <c r="BU403" s="2"/>
      <c r="BV403" s="2"/>
      <c r="BW403" s="2"/>
      <c r="BX403" s="2"/>
      <c r="BY403" s="2"/>
      <c r="BZ403" s="2"/>
      <c r="CA403" s="2"/>
      <c r="CB403" s="2"/>
      <c r="CC403" s="2"/>
      <c r="CD403" s="3"/>
      <c r="CE403" s="2"/>
      <c r="CF403" s="4"/>
      <c r="CG403" s="4"/>
      <c r="CI403" s="2"/>
    </row>
    <row r="404" spans="1:87" s="101" customFormat="1" x14ac:dyDescent="0.35">
      <c r="A404" s="1"/>
      <c r="C404" s="1"/>
      <c r="G404" s="2"/>
      <c r="H404" s="2"/>
      <c r="I404" s="2"/>
      <c r="J404" s="2"/>
      <c r="K404" s="81"/>
      <c r="L404" s="4"/>
      <c r="M404" s="4"/>
      <c r="N404" s="4"/>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3"/>
      <c r="AP404" s="2"/>
      <c r="AQ404" s="2"/>
      <c r="AR404" s="2"/>
      <c r="AS404" s="2"/>
      <c r="AT404" s="2"/>
      <c r="AU404" s="2"/>
      <c r="AV404" s="2"/>
      <c r="AW404" s="2"/>
      <c r="AX404" s="2"/>
      <c r="AY404" s="2"/>
      <c r="AZ404" s="5"/>
      <c r="BA404" s="2"/>
      <c r="BD404" s="2"/>
      <c r="BE404" s="2"/>
      <c r="BF404" s="2"/>
      <c r="BG404" s="2"/>
      <c r="BH404" s="2"/>
      <c r="BI404" s="2"/>
      <c r="BJ404" s="2"/>
      <c r="BK404" s="2"/>
      <c r="BM404" s="2"/>
      <c r="BN404" s="2"/>
      <c r="BO404" s="2"/>
      <c r="BP404" s="2"/>
      <c r="BQ404" s="2"/>
      <c r="BR404" s="6"/>
      <c r="BS404" s="6"/>
      <c r="BT404" s="2"/>
      <c r="BU404" s="2"/>
      <c r="BV404" s="2"/>
      <c r="BW404" s="2"/>
      <c r="BX404" s="2"/>
      <c r="BY404" s="2"/>
      <c r="BZ404" s="2"/>
      <c r="CA404" s="2"/>
      <c r="CB404" s="2"/>
      <c r="CC404" s="2"/>
      <c r="CD404" s="3"/>
      <c r="CE404" s="2"/>
      <c r="CF404" s="4"/>
      <c r="CG404" s="4"/>
      <c r="CI404" s="2"/>
    </row>
    <row r="405" spans="1:87" s="101" customFormat="1" x14ac:dyDescent="0.35">
      <c r="A405" s="1"/>
      <c r="C405" s="1"/>
      <c r="G405" s="2"/>
      <c r="H405" s="2"/>
      <c r="I405" s="2"/>
      <c r="J405" s="2"/>
      <c r="K405" s="81"/>
      <c r="L405" s="4"/>
      <c r="M405" s="4"/>
      <c r="N405" s="4"/>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3"/>
      <c r="AP405" s="2"/>
      <c r="AQ405" s="2"/>
      <c r="AR405" s="2"/>
      <c r="AS405" s="2"/>
      <c r="AT405" s="2"/>
      <c r="AU405" s="2"/>
      <c r="AV405" s="2"/>
      <c r="AW405" s="2"/>
      <c r="AX405" s="2"/>
      <c r="AY405" s="2"/>
      <c r="AZ405" s="5"/>
      <c r="BA405" s="2"/>
      <c r="BD405" s="2"/>
      <c r="BE405" s="2"/>
      <c r="BF405" s="2"/>
      <c r="BG405" s="2"/>
      <c r="BH405" s="2"/>
      <c r="BI405" s="2"/>
      <c r="BJ405" s="2"/>
      <c r="BK405" s="2"/>
      <c r="BM405" s="2"/>
      <c r="BN405" s="2"/>
      <c r="BO405" s="2"/>
      <c r="BP405" s="2"/>
      <c r="BQ405" s="2"/>
      <c r="BR405" s="6"/>
      <c r="BS405" s="6"/>
      <c r="BT405" s="2"/>
      <c r="BU405" s="2"/>
      <c r="BV405" s="2"/>
      <c r="BW405" s="2"/>
      <c r="BX405" s="2"/>
      <c r="BY405" s="2"/>
      <c r="BZ405" s="2"/>
      <c r="CA405" s="2"/>
      <c r="CB405" s="2"/>
      <c r="CC405" s="2"/>
      <c r="CD405" s="3"/>
      <c r="CE405" s="2"/>
      <c r="CF405" s="4"/>
      <c r="CG405" s="4"/>
      <c r="CI405" s="2"/>
    </row>
    <row r="406" spans="1:87" s="101" customFormat="1" x14ac:dyDescent="0.35">
      <c r="A406" s="1"/>
      <c r="C406" s="1"/>
      <c r="G406" s="2"/>
      <c r="H406" s="2"/>
      <c r="I406" s="2"/>
      <c r="J406" s="2"/>
      <c r="K406" s="81"/>
      <c r="L406" s="4"/>
      <c r="M406" s="4"/>
      <c r="N406" s="4"/>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3"/>
      <c r="AP406" s="2"/>
      <c r="AQ406" s="2"/>
      <c r="AR406" s="2"/>
      <c r="AS406" s="2"/>
      <c r="AT406" s="2"/>
      <c r="AU406" s="2"/>
      <c r="AV406" s="2"/>
      <c r="AW406" s="2"/>
      <c r="AX406" s="2"/>
      <c r="AY406" s="2"/>
      <c r="AZ406" s="5"/>
      <c r="BA406" s="2"/>
      <c r="BD406" s="2"/>
      <c r="BE406" s="2"/>
      <c r="BF406" s="2"/>
      <c r="BG406" s="2"/>
      <c r="BH406" s="2"/>
      <c r="BI406" s="2"/>
      <c r="BJ406" s="2"/>
      <c r="BK406" s="2"/>
      <c r="BM406" s="2"/>
      <c r="BN406" s="2"/>
      <c r="BO406" s="2"/>
      <c r="BP406" s="2"/>
      <c r="BQ406" s="2"/>
      <c r="BR406" s="6"/>
      <c r="BS406" s="6"/>
      <c r="BT406" s="2"/>
      <c r="BU406" s="2"/>
      <c r="BV406" s="2"/>
      <c r="BW406" s="2"/>
      <c r="BX406" s="2"/>
      <c r="BY406" s="2"/>
      <c r="BZ406" s="2"/>
      <c r="CA406" s="2"/>
      <c r="CB406" s="2"/>
      <c r="CC406" s="2"/>
      <c r="CD406" s="3"/>
      <c r="CE406" s="2"/>
      <c r="CF406" s="4"/>
      <c r="CG406" s="4"/>
      <c r="CI406" s="2"/>
    </row>
    <row r="407" spans="1:87" s="101" customFormat="1" x14ac:dyDescent="0.35">
      <c r="A407" s="1"/>
      <c r="C407" s="1"/>
      <c r="G407" s="2"/>
      <c r="H407" s="2"/>
      <c r="I407" s="2"/>
      <c r="J407" s="2"/>
      <c r="K407" s="81"/>
      <c r="L407" s="4"/>
      <c r="M407" s="4"/>
      <c r="N407" s="4"/>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3"/>
      <c r="AP407" s="2"/>
      <c r="AQ407" s="2"/>
      <c r="AR407" s="2"/>
      <c r="AS407" s="2"/>
      <c r="AT407" s="2"/>
      <c r="AU407" s="2"/>
      <c r="AV407" s="2"/>
      <c r="AW407" s="2"/>
      <c r="AX407" s="2"/>
      <c r="AY407" s="2"/>
      <c r="AZ407" s="5"/>
      <c r="BA407" s="2"/>
      <c r="BD407" s="2"/>
      <c r="BE407" s="2"/>
      <c r="BF407" s="2"/>
      <c r="BG407" s="2"/>
      <c r="BH407" s="2"/>
      <c r="BI407" s="2"/>
      <c r="BJ407" s="2"/>
      <c r="BK407" s="2"/>
      <c r="BM407" s="2"/>
      <c r="BN407" s="2"/>
      <c r="BO407" s="2"/>
      <c r="BP407" s="2"/>
      <c r="BQ407" s="2"/>
      <c r="BR407" s="6"/>
      <c r="BS407" s="6"/>
      <c r="BT407" s="2"/>
      <c r="BU407" s="2"/>
      <c r="BV407" s="2"/>
      <c r="BW407" s="2"/>
      <c r="BX407" s="2"/>
      <c r="BY407" s="2"/>
      <c r="BZ407" s="2"/>
      <c r="CA407" s="2"/>
      <c r="CB407" s="2"/>
      <c r="CC407" s="2"/>
      <c r="CD407" s="3"/>
      <c r="CE407" s="2"/>
      <c r="CF407" s="4"/>
      <c r="CG407" s="4"/>
      <c r="CI407" s="2"/>
    </row>
    <row r="408" spans="1:87" s="101" customFormat="1" x14ac:dyDescent="0.35">
      <c r="A408" s="1"/>
      <c r="C408" s="1"/>
      <c r="G408" s="2"/>
      <c r="H408" s="2"/>
      <c r="I408" s="2"/>
      <c r="J408" s="2"/>
      <c r="K408" s="81"/>
      <c r="L408" s="4"/>
      <c r="M408" s="4"/>
      <c r="N408" s="4"/>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3"/>
      <c r="AP408" s="2"/>
      <c r="AQ408" s="2"/>
      <c r="AR408" s="2"/>
      <c r="AS408" s="2"/>
      <c r="AT408" s="2"/>
      <c r="AU408" s="2"/>
      <c r="AV408" s="2"/>
      <c r="AW408" s="2"/>
      <c r="AX408" s="2"/>
      <c r="AY408" s="2"/>
      <c r="AZ408" s="5"/>
      <c r="BA408" s="2"/>
      <c r="BD408" s="2"/>
      <c r="BE408" s="2"/>
      <c r="BF408" s="2"/>
      <c r="BG408" s="2"/>
      <c r="BH408" s="2"/>
      <c r="BI408" s="2"/>
      <c r="BJ408" s="2"/>
      <c r="BK408" s="2"/>
      <c r="BM408" s="2"/>
      <c r="BN408" s="2"/>
      <c r="BO408" s="2"/>
      <c r="BP408" s="2"/>
      <c r="BQ408" s="2"/>
      <c r="BR408" s="6"/>
      <c r="BS408" s="6"/>
      <c r="BT408" s="2"/>
      <c r="BU408" s="2"/>
      <c r="BV408" s="2"/>
      <c r="BW408" s="2"/>
      <c r="BX408" s="2"/>
      <c r="BY408" s="2"/>
      <c r="BZ408" s="2"/>
      <c r="CA408" s="2"/>
      <c r="CB408" s="2"/>
      <c r="CC408" s="2"/>
      <c r="CD408" s="3"/>
      <c r="CE408" s="2"/>
      <c r="CF408" s="4"/>
      <c r="CG408" s="4"/>
      <c r="CI408" s="2"/>
    </row>
    <row r="409" spans="1:87" s="101" customFormat="1" x14ac:dyDescent="0.35">
      <c r="A409" s="1"/>
      <c r="C409" s="1"/>
      <c r="G409" s="2"/>
      <c r="H409" s="2"/>
      <c r="I409" s="2"/>
      <c r="J409" s="2"/>
      <c r="K409" s="81"/>
      <c r="L409" s="4"/>
      <c r="M409" s="4"/>
      <c r="N409" s="4"/>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3"/>
      <c r="AP409" s="2"/>
      <c r="AQ409" s="2"/>
      <c r="AR409" s="2"/>
      <c r="AS409" s="2"/>
      <c r="AT409" s="2"/>
      <c r="AU409" s="2"/>
      <c r="AV409" s="2"/>
      <c r="AW409" s="2"/>
      <c r="AX409" s="2"/>
      <c r="AY409" s="2"/>
      <c r="AZ409" s="5"/>
      <c r="BA409" s="2"/>
      <c r="BD409" s="2"/>
      <c r="BE409" s="2"/>
      <c r="BF409" s="2"/>
      <c r="BG409" s="2"/>
      <c r="BH409" s="2"/>
      <c r="BI409" s="2"/>
      <c r="BJ409" s="2"/>
      <c r="BK409" s="2"/>
      <c r="BM409" s="2"/>
      <c r="BN409" s="2"/>
      <c r="BO409" s="2"/>
      <c r="BP409" s="2"/>
      <c r="BQ409" s="2"/>
      <c r="BR409" s="6"/>
      <c r="BS409" s="6"/>
      <c r="BT409" s="2"/>
      <c r="BU409" s="2"/>
      <c r="BV409" s="2"/>
      <c r="BW409" s="2"/>
      <c r="BX409" s="2"/>
      <c r="BY409" s="2"/>
      <c r="BZ409" s="2"/>
      <c r="CA409" s="2"/>
      <c r="CB409" s="2"/>
      <c r="CC409" s="2"/>
      <c r="CD409" s="3"/>
      <c r="CE409" s="2"/>
      <c r="CF409" s="4"/>
      <c r="CG409" s="4"/>
      <c r="CI409" s="2"/>
    </row>
    <row r="410" spans="1:87" s="101" customFormat="1" x14ac:dyDescent="0.35">
      <c r="A410" s="1"/>
      <c r="C410" s="1"/>
      <c r="G410" s="2"/>
      <c r="H410" s="2"/>
      <c r="I410" s="2"/>
      <c r="J410" s="2"/>
      <c r="K410" s="81"/>
      <c r="L410" s="4"/>
      <c r="M410" s="4"/>
      <c r="N410" s="4"/>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3"/>
      <c r="AP410" s="2"/>
      <c r="AQ410" s="2"/>
      <c r="AR410" s="2"/>
      <c r="AS410" s="2"/>
      <c r="AT410" s="2"/>
      <c r="AU410" s="2"/>
      <c r="AV410" s="2"/>
      <c r="AW410" s="2"/>
      <c r="AX410" s="2"/>
      <c r="AY410" s="2"/>
      <c r="AZ410" s="5"/>
      <c r="BA410" s="2"/>
      <c r="BD410" s="2"/>
      <c r="BE410" s="2"/>
      <c r="BF410" s="2"/>
      <c r="BG410" s="2"/>
      <c r="BH410" s="2"/>
      <c r="BI410" s="2"/>
      <c r="BJ410" s="2"/>
      <c r="BK410" s="2"/>
      <c r="BM410" s="2"/>
      <c r="BN410" s="2"/>
      <c r="BO410" s="2"/>
      <c r="BP410" s="2"/>
      <c r="BQ410" s="2"/>
      <c r="BR410" s="6"/>
      <c r="BS410" s="6"/>
      <c r="BT410" s="2"/>
      <c r="BU410" s="2"/>
      <c r="BV410" s="2"/>
      <c r="BW410" s="2"/>
      <c r="BX410" s="2"/>
      <c r="BY410" s="2"/>
      <c r="BZ410" s="2"/>
      <c r="CA410" s="2"/>
      <c r="CB410" s="2"/>
      <c r="CC410" s="2"/>
      <c r="CD410" s="3"/>
      <c r="CE410" s="2"/>
      <c r="CF410" s="4"/>
      <c r="CG410" s="4"/>
      <c r="CI410" s="2"/>
    </row>
    <row r="411" spans="1:87" s="101" customFormat="1" x14ac:dyDescent="0.35">
      <c r="A411" s="1"/>
      <c r="C411" s="1"/>
      <c r="G411" s="2"/>
      <c r="H411" s="2"/>
      <c r="I411" s="2"/>
      <c r="J411" s="2"/>
      <c r="K411" s="81"/>
      <c r="L411" s="4"/>
      <c r="M411" s="4"/>
      <c r="N411" s="4"/>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3"/>
      <c r="AP411" s="2"/>
      <c r="AQ411" s="2"/>
      <c r="AR411" s="2"/>
      <c r="AS411" s="2"/>
      <c r="AT411" s="2"/>
      <c r="AU411" s="2"/>
      <c r="AV411" s="2"/>
      <c r="AW411" s="2"/>
      <c r="AX411" s="2"/>
      <c r="AY411" s="2"/>
      <c r="AZ411" s="5"/>
      <c r="BA411" s="2"/>
      <c r="BD411" s="2"/>
      <c r="BE411" s="2"/>
      <c r="BF411" s="2"/>
      <c r="BG411" s="2"/>
      <c r="BH411" s="2"/>
      <c r="BI411" s="2"/>
      <c r="BJ411" s="2"/>
      <c r="BK411" s="2"/>
      <c r="BM411" s="2"/>
      <c r="BN411" s="2"/>
      <c r="BO411" s="2"/>
      <c r="BP411" s="2"/>
      <c r="BQ411" s="2"/>
      <c r="BR411" s="6"/>
      <c r="BS411" s="6"/>
      <c r="BT411" s="2"/>
      <c r="BU411" s="2"/>
      <c r="BV411" s="2"/>
      <c r="BW411" s="2"/>
      <c r="BX411" s="2"/>
      <c r="BY411" s="2"/>
      <c r="BZ411" s="2"/>
      <c r="CA411" s="2"/>
      <c r="CB411" s="2"/>
      <c r="CC411" s="2"/>
      <c r="CD411" s="3"/>
      <c r="CE411" s="2"/>
      <c r="CF411" s="4"/>
      <c r="CG411" s="4"/>
      <c r="CI411" s="2"/>
    </row>
    <row r="412" spans="1:87" s="101" customFormat="1" x14ac:dyDescent="0.35">
      <c r="A412" s="1"/>
      <c r="C412" s="1"/>
      <c r="G412" s="2"/>
      <c r="H412" s="2"/>
      <c r="I412" s="2"/>
      <c r="J412" s="2"/>
      <c r="K412" s="81"/>
      <c r="L412" s="4"/>
      <c r="M412" s="4"/>
      <c r="N412" s="4"/>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3"/>
      <c r="AP412" s="2"/>
      <c r="AQ412" s="2"/>
      <c r="AR412" s="2"/>
      <c r="AS412" s="2"/>
      <c r="AT412" s="2"/>
      <c r="AU412" s="2"/>
      <c r="AV412" s="2"/>
      <c r="AW412" s="2"/>
      <c r="AX412" s="2"/>
      <c r="AY412" s="2"/>
      <c r="AZ412" s="5"/>
      <c r="BA412" s="2"/>
      <c r="BD412" s="2"/>
      <c r="BE412" s="2"/>
      <c r="BF412" s="2"/>
      <c r="BG412" s="2"/>
      <c r="BH412" s="2"/>
      <c r="BI412" s="2"/>
      <c r="BJ412" s="2"/>
      <c r="BK412" s="2"/>
      <c r="BM412" s="2"/>
      <c r="BN412" s="2"/>
      <c r="BO412" s="2"/>
      <c r="BP412" s="2"/>
      <c r="BQ412" s="2"/>
      <c r="BR412" s="6"/>
      <c r="BS412" s="6"/>
      <c r="BT412" s="2"/>
      <c r="BU412" s="2"/>
      <c r="BV412" s="2"/>
      <c r="BW412" s="2"/>
      <c r="BX412" s="2"/>
      <c r="BY412" s="2"/>
      <c r="BZ412" s="2"/>
      <c r="CA412" s="2"/>
      <c r="CB412" s="2"/>
      <c r="CC412" s="2"/>
      <c r="CD412" s="3"/>
      <c r="CE412" s="2"/>
      <c r="CF412" s="4"/>
      <c r="CG412" s="4"/>
      <c r="CI412" s="2"/>
    </row>
    <row r="413" spans="1:87" s="101" customFormat="1" x14ac:dyDescent="0.35">
      <c r="A413" s="1"/>
      <c r="C413" s="1"/>
      <c r="G413" s="2"/>
      <c r="H413" s="2"/>
      <c r="I413" s="2"/>
      <c r="J413" s="2"/>
      <c r="K413" s="81"/>
      <c r="L413" s="4"/>
      <c r="M413" s="4"/>
      <c r="N413" s="4"/>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3"/>
      <c r="AP413" s="2"/>
      <c r="AQ413" s="2"/>
      <c r="AR413" s="2"/>
      <c r="AS413" s="2"/>
      <c r="AT413" s="2"/>
      <c r="AU413" s="2"/>
      <c r="AV413" s="2"/>
      <c r="AW413" s="2"/>
      <c r="AX413" s="2"/>
      <c r="AY413" s="2"/>
      <c r="AZ413" s="5"/>
      <c r="BA413" s="2"/>
      <c r="BD413" s="2"/>
      <c r="BE413" s="2"/>
      <c r="BF413" s="2"/>
      <c r="BG413" s="2"/>
      <c r="BH413" s="2"/>
      <c r="BI413" s="2"/>
      <c r="BJ413" s="2"/>
      <c r="BK413" s="2"/>
      <c r="BM413" s="2"/>
      <c r="BN413" s="2"/>
      <c r="BO413" s="2"/>
      <c r="BP413" s="2"/>
      <c r="BQ413" s="2"/>
      <c r="BR413" s="6"/>
      <c r="BS413" s="6"/>
      <c r="BT413" s="2"/>
      <c r="BU413" s="2"/>
      <c r="BV413" s="2"/>
      <c r="BW413" s="2"/>
      <c r="BX413" s="2"/>
      <c r="BY413" s="2"/>
      <c r="BZ413" s="2"/>
      <c r="CA413" s="2"/>
      <c r="CB413" s="2"/>
      <c r="CC413" s="2"/>
      <c r="CD413" s="3"/>
      <c r="CE413" s="2"/>
      <c r="CF413" s="4"/>
      <c r="CG413" s="4"/>
      <c r="CI413" s="2"/>
    </row>
    <row r="414" spans="1:87" s="101" customFormat="1" x14ac:dyDescent="0.35">
      <c r="A414" s="1"/>
      <c r="C414" s="1"/>
      <c r="G414" s="2"/>
      <c r="H414" s="2"/>
      <c r="I414" s="2"/>
      <c r="J414" s="2"/>
      <c r="K414" s="81"/>
      <c r="L414" s="4"/>
      <c r="M414" s="4"/>
      <c r="N414" s="4"/>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3"/>
      <c r="AP414" s="2"/>
      <c r="AQ414" s="2"/>
      <c r="AR414" s="2"/>
      <c r="AS414" s="2"/>
      <c r="AT414" s="2"/>
      <c r="AU414" s="2"/>
      <c r="AV414" s="2"/>
      <c r="AW414" s="2"/>
      <c r="AX414" s="2"/>
      <c r="AY414" s="2"/>
      <c r="AZ414" s="5"/>
      <c r="BA414" s="2"/>
      <c r="BD414" s="2"/>
      <c r="BE414" s="2"/>
      <c r="BF414" s="2"/>
      <c r="BG414" s="2"/>
      <c r="BH414" s="2"/>
      <c r="BI414" s="2"/>
      <c r="BJ414" s="2"/>
      <c r="BK414" s="2"/>
      <c r="BM414" s="2"/>
      <c r="BN414" s="2"/>
      <c r="BO414" s="2"/>
      <c r="BP414" s="2"/>
      <c r="BQ414" s="2"/>
      <c r="BR414" s="6"/>
      <c r="BS414" s="6"/>
      <c r="BT414" s="2"/>
      <c r="BU414" s="2"/>
      <c r="BV414" s="2"/>
      <c r="BW414" s="2"/>
      <c r="BX414" s="2"/>
      <c r="BY414" s="2"/>
      <c r="BZ414" s="2"/>
      <c r="CA414" s="2"/>
      <c r="CB414" s="2"/>
      <c r="CC414" s="2"/>
      <c r="CD414" s="3"/>
      <c r="CE414" s="2"/>
      <c r="CF414" s="4"/>
      <c r="CG414" s="4"/>
      <c r="CI414" s="2"/>
    </row>
    <row r="415" spans="1:87" s="101" customFormat="1" x14ac:dyDescent="0.35">
      <c r="A415" s="1"/>
      <c r="C415" s="1"/>
      <c r="G415" s="2"/>
      <c r="H415" s="2"/>
      <c r="I415" s="2"/>
      <c r="J415" s="2"/>
      <c r="K415" s="81"/>
      <c r="L415" s="4"/>
      <c r="M415" s="4"/>
      <c r="N415" s="4"/>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3"/>
      <c r="AP415" s="2"/>
      <c r="AQ415" s="2"/>
      <c r="AR415" s="2"/>
      <c r="AS415" s="2"/>
      <c r="AT415" s="2"/>
      <c r="AU415" s="2"/>
      <c r="AV415" s="2"/>
      <c r="AW415" s="2"/>
      <c r="AX415" s="2"/>
      <c r="AY415" s="2"/>
      <c r="AZ415" s="5"/>
      <c r="BA415" s="2"/>
      <c r="BD415" s="2"/>
      <c r="BE415" s="2"/>
      <c r="BF415" s="2"/>
      <c r="BG415" s="2"/>
      <c r="BH415" s="2"/>
      <c r="BI415" s="2"/>
      <c r="BJ415" s="2"/>
      <c r="BK415" s="2"/>
      <c r="BM415" s="2"/>
      <c r="BN415" s="2"/>
      <c r="BO415" s="2"/>
      <c r="BP415" s="2"/>
      <c r="BQ415" s="2"/>
      <c r="BR415" s="6"/>
      <c r="BS415" s="6"/>
      <c r="BT415" s="2"/>
      <c r="BU415" s="2"/>
      <c r="BV415" s="2"/>
      <c r="BW415" s="2"/>
      <c r="BX415" s="2"/>
      <c r="BY415" s="2"/>
      <c r="BZ415" s="2"/>
      <c r="CA415" s="2"/>
      <c r="CB415" s="2"/>
      <c r="CC415" s="2"/>
      <c r="CD415" s="3"/>
      <c r="CE415" s="2"/>
      <c r="CF415" s="4"/>
      <c r="CG415" s="4"/>
      <c r="CI415" s="2"/>
    </row>
    <row r="416" spans="1:87" s="101" customFormat="1" x14ac:dyDescent="0.35">
      <c r="A416" s="1"/>
      <c r="C416" s="1"/>
      <c r="G416" s="2"/>
      <c r="H416" s="2"/>
      <c r="I416" s="2"/>
      <c r="J416" s="2"/>
      <c r="K416" s="81"/>
      <c r="L416" s="4"/>
      <c r="M416" s="4"/>
      <c r="N416" s="4"/>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3"/>
      <c r="AP416" s="2"/>
      <c r="AQ416" s="2"/>
      <c r="AR416" s="2"/>
      <c r="AS416" s="2"/>
      <c r="AT416" s="2"/>
      <c r="AU416" s="2"/>
      <c r="AV416" s="2"/>
      <c r="AW416" s="2"/>
      <c r="AX416" s="2"/>
      <c r="AY416" s="2"/>
      <c r="AZ416" s="5"/>
      <c r="BA416" s="2"/>
      <c r="BD416" s="2"/>
      <c r="BE416" s="2"/>
      <c r="BF416" s="2"/>
      <c r="BG416" s="2"/>
      <c r="BH416" s="2"/>
      <c r="BI416" s="2"/>
      <c r="BJ416" s="2"/>
      <c r="BK416" s="2"/>
      <c r="BM416" s="2"/>
      <c r="BN416" s="2"/>
      <c r="BO416" s="2"/>
      <c r="BP416" s="2"/>
      <c r="BQ416" s="2"/>
      <c r="BR416" s="6"/>
      <c r="BS416" s="6"/>
      <c r="BT416" s="2"/>
      <c r="BU416" s="2"/>
      <c r="BV416" s="2"/>
      <c r="BW416" s="2"/>
      <c r="BX416" s="2"/>
      <c r="BY416" s="2"/>
      <c r="BZ416" s="2"/>
      <c r="CA416" s="2"/>
      <c r="CB416" s="2"/>
      <c r="CC416" s="2"/>
      <c r="CD416" s="3"/>
      <c r="CE416" s="2"/>
      <c r="CF416" s="4"/>
      <c r="CG416" s="4"/>
      <c r="CI416" s="2"/>
    </row>
    <row r="417" spans="1:87" s="101" customFormat="1" x14ac:dyDescent="0.35">
      <c r="A417" s="1"/>
      <c r="C417" s="1"/>
      <c r="G417" s="2"/>
      <c r="H417" s="2"/>
      <c r="I417" s="2"/>
      <c r="J417" s="2"/>
      <c r="K417" s="81"/>
      <c r="L417" s="4"/>
      <c r="M417" s="4"/>
      <c r="N417" s="4"/>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3"/>
      <c r="AP417" s="2"/>
      <c r="AQ417" s="2"/>
      <c r="AR417" s="2"/>
      <c r="AS417" s="2"/>
      <c r="AT417" s="2"/>
      <c r="AU417" s="2"/>
      <c r="AV417" s="2"/>
      <c r="AW417" s="2"/>
      <c r="AX417" s="2"/>
      <c r="AY417" s="2"/>
      <c r="AZ417" s="5"/>
      <c r="BA417" s="2"/>
      <c r="BD417" s="2"/>
      <c r="BE417" s="2"/>
      <c r="BF417" s="2"/>
      <c r="BG417" s="2"/>
      <c r="BH417" s="2"/>
      <c r="BI417" s="2"/>
      <c r="BJ417" s="2"/>
      <c r="BK417" s="2"/>
      <c r="BM417" s="2"/>
      <c r="BN417" s="2"/>
      <c r="BO417" s="2"/>
      <c r="BP417" s="2"/>
      <c r="BQ417" s="2"/>
      <c r="BR417" s="6"/>
      <c r="BS417" s="6"/>
      <c r="BT417" s="2"/>
      <c r="BU417" s="2"/>
      <c r="BV417" s="2"/>
      <c r="BW417" s="2"/>
      <c r="BX417" s="2"/>
      <c r="BY417" s="2"/>
      <c r="BZ417" s="2"/>
      <c r="CA417" s="2"/>
      <c r="CB417" s="2"/>
      <c r="CC417" s="2"/>
      <c r="CD417" s="3"/>
      <c r="CE417" s="2"/>
      <c r="CF417" s="4"/>
      <c r="CG417" s="4"/>
      <c r="CI417" s="2"/>
    </row>
    <row r="418" spans="1:87" s="101" customFormat="1" x14ac:dyDescent="0.35">
      <c r="A418" s="1"/>
      <c r="C418" s="1"/>
      <c r="G418" s="2"/>
      <c r="H418" s="2"/>
      <c r="I418" s="2"/>
      <c r="J418" s="2"/>
      <c r="K418" s="81"/>
      <c r="L418" s="4"/>
      <c r="M418" s="4"/>
      <c r="N418" s="4"/>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3"/>
      <c r="AP418" s="2"/>
      <c r="AQ418" s="2"/>
      <c r="AR418" s="2"/>
      <c r="AS418" s="2"/>
      <c r="AT418" s="2"/>
      <c r="AU418" s="2"/>
      <c r="AV418" s="2"/>
      <c r="AW418" s="2"/>
      <c r="AX418" s="2"/>
      <c r="AY418" s="2"/>
      <c r="AZ418" s="5"/>
      <c r="BA418" s="2"/>
      <c r="BD418" s="2"/>
      <c r="BE418" s="2"/>
      <c r="BF418" s="2"/>
      <c r="BG418" s="2"/>
      <c r="BH418" s="2"/>
      <c r="BI418" s="2"/>
      <c r="BJ418" s="2"/>
      <c r="BK418" s="2"/>
      <c r="BM418" s="2"/>
      <c r="BN418" s="2"/>
      <c r="BO418" s="2"/>
      <c r="BP418" s="2"/>
      <c r="BQ418" s="2"/>
      <c r="BR418" s="6"/>
      <c r="BS418" s="6"/>
      <c r="BT418" s="2"/>
      <c r="BU418" s="2"/>
      <c r="BV418" s="2"/>
      <c r="BW418" s="2"/>
      <c r="BX418" s="2"/>
      <c r="BY418" s="2"/>
      <c r="BZ418" s="2"/>
      <c r="CA418" s="2"/>
      <c r="CB418" s="2"/>
      <c r="CC418" s="2"/>
      <c r="CD418" s="3"/>
      <c r="CE418" s="2"/>
      <c r="CF418" s="4"/>
      <c r="CG418" s="4"/>
      <c r="CI418" s="2"/>
    </row>
    <row r="419" spans="1:87" s="101" customFormat="1" x14ac:dyDescent="0.35">
      <c r="A419" s="1"/>
      <c r="C419" s="1"/>
      <c r="G419" s="2"/>
      <c r="H419" s="2"/>
      <c r="I419" s="2"/>
      <c r="J419" s="2"/>
      <c r="K419" s="81"/>
      <c r="L419" s="4"/>
      <c r="M419" s="4"/>
      <c r="N419" s="4"/>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3"/>
      <c r="AP419" s="2"/>
      <c r="AQ419" s="2"/>
      <c r="AR419" s="2"/>
      <c r="AS419" s="2"/>
      <c r="AT419" s="2"/>
      <c r="AU419" s="2"/>
      <c r="AV419" s="2"/>
      <c r="AW419" s="2"/>
      <c r="AX419" s="2"/>
      <c r="AY419" s="2"/>
      <c r="AZ419" s="5"/>
      <c r="BA419" s="2"/>
      <c r="BD419" s="2"/>
      <c r="BE419" s="2"/>
      <c r="BF419" s="2"/>
      <c r="BG419" s="2"/>
      <c r="BH419" s="2"/>
      <c r="BI419" s="2"/>
      <c r="BJ419" s="2"/>
      <c r="BK419" s="2"/>
      <c r="BM419" s="2"/>
      <c r="BN419" s="2"/>
      <c r="BO419" s="2"/>
      <c r="BP419" s="2"/>
      <c r="BQ419" s="2"/>
      <c r="BR419" s="6"/>
      <c r="BS419" s="6"/>
      <c r="BT419" s="2"/>
      <c r="BU419" s="2"/>
      <c r="BV419" s="2"/>
      <c r="BW419" s="2"/>
      <c r="BX419" s="2"/>
      <c r="BY419" s="2"/>
      <c r="BZ419" s="2"/>
      <c r="CA419" s="2"/>
      <c r="CB419" s="2"/>
      <c r="CC419" s="2"/>
      <c r="CD419" s="3"/>
      <c r="CE419" s="2"/>
      <c r="CF419" s="4"/>
      <c r="CG419" s="4"/>
      <c r="CI419" s="2"/>
    </row>
    <row r="420" spans="1:87" s="101" customFormat="1" x14ac:dyDescent="0.35">
      <c r="A420" s="1"/>
      <c r="C420" s="1"/>
      <c r="G420" s="2"/>
      <c r="H420" s="2"/>
      <c r="I420" s="2"/>
      <c r="J420" s="2"/>
      <c r="K420" s="81"/>
      <c r="L420" s="4"/>
      <c r="M420" s="4"/>
      <c r="N420" s="4"/>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3"/>
      <c r="AP420" s="2"/>
      <c r="AQ420" s="2"/>
      <c r="AR420" s="2"/>
      <c r="AS420" s="2"/>
      <c r="AT420" s="2"/>
      <c r="AU420" s="2"/>
      <c r="AV420" s="2"/>
      <c r="AW420" s="2"/>
      <c r="AX420" s="2"/>
      <c r="AY420" s="2"/>
      <c r="AZ420" s="5"/>
      <c r="BA420" s="2"/>
      <c r="BD420" s="2"/>
      <c r="BE420" s="2"/>
      <c r="BF420" s="2"/>
      <c r="BG420" s="2"/>
      <c r="BH420" s="2"/>
      <c r="BI420" s="2"/>
      <c r="BJ420" s="2"/>
      <c r="BK420" s="2"/>
      <c r="BM420" s="2"/>
      <c r="BN420" s="2"/>
      <c r="BO420" s="2"/>
      <c r="BP420" s="2"/>
      <c r="BQ420" s="2"/>
      <c r="BR420" s="6"/>
      <c r="BS420" s="6"/>
      <c r="BT420" s="2"/>
      <c r="BU420" s="2"/>
      <c r="BV420" s="2"/>
      <c r="BW420" s="2"/>
      <c r="BX420" s="2"/>
      <c r="BY420" s="2"/>
      <c r="BZ420" s="2"/>
      <c r="CA420" s="2"/>
      <c r="CB420" s="2"/>
      <c r="CC420" s="2"/>
      <c r="CD420" s="3"/>
      <c r="CE420" s="2"/>
      <c r="CF420" s="4"/>
      <c r="CG420" s="4"/>
      <c r="CI420" s="2"/>
    </row>
    <row r="421" spans="1:87" s="101" customFormat="1" x14ac:dyDescent="0.35">
      <c r="A421" s="1"/>
      <c r="C421" s="1"/>
      <c r="G421" s="2"/>
      <c r="H421" s="2"/>
      <c r="I421" s="2"/>
      <c r="J421" s="2"/>
      <c r="K421" s="81"/>
      <c r="L421" s="4"/>
      <c r="M421" s="4"/>
      <c r="N421" s="4"/>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3"/>
      <c r="AP421" s="2"/>
      <c r="AQ421" s="2"/>
      <c r="AR421" s="2"/>
      <c r="AS421" s="2"/>
      <c r="AT421" s="2"/>
      <c r="AU421" s="2"/>
      <c r="AV421" s="2"/>
      <c r="AW421" s="2"/>
      <c r="AX421" s="2"/>
      <c r="AY421" s="2"/>
      <c r="AZ421" s="5"/>
      <c r="BA421" s="2"/>
      <c r="BD421" s="2"/>
      <c r="BE421" s="2"/>
      <c r="BF421" s="2"/>
      <c r="BG421" s="2"/>
      <c r="BH421" s="2"/>
      <c r="BI421" s="2"/>
      <c r="BJ421" s="2"/>
      <c r="BK421" s="2"/>
      <c r="BM421" s="2"/>
      <c r="BN421" s="2"/>
      <c r="BO421" s="2"/>
      <c r="BP421" s="2"/>
      <c r="BQ421" s="2"/>
      <c r="BR421" s="6"/>
      <c r="BS421" s="6"/>
      <c r="BT421" s="2"/>
      <c r="BU421" s="2"/>
      <c r="BV421" s="2"/>
      <c r="BW421" s="2"/>
      <c r="BX421" s="2"/>
      <c r="BY421" s="2"/>
      <c r="BZ421" s="2"/>
      <c r="CA421" s="2"/>
      <c r="CB421" s="2"/>
      <c r="CC421" s="2"/>
      <c r="CD421" s="3"/>
      <c r="CE421" s="2"/>
      <c r="CF421" s="4"/>
      <c r="CG421" s="4"/>
      <c r="CI421" s="2"/>
    </row>
    <row r="422" spans="1:87" s="101" customFormat="1" x14ac:dyDescent="0.35">
      <c r="A422" s="1"/>
      <c r="C422" s="1"/>
      <c r="G422" s="2"/>
      <c r="H422" s="2"/>
      <c r="I422" s="2"/>
      <c r="J422" s="2"/>
      <c r="K422" s="81"/>
      <c r="L422" s="4"/>
      <c r="M422" s="4"/>
      <c r="N422" s="4"/>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3"/>
      <c r="AP422" s="2"/>
      <c r="AQ422" s="2"/>
      <c r="AR422" s="2"/>
      <c r="AS422" s="2"/>
      <c r="AT422" s="2"/>
      <c r="AU422" s="2"/>
      <c r="AV422" s="2"/>
      <c r="AW422" s="2"/>
      <c r="AX422" s="2"/>
      <c r="AY422" s="2"/>
      <c r="AZ422" s="5"/>
      <c r="BA422" s="2"/>
      <c r="BD422" s="2"/>
      <c r="BE422" s="2"/>
      <c r="BF422" s="2"/>
      <c r="BG422" s="2"/>
      <c r="BH422" s="2"/>
      <c r="BI422" s="2"/>
      <c r="BJ422" s="2"/>
      <c r="BK422" s="2"/>
      <c r="BM422" s="2"/>
      <c r="BN422" s="2"/>
      <c r="BO422" s="2"/>
      <c r="BP422" s="2"/>
      <c r="BQ422" s="2"/>
      <c r="BR422" s="6"/>
      <c r="BS422" s="6"/>
      <c r="BT422" s="2"/>
      <c r="BU422" s="2"/>
      <c r="BV422" s="2"/>
      <c r="BW422" s="2"/>
      <c r="BX422" s="2"/>
      <c r="BY422" s="2"/>
      <c r="BZ422" s="2"/>
      <c r="CA422" s="2"/>
      <c r="CB422" s="2"/>
      <c r="CC422" s="2"/>
      <c r="CD422" s="3"/>
      <c r="CE422" s="2"/>
      <c r="CF422" s="4"/>
      <c r="CG422" s="4"/>
      <c r="CI422" s="2"/>
    </row>
    <row r="423" spans="1:87" s="101" customFormat="1" x14ac:dyDescent="0.35">
      <c r="A423" s="1"/>
      <c r="C423" s="1"/>
      <c r="G423" s="2"/>
      <c r="H423" s="2"/>
      <c r="I423" s="2"/>
      <c r="J423" s="2"/>
      <c r="K423" s="81"/>
      <c r="L423" s="4"/>
      <c r="M423" s="4"/>
      <c r="N423" s="4"/>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3"/>
      <c r="AP423" s="2"/>
      <c r="AQ423" s="2"/>
      <c r="AR423" s="2"/>
      <c r="AS423" s="2"/>
      <c r="AT423" s="2"/>
      <c r="AU423" s="2"/>
      <c r="AV423" s="2"/>
      <c r="AW423" s="2"/>
      <c r="AX423" s="2"/>
      <c r="AY423" s="2"/>
      <c r="AZ423" s="5"/>
      <c r="BA423" s="2"/>
      <c r="BD423" s="2"/>
      <c r="BE423" s="2"/>
      <c r="BF423" s="2"/>
      <c r="BG423" s="2"/>
      <c r="BH423" s="2"/>
      <c r="BI423" s="2"/>
      <c r="BJ423" s="2"/>
      <c r="BK423" s="2"/>
      <c r="BM423" s="2"/>
      <c r="BN423" s="2"/>
      <c r="BO423" s="2"/>
      <c r="BP423" s="2"/>
      <c r="BQ423" s="2"/>
      <c r="BR423" s="6"/>
      <c r="BS423" s="6"/>
      <c r="BT423" s="2"/>
      <c r="BU423" s="2"/>
      <c r="BV423" s="2"/>
      <c r="BW423" s="2"/>
      <c r="BX423" s="2"/>
      <c r="BY423" s="2"/>
      <c r="BZ423" s="2"/>
      <c r="CA423" s="2"/>
      <c r="CB423" s="2"/>
      <c r="CC423" s="2"/>
      <c r="CD423" s="3"/>
      <c r="CE423" s="2"/>
      <c r="CF423" s="4"/>
      <c r="CG423" s="4"/>
      <c r="CI423" s="2"/>
    </row>
    <row r="424" spans="1:87" s="101" customFormat="1" x14ac:dyDescent="0.35">
      <c r="A424" s="1"/>
      <c r="C424" s="1"/>
      <c r="G424" s="2"/>
      <c r="H424" s="2"/>
      <c r="I424" s="2"/>
      <c r="J424" s="2"/>
      <c r="K424" s="81"/>
      <c r="L424" s="4"/>
      <c r="M424" s="4"/>
      <c r="N424" s="4"/>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3"/>
      <c r="AP424" s="2"/>
      <c r="AQ424" s="2"/>
      <c r="AR424" s="2"/>
      <c r="AS424" s="2"/>
      <c r="AT424" s="2"/>
      <c r="AU424" s="2"/>
      <c r="AV424" s="2"/>
      <c r="AW424" s="2"/>
      <c r="AX424" s="2"/>
      <c r="AY424" s="2"/>
      <c r="AZ424" s="5"/>
      <c r="BA424" s="2"/>
      <c r="BD424" s="2"/>
      <c r="BE424" s="2"/>
      <c r="BF424" s="2"/>
      <c r="BG424" s="2"/>
      <c r="BH424" s="2"/>
      <c r="BI424" s="2"/>
      <c r="BJ424" s="2"/>
      <c r="BK424" s="2"/>
      <c r="BM424" s="2"/>
      <c r="BN424" s="2"/>
      <c r="BO424" s="2"/>
      <c r="BP424" s="2"/>
      <c r="BQ424" s="2"/>
      <c r="BR424" s="6"/>
      <c r="BS424" s="6"/>
      <c r="BT424" s="2"/>
      <c r="BU424" s="2"/>
      <c r="BV424" s="2"/>
      <c r="BW424" s="2"/>
      <c r="BX424" s="2"/>
      <c r="BY424" s="2"/>
      <c r="BZ424" s="2"/>
      <c r="CA424" s="2"/>
      <c r="CB424" s="2"/>
      <c r="CC424" s="2"/>
      <c r="CD424" s="3"/>
      <c r="CE424" s="2"/>
      <c r="CF424" s="4"/>
      <c r="CG424" s="4"/>
      <c r="CI424" s="2"/>
    </row>
    <row r="425" spans="1:87" s="101" customFormat="1" x14ac:dyDescent="0.35">
      <c r="A425" s="1"/>
      <c r="C425" s="1"/>
      <c r="G425" s="2"/>
      <c r="H425" s="2"/>
      <c r="I425" s="2"/>
      <c r="J425" s="2"/>
      <c r="K425" s="81"/>
      <c r="L425" s="4"/>
      <c r="M425" s="4"/>
      <c r="N425" s="4"/>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3"/>
      <c r="AP425" s="2"/>
      <c r="AQ425" s="2"/>
      <c r="AR425" s="2"/>
      <c r="AS425" s="2"/>
      <c r="AT425" s="2"/>
      <c r="AU425" s="2"/>
      <c r="AV425" s="2"/>
      <c r="AW425" s="2"/>
      <c r="AX425" s="2"/>
      <c r="AY425" s="2"/>
      <c r="AZ425" s="5"/>
      <c r="BA425" s="2"/>
      <c r="BD425" s="2"/>
      <c r="BE425" s="2"/>
      <c r="BF425" s="2"/>
      <c r="BG425" s="2"/>
      <c r="BH425" s="2"/>
      <c r="BI425" s="2"/>
      <c r="BJ425" s="2"/>
      <c r="BK425" s="2"/>
      <c r="BM425" s="2"/>
      <c r="BN425" s="2"/>
      <c r="BO425" s="2"/>
      <c r="BP425" s="2"/>
      <c r="BQ425" s="2"/>
      <c r="BR425" s="6"/>
      <c r="BS425" s="6"/>
      <c r="BT425" s="2"/>
      <c r="BU425" s="2"/>
      <c r="BV425" s="2"/>
      <c r="BW425" s="2"/>
      <c r="BX425" s="2"/>
      <c r="BY425" s="2"/>
      <c r="BZ425" s="2"/>
      <c r="CA425" s="2"/>
      <c r="CB425" s="2"/>
      <c r="CC425" s="2"/>
      <c r="CD425" s="3"/>
      <c r="CE425" s="2"/>
      <c r="CF425" s="4"/>
      <c r="CG425" s="4"/>
      <c r="CI425" s="2"/>
    </row>
    <row r="426" spans="1:87" s="101" customFormat="1" x14ac:dyDescent="0.35">
      <c r="A426" s="1"/>
      <c r="C426" s="1"/>
      <c r="G426" s="2"/>
      <c r="H426" s="2"/>
      <c r="I426" s="2"/>
      <c r="J426" s="2"/>
      <c r="K426" s="81"/>
      <c r="L426" s="4"/>
      <c r="M426" s="4"/>
      <c r="N426" s="4"/>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3"/>
      <c r="AP426" s="2"/>
      <c r="AQ426" s="2"/>
      <c r="AR426" s="2"/>
      <c r="AS426" s="2"/>
      <c r="AT426" s="2"/>
      <c r="AU426" s="2"/>
      <c r="AV426" s="2"/>
      <c r="AW426" s="2"/>
      <c r="AX426" s="2"/>
      <c r="AY426" s="2"/>
      <c r="AZ426" s="5"/>
      <c r="BA426" s="2"/>
      <c r="BD426" s="2"/>
      <c r="BE426" s="2"/>
      <c r="BF426" s="2"/>
      <c r="BG426" s="2"/>
      <c r="BH426" s="2"/>
      <c r="BI426" s="2"/>
      <c r="BJ426" s="2"/>
      <c r="BK426" s="2"/>
      <c r="BM426" s="2"/>
      <c r="BN426" s="2"/>
      <c r="BO426" s="2"/>
      <c r="BP426" s="2"/>
      <c r="BQ426" s="2"/>
      <c r="BR426" s="6"/>
      <c r="BS426" s="6"/>
      <c r="BT426" s="2"/>
      <c r="BU426" s="2"/>
      <c r="BV426" s="2"/>
      <c r="BW426" s="2"/>
      <c r="BX426" s="2"/>
      <c r="BY426" s="2"/>
      <c r="BZ426" s="2"/>
      <c r="CA426" s="2"/>
      <c r="CB426" s="2"/>
      <c r="CC426" s="2"/>
      <c r="CD426" s="3"/>
      <c r="CE426" s="2"/>
      <c r="CF426" s="4"/>
      <c r="CG426" s="4"/>
      <c r="CI426" s="2"/>
    </row>
    <row r="427" spans="1:87" s="101" customFormat="1" x14ac:dyDescent="0.35">
      <c r="A427" s="1"/>
      <c r="C427" s="1"/>
      <c r="G427" s="2"/>
      <c r="H427" s="2"/>
      <c r="I427" s="2"/>
      <c r="J427" s="2"/>
      <c r="K427" s="81"/>
      <c r="L427" s="4"/>
      <c r="M427" s="4"/>
      <c r="N427" s="4"/>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3"/>
      <c r="AP427" s="2"/>
      <c r="AQ427" s="2"/>
      <c r="AR427" s="2"/>
      <c r="AS427" s="2"/>
      <c r="AT427" s="2"/>
      <c r="AU427" s="2"/>
      <c r="AV427" s="2"/>
      <c r="AW427" s="2"/>
      <c r="AX427" s="2"/>
      <c r="AY427" s="2"/>
      <c r="AZ427" s="5"/>
      <c r="BA427" s="2"/>
      <c r="BD427" s="2"/>
      <c r="BE427" s="2"/>
      <c r="BF427" s="2"/>
      <c r="BG427" s="2"/>
      <c r="BH427" s="2"/>
      <c r="BI427" s="2"/>
      <c r="BJ427" s="2"/>
      <c r="BK427" s="2"/>
      <c r="BM427" s="2"/>
      <c r="BN427" s="2"/>
      <c r="BO427" s="2"/>
      <c r="BP427" s="2"/>
      <c r="BQ427" s="2"/>
      <c r="BR427" s="6"/>
      <c r="BS427" s="6"/>
      <c r="BT427" s="2"/>
      <c r="BU427" s="2"/>
      <c r="BV427" s="2"/>
      <c r="BW427" s="2"/>
      <c r="BX427" s="2"/>
      <c r="BY427" s="2"/>
      <c r="BZ427" s="2"/>
      <c r="CA427" s="2"/>
      <c r="CB427" s="2"/>
      <c r="CC427" s="2"/>
      <c r="CD427" s="3"/>
      <c r="CE427" s="2"/>
      <c r="CF427" s="4"/>
      <c r="CG427" s="4"/>
      <c r="CI427" s="2"/>
    </row>
    <row r="428" spans="1:87" s="101" customFormat="1" x14ac:dyDescent="0.35">
      <c r="A428" s="1"/>
      <c r="C428" s="1"/>
      <c r="G428" s="2"/>
      <c r="H428" s="2"/>
      <c r="I428" s="2"/>
      <c r="J428" s="2"/>
      <c r="K428" s="81"/>
      <c r="L428" s="4"/>
      <c r="M428" s="4"/>
      <c r="N428" s="4"/>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3"/>
      <c r="AP428" s="2"/>
      <c r="AQ428" s="2"/>
      <c r="AR428" s="2"/>
      <c r="AS428" s="2"/>
      <c r="AT428" s="2"/>
      <c r="AU428" s="2"/>
      <c r="AV428" s="2"/>
      <c r="AW428" s="2"/>
      <c r="AX428" s="2"/>
      <c r="AY428" s="2"/>
      <c r="AZ428" s="5"/>
      <c r="BA428" s="2"/>
      <c r="BD428" s="2"/>
      <c r="BE428" s="2"/>
      <c r="BF428" s="2"/>
      <c r="BG428" s="2"/>
      <c r="BH428" s="2"/>
      <c r="BI428" s="2"/>
      <c r="BJ428" s="2"/>
      <c r="BK428" s="2"/>
      <c r="BM428" s="2"/>
      <c r="BN428" s="2"/>
      <c r="BO428" s="2"/>
      <c r="BP428" s="2"/>
      <c r="BQ428" s="2"/>
      <c r="BR428" s="6"/>
      <c r="BS428" s="6"/>
      <c r="BT428" s="2"/>
      <c r="BU428" s="2"/>
      <c r="BV428" s="2"/>
      <c r="BW428" s="2"/>
      <c r="BX428" s="2"/>
      <c r="BY428" s="2"/>
      <c r="BZ428" s="2"/>
      <c r="CA428" s="2"/>
      <c r="CB428" s="2"/>
      <c r="CC428" s="2"/>
      <c r="CD428" s="3"/>
      <c r="CE428" s="2"/>
      <c r="CF428" s="4"/>
      <c r="CG428" s="4"/>
      <c r="CI428" s="2"/>
    </row>
    <row r="429" spans="1:87" s="101" customFormat="1" x14ac:dyDescent="0.35">
      <c r="A429" s="1"/>
      <c r="C429" s="1"/>
      <c r="G429" s="2"/>
      <c r="H429" s="2"/>
      <c r="I429" s="2"/>
      <c r="J429" s="2"/>
      <c r="K429" s="81"/>
      <c r="L429" s="4"/>
      <c r="M429" s="4"/>
      <c r="N429" s="4"/>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3"/>
      <c r="AP429" s="2"/>
      <c r="AQ429" s="2"/>
      <c r="AR429" s="2"/>
      <c r="AS429" s="2"/>
      <c r="AT429" s="2"/>
      <c r="AU429" s="2"/>
      <c r="AV429" s="2"/>
      <c r="AW429" s="2"/>
      <c r="AX429" s="2"/>
      <c r="AY429" s="2"/>
      <c r="AZ429" s="5"/>
      <c r="BA429" s="2"/>
      <c r="BD429" s="2"/>
      <c r="BE429" s="2"/>
      <c r="BF429" s="2"/>
      <c r="BG429" s="2"/>
      <c r="BH429" s="2"/>
      <c r="BI429" s="2"/>
      <c r="BJ429" s="2"/>
      <c r="BK429" s="2"/>
      <c r="BM429" s="2"/>
      <c r="BN429" s="2"/>
      <c r="BO429" s="2"/>
      <c r="BP429" s="2"/>
      <c r="BQ429" s="2"/>
      <c r="BR429" s="6"/>
      <c r="BS429" s="6"/>
      <c r="BT429" s="2"/>
      <c r="BU429" s="2"/>
      <c r="BV429" s="2"/>
      <c r="BW429" s="2"/>
      <c r="BX429" s="2"/>
      <c r="BY429" s="2"/>
      <c r="BZ429" s="2"/>
      <c r="CA429" s="2"/>
      <c r="CB429" s="2"/>
      <c r="CC429" s="2"/>
      <c r="CD429" s="3"/>
      <c r="CE429" s="2"/>
      <c r="CF429" s="4"/>
      <c r="CG429" s="4"/>
      <c r="CI429" s="2"/>
    </row>
    <row r="430" spans="1:87" s="101" customFormat="1" x14ac:dyDescent="0.35">
      <c r="A430" s="1"/>
      <c r="C430" s="1"/>
      <c r="G430" s="2"/>
      <c r="H430" s="2"/>
      <c r="I430" s="2"/>
      <c r="J430" s="2"/>
      <c r="K430" s="81"/>
      <c r="L430" s="4"/>
      <c r="M430" s="4"/>
      <c r="N430" s="4"/>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3"/>
      <c r="AP430" s="2"/>
      <c r="AQ430" s="2"/>
      <c r="AR430" s="2"/>
      <c r="AS430" s="2"/>
      <c r="AT430" s="2"/>
      <c r="AU430" s="2"/>
      <c r="AV430" s="2"/>
      <c r="AW430" s="2"/>
      <c r="AX430" s="2"/>
      <c r="AY430" s="2"/>
      <c r="AZ430" s="5"/>
      <c r="BA430" s="2"/>
      <c r="BD430" s="2"/>
      <c r="BE430" s="2"/>
      <c r="BF430" s="2"/>
      <c r="BG430" s="2"/>
      <c r="BH430" s="2"/>
      <c r="BI430" s="2"/>
      <c r="BJ430" s="2"/>
      <c r="BK430" s="2"/>
      <c r="BM430" s="2"/>
      <c r="BN430" s="2"/>
      <c r="BO430" s="2"/>
      <c r="BP430" s="2"/>
      <c r="BQ430" s="2"/>
      <c r="BR430" s="6"/>
      <c r="BS430" s="6"/>
      <c r="BT430" s="2"/>
      <c r="BU430" s="2"/>
      <c r="BV430" s="2"/>
      <c r="BW430" s="2"/>
      <c r="BX430" s="2"/>
      <c r="BY430" s="2"/>
      <c r="BZ430" s="2"/>
      <c r="CA430" s="2"/>
      <c r="CB430" s="2"/>
      <c r="CC430" s="2"/>
      <c r="CD430" s="3"/>
      <c r="CE430" s="2"/>
      <c r="CF430" s="4"/>
      <c r="CG430" s="4"/>
      <c r="CI430" s="2"/>
    </row>
    <row r="431" spans="1:87" s="101" customFormat="1" x14ac:dyDescent="0.35">
      <c r="A431" s="1"/>
      <c r="C431" s="1"/>
      <c r="G431" s="2"/>
      <c r="H431" s="2"/>
      <c r="I431" s="2"/>
      <c r="J431" s="2"/>
      <c r="K431" s="81"/>
      <c r="L431" s="4"/>
      <c r="M431" s="4"/>
      <c r="N431" s="4"/>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3"/>
      <c r="AP431" s="2"/>
      <c r="AQ431" s="2"/>
      <c r="AR431" s="2"/>
      <c r="AS431" s="2"/>
      <c r="AT431" s="2"/>
      <c r="AU431" s="2"/>
      <c r="AV431" s="2"/>
      <c r="AW431" s="2"/>
      <c r="AX431" s="2"/>
      <c r="AY431" s="2"/>
      <c r="AZ431" s="5"/>
      <c r="BA431" s="2"/>
      <c r="BD431" s="2"/>
      <c r="BE431" s="2"/>
      <c r="BF431" s="2"/>
      <c r="BG431" s="2"/>
      <c r="BH431" s="2"/>
      <c r="BI431" s="2"/>
      <c r="BJ431" s="2"/>
      <c r="BK431" s="2"/>
      <c r="BM431" s="2"/>
      <c r="BN431" s="2"/>
      <c r="BO431" s="2"/>
      <c r="BP431" s="2"/>
      <c r="BQ431" s="2"/>
      <c r="BR431" s="6"/>
      <c r="BS431" s="6"/>
      <c r="BT431" s="2"/>
      <c r="BU431" s="2"/>
      <c r="BV431" s="2"/>
      <c r="BW431" s="2"/>
      <c r="BX431" s="2"/>
      <c r="BY431" s="2"/>
      <c r="BZ431" s="2"/>
      <c r="CA431" s="2"/>
      <c r="CB431" s="2"/>
      <c r="CC431" s="2"/>
      <c r="CD431" s="3"/>
      <c r="CE431" s="2"/>
      <c r="CF431" s="4"/>
      <c r="CG431" s="4"/>
      <c r="CI431" s="2"/>
    </row>
    <row r="432" spans="1:87" s="101" customFormat="1" x14ac:dyDescent="0.35">
      <c r="A432" s="1"/>
      <c r="C432" s="1"/>
      <c r="G432" s="2"/>
      <c r="H432" s="2"/>
      <c r="I432" s="2"/>
      <c r="J432" s="2"/>
      <c r="K432" s="81"/>
      <c r="L432" s="4"/>
      <c r="M432" s="4"/>
      <c r="N432" s="4"/>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3"/>
      <c r="AP432" s="2"/>
      <c r="AQ432" s="2"/>
      <c r="AR432" s="2"/>
      <c r="AS432" s="2"/>
      <c r="AT432" s="2"/>
      <c r="AU432" s="2"/>
      <c r="AV432" s="2"/>
      <c r="AW432" s="2"/>
      <c r="AX432" s="2"/>
      <c r="AY432" s="2"/>
      <c r="AZ432" s="5"/>
      <c r="BA432" s="2"/>
      <c r="BD432" s="2"/>
      <c r="BE432" s="2"/>
      <c r="BF432" s="2"/>
      <c r="BG432" s="2"/>
      <c r="BH432" s="2"/>
      <c r="BI432" s="2"/>
      <c r="BJ432" s="2"/>
      <c r="BK432" s="2"/>
      <c r="BM432" s="2"/>
      <c r="BN432" s="2"/>
      <c r="BO432" s="2"/>
      <c r="BP432" s="2"/>
      <c r="BQ432" s="2"/>
      <c r="BR432" s="6"/>
      <c r="BS432" s="6"/>
      <c r="BT432" s="2"/>
      <c r="BU432" s="2"/>
      <c r="BV432" s="2"/>
      <c r="BW432" s="2"/>
      <c r="BX432" s="2"/>
      <c r="BY432" s="2"/>
      <c r="BZ432" s="2"/>
      <c r="CA432" s="2"/>
      <c r="CB432" s="2"/>
      <c r="CC432" s="2"/>
      <c r="CD432" s="3"/>
      <c r="CE432" s="2"/>
      <c r="CF432" s="4"/>
      <c r="CG432" s="4"/>
      <c r="CI432" s="2"/>
    </row>
    <row r="433" spans="1:87" s="101" customFormat="1" x14ac:dyDescent="0.35">
      <c r="A433" s="1"/>
      <c r="C433" s="1"/>
      <c r="G433" s="2"/>
      <c r="H433" s="2"/>
      <c r="I433" s="2"/>
      <c r="J433" s="2"/>
      <c r="K433" s="81"/>
      <c r="L433" s="4"/>
      <c r="M433" s="4"/>
      <c r="N433" s="4"/>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3"/>
      <c r="AP433" s="2"/>
      <c r="AQ433" s="2"/>
      <c r="AR433" s="2"/>
      <c r="AS433" s="2"/>
      <c r="AT433" s="2"/>
      <c r="AU433" s="2"/>
      <c r="AV433" s="2"/>
      <c r="AW433" s="2"/>
      <c r="AX433" s="2"/>
      <c r="AY433" s="2"/>
      <c r="AZ433" s="5"/>
      <c r="BA433" s="2"/>
      <c r="BD433" s="2"/>
      <c r="BE433" s="2"/>
      <c r="BF433" s="2"/>
      <c r="BG433" s="2"/>
      <c r="BH433" s="2"/>
      <c r="BI433" s="2"/>
      <c r="BJ433" s="2"/>
      <c r="BK433" s="2"/>
      <c r="BM433" s="2"/>
      <c r="BN433" s="2"/>
      <c r="BO433" s="2"/>
      <c r="BP433" s="2"/>
      <c r="BQ433" s="2"/>
      <c r="BR433" s="6"/>
      <c r="BS433" s="6"/>
      <c r="BT433" s="2"/>
      <c r="BU433" s="2"/>
      <c r="BV433" s="2"/>
      <c r="BW433" s="2"/>
      <c r="BX433" s="2"/>
      <c r="BY433" s="2"/>
      <c r="BZ433" s="2"/>
      <c r="CA433" s="2"/>
      <c r="CB433" s="2"/>
      <c r="CC433" s="2"/>
      <c r="CD433" s="3"/>
      <c r="CE433" s="2"/>
      <c r="CF433" s="4"/>
      <c r="CG433" s="4"/>
      <c r="CI433" s="2"/>
    </row>
    <row r="434" spans="1:87" s="101" customFormat="1" x14ac:dyDescent="0.35">
      <c r="A434" s="1"/>
      <c r="C434" s="1"/>
      <c r="G434" s="2"/>
      <c r="H434" s="2"/>
      <c r="I434" s="2"/>
      <c r="J434" s="2"/>
      <c r="K434" s="81"/>
      <c r="L434" s="4"/>
      <c r="M434" s="4"/>
      <c r="N434" s="4"/>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3"/>
      <c r="AP434" s="2"/>
      <c r="AQ434" s="2"/>
      <c r="AR434" s="2"/>
      <c r="AS434" s="2"/>
      <c r="AT434" s="2"/>
      <c r="AU434" s="2"/>
      <c r="AV434" s="2"/>
      <c r="AW434" s="2"/>
      <c r="AX434" s="2"/>
      <c r="AY434" s="2"/>
      <c r="AZ434" s="5"/>
      <c r="BA434" s="2"/>
      <c r="BD434" s="2"/>
      <c r="BE434" s="2"/>
      <c r="BF434" s="2"/>
      <c r="BG434" s="2"/>
      <c r="BH434" s="2"/>
      <c r="BI434" s="2"/>
      <c r="BJ434" s="2"/>
      <c r="BK434" s="2"/>
      <c r="BM434" s="2"/>
      <c r="BN434" s="2"/>
      <c r="BO434" s="2"/>
      <c r="BP434" s="2"/>
      <c r="BQ434" s="2"/>
      <c r="BR434" s="6"/>
      <c r="BS434" s="6"/>
      <c r="BT434" s="2"/>
      <c r="BU434" s="2"/>
      <c r="BV434" s="2"/>
      <c r="BW434" s="2"/>
      <c r="BX434" s="2"/>
      <c r="BY434" s="2"/>
      <c r="BZ434" s="2"/>
      <c r="CA434" s="2"/>
      <c r="CB434" s="2"/>
      <c r="CC434" s="2"/>
      <c r="CD434" s="3"/>
      <c r="CE434" s="2"/>
      <c r="CF434" s="4"/>
      <c r="CG434" s="4"/>
      <c r="CI434" s="2"/>
    </row>
    <row r="435" spans="1:87" s="101" customFormat="1" x14ac:dyDescent="0.35">
      <c r="A435" s="1"/>
      <c r="C435" s="1"/>
      <c r="G435" s="2"/>
      <c r="H435" s="2"/>
      <c r="I435" s="2"/>
      <c r="J435" s="2"/>
      <c r="K435" s="81"/>
      <c r="L435" s="4"/>
      <c r="M435" s="4"/>
      <c r="N435" s="4"/>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3"/>
      <c r="AP435" s="2"/>
      <c r="AQ435" s="2"/>
      <c r="AR435" s="2"/>
      <c r="AS435" s="2"/>
      <c r="AT435" s="2"/>
      <c r="AU435" s="2"/>
      <c r="AV435" s="2"/>
      <c r="AW435" s="2"/>
      <c r="AX435" s="2"/>
      <c r="AY435" s="2"/>
      <c r="AZ435" s="5"/>
      <c r="BA435" s="2"/>
      <c r="BD435" s="2"/>
      <c r="BE435" s="2"/>
      <c r="BF435" s="2"/>
      <c r="BG435" s="2"/>
      <c r="BH435" s="2"/>
      <c r="BI435" s="2"/>
      <c r="BJ435" s="2"/>
      <c r="BK435" s="2"/>
      <c r="BM435" s="2"/>
      <c r="BN435" s="2"/>
      <c r="BO435" s="2"/>
      <c r="BP435" s="2"/>
      <c r="BQ435" s="2"/>
      <c r="BR435" s="6"/>
      <c r="BS435" s="6"/>
      <c r="BT435" s="2"/>
      <c r="BU435" s="2"/>
      <c r="BV435" s="2"/>
      <c r="BW435" s="2"/>
      <c r="BX435" s="2"/>
      <c r="BY435" s="2"/>
      <c r="BZ435" s="2"/>
      <c r="CA435" s="2"/>
      <c r="CB435" s="2"/>
      <c r="CC435" s="2"/>
      <c r="CD435" s="3"/>
      <c r="CE435" s="2"/>
      <c r="CF435" s="4"/>
      <c r="CG435" s="4"/>
      <c r="CI435" s="2"/>
    </row>
    <row r="436" spans="1:87" s="101" customFormat="1" x14ac:dyDescent="0.35">
      <c r="A436" s="1"/>
      <c r="C436" s="1"/>
      <c r="G436" s="2"/>
      <c r="H436" s="2"/>
      <c r="I436" s="2"/>
      <c r="J436" s="2"/>
      <c r="K436" s="81"/>
      <c r="L436" s="4"/>
      <c r="M436" s="4"/>
      <c r="N436" s="4"/>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3"/>
      <c r="AP436" s="2"/>
      <c r="AQ436" s="2"/>
      <c r="AR436" s="2"/>
      <c r="AS436" s="2"/>
      <c r="AT436" s="2"/>
      <c r="AU436" s="2"/>
      <c r="AV436" s="2"/>
      <c r="AW436" s="2"/>
      <c r="AX436" s="2"/>
      <c r="AY436" s="2"/>
      <c r="AZ436" s="5"/>
      <c r="BA436" s="2"/>
      <c r="BD436" s="2"/>
      <c r="BE436" s="2"/>
      <c r="BF436" s="2"/>
      <c r="BG436" s="2"/>
      <c r="BH436" s="2"/>
      <c r="BI436" s="2"/>
      <c r="BJ436" s="2"/>
      <c r="BK436" s="2"/>
      <c r="BM436" s="2"/>
      <c r="BN436" s="2"/>
      <c r="BO436" s="2"/>
      <c r="BP436" s="2"/>
      <c r="BQ436" s="2"/>
      <c r="BR436" s="6"/>
      <c r="BS436" s="6"/>
      <c r="BT436" s="2"/>
      <c r="BU436" s="2"/>
      <c r="BV436" s="2"/>
      <c r="BW436" s="2"/>
      <c r="BX436" s="2"/>
      <c r="BY436" s="2"/>
      <c r="BZ436" s="2"/>
      <c r="CA436" s="2"/>
      <c r="CB436" s="2"/>
      <c r="CC436" s="2"/>
      <c r="CD436" s="3"/>
      <c r="CE436" s="2"/>
      <c r="CF436" s="4"/>
      <c r="CG436" s="4"/>
      <c r="CI436" s="2"/>
    </row>
    <row r="437" spans="1:87" s="101" customFormat="1" x14ac:dyDescent="0.35">
      <c r="A437" s="1"/>
      <c r="C437" s="1"/>
      <c r="G437" s="2"/>
      <c r="H437" s="2"/>
      <c r="I437" s="2"/>
      <c r="J437" s="2"/>
      <c r="K437" s="81"/>
      <c r="L437" s="4"/>
      <c r="M437" s="4"/>
      <c r="N437" s="4"/>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3"/>
      <c r="AP437" s="2"/>
      <c r="AQ437" s="2"/>
      <c r="AR437" s="2"/>
      <c r="AS437" s="2"/>
      <c r="AT437" s="2"/>
      <c r="AU437" s="2"/>
      <c r="AV437" s="2"/>
      <c r="AW437" s="2"/>
      <c r="AX437" s="2"/>
      <c r="AY437" s="2"/>
      <c r="AZ437" s="5"/>
      <c r="BA437" s="2"/>
      <c r="BD437" s="2"/>
      <c r="BE437" s="2"/>
      <c r="BF437" s="2"/>
      <c r="BG437" s="2"/>
      <c r="BH437" s="2"/>
      <c r="BI437" s="2"/>
      <c r="BJ437" s="2"/>
      <c r="BK437" s="2"/>
      <c r="BM437" s="2"/>
      <c r="BN437" s="2"/>
      <c r="BO437" s="2"/>
      <c r="BP437" s="2"/>
      <c r="BQ437" s="2"/>
      <c r="BR437" s="6"/>
      <c r="BS437" s="6"/>
      <c r="BT437" s="2"/>
      <c r="BU437" s="2"/>
      <c r="BV437" s="2"/>
      <c r="BW437" s="2"/>
      <c r="BX437" s="2"/>
      <c r="BY437" s="2"/>
      <c r="BZ437" s="2"/>
      <c r="CA437" s="2"/>
      <c r="CB437" s="2"/>
      <c r="CC437" s="2"/>
      <c r="CD437" s="3"/>
      <c r="CE437" s="2"/>
      <c r="CF437" s="4"/>
      <c r="CG437" s="4"/>
      <c r="CI437" s="2"/>
    </row>
    <row r="438" spans="1:87" s="101" customFormat="1" x14ac:dyDescent="0.35">
      <c r="A438" s="1"/>
      <c r="C438" s="1"/>
      <c r="G438" s="2"/>
      <c r="H438" s="2"/>
      <c r="I438" s="2"/>
      <c r="J438" s="2"/>
      <c r="K438" s="81"/>
      <c r="L438" s="4"/>
      <c r="M438" s="4"/>
      <c r="N438" s="4"/>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3"/>
      <c r="AP438" s="2"/>
      <c r="AQ438" s="2"/>
      <c r="AR438" s="2"/>
      <c r="AS438" s="2"/>
      <c r="AT438" s="2"/>
      <c r="AU438" s="2"/>
      <c r="AV438" s="2"/>
      <c r="AW438" s="2"/>
      <c r="AX438" s="2"/>
      <c r="AY438" s="2"/>
      <c r="AZ438" s="5"/>
      <c r="BA438" s="2"/>
      <c r="BD438" s="2"/>
      <c r="BE438" s="2"/>
      <c r="BF438" s="2"/>
      <c r="BG438" s="2"/>
      <c r="BH438" s="2"/>
      <c r="BI438" s="2"/>
      <c r="BJ438" s="2"/>
      <c r="BK438" s="2"/>
      <c r="BM438" s="2"/>
      <c r="BN438" s="2"/>
      <c r="BO438" s="2"/>
      <c r="BP438" s="2"/>
      <c r="BQ438" s="2"/>
      <c r="BR438" s="6"/>
      <c r="BS438" s="6"/>
      <c r="BT438" s="2"/>
      <c r="BU438" s="2"/>
      <c r="BV438" s="2"/>
      <c r="BW438" s="2"/>
      <c r="BX438" s="2"/>
      <c r="BY438" s="2"/>
      <c r="BZ438" s="2"/>
      <c r="CA438" s="2"/>
      <c r="CB438" s="2"/>
      <c r="CC438" s="2"/>
      <c r="CD438" s="3"/>
      <c r="CE438" s="2"/>
      <c r="CF438" s="4"/>
      <c r="CG438" s="4"/>
      <c r="CI438" s="2"/>
    </row>
    <row r="439" spans="1:87" s="101" customFormat="1" x14ac:dyDescent="0.35">
      <c r="A439" s="1"/>
      <c r="C439" s="1"/>
      <c r="G439" s="2"/>
      <c r="H439" s="2"/>
      <c r="I439" s="2"/>
      <c r="J439" s="2"/>
      <c r="K439" s="81"/>
      <c r="L439" s="4"/>
      <c r="M439" s="4"/>
      <c r="N439" s="4"/>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3"/>
      <c r="AP439" s="2"/>
      <c r="AQ439" s="2"/>
      <c r="AR439" s="2"/>
      <c r="AS439" s="2"/>
      <c r="AT439" s="2"/>
      <c r="AU439" s="2"/>
      <c r="AV439" s="2"/>
      <c r="AW439" s="2"/>
      <c r="AX439" s="2"/>
      <c r="AY439" s="2"/>
      <c r="AZ439" s="5"/>
      <c r="BA439" s="2"/>
      <c r="BD439" s="2"/>
      <c r="BE439" s="2"/>
      <c r="BF439" s="2"/>
      <c r="BG439" s="2"/>
      <c r="BH439" s="2"/>
      <c r="BI439" s="2"/>
      <c r="BJ439" s="2"/>
      <c r="BK439" s="2"/>
      <c r="BM439" s="2"/>
      <c r="BN439" s="2"/>
      <c r="BO439" s="2"/>
      <c r="BP439" s="2"/>
      <c r="BQ439" s="2"/>
      <c r="BR439" s="6"/>
      <c r="BS439" s="6"/>
      <c r="BT439" s="2"/>
      <c r="BU439" s="2"/>
      <c r="BV439" s="2"/>
      <c r="BW439" s="2"/>
      <c r="BX439" s="2"/>
      <c r="BY439" s="2"/>
      <c r="BZ439" s="2"/>
      <c r="CA439" s="2"/>
      <c r="CB439" s="2"/>
      <c r="CC439" s="2"/>
      <c r="CD439" s="3"/>
      <c r="CE439" s="2"/>
      <c r="CF439" s="4"/>
      <c r="CG439" s="4"/>
      <c r="CI439" s="2"/>
    </row>
    <row r="440" spans="1:87" s="101" customFormat="1" x14ac:dyDescent="0.35">
      <c r="A440" s="1"/>
      <c r="C440" s="1"/>
      <c r="G440" s="2"/>
      <c r="H440" s="2"/>
      <c r="I440" s="2"/>
      <c r="J440" s="2"/>
      <c r="K440" s="81"/>
      <c r="L440" s="4"/>
      <c r="M440" s="4"/>
      <c r="N440" s="4"/>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3"/>
      <c r="AP440" s="2"/>
      <c r="AQ440" s="2"/>
      <c r="AR440" s="2"/>
      <c r="AS440" s="2"/>
      <c r="AT440" s="2"/>
      <c r="AU440" s="2"/>
      <c r="AV440" s="2"/>
      <c r="AW440" s="2"/>
      <c r="AX440" s="2"/>
      <c r="AY440" s="2"/>
      <c r="AZ440" s="5"/>
      <c r="BA440" s="2"/>
      <c r="BD440" s="2"/>
      <c r="BE440" s="2"/>
      <c r="BF440" s="2"/>
      <c r="BG440" s="2"/>
      <c r="BH440" s="2"/>
      <c r="BI440" s="2"/>
      <c r="BJ440" s="2"/>
      <c r="BK440" s="2"/>
      <c r="BM440" s="2"/>
      <c r="BN440" s="2"/>
      <c r="BO440" s="2"/>
      <c r="BP440" s="2"/>
      <c r="BQ440" s="2"/>
      <c r="BR440" s="6"/>
      <c r="BS440" s="6"/>
      <c r="BT440" s="2"/>
      <c r="BU440" s="2"/>
      <c r="BV440" s="2"/>
      <c r="BW440" s="2"/>
      <c r="BX440" s="2"/>
      <c r="BY440" s="2"/>
      <c r="BZ440" s="2"/>
      <c r="CA440" s="2"/>
      <c r="CB440" s="2"/>
      <c r="CC440" s="2"/>
      <c r="CD440" s="3"/>
      <c r="CE440" s="2"/>
      <c r="CF440" s="4"/>
      <c r="CG440" s="4"/>
      <c r="CI440" s="2"/>
    </row>
    <row r="441" spans="1:87" s="101" customFormat="1" x14ac:dyDescent="0.35">
      <c r="A441" s="1"/>
      <c r="C441" s="1"/>
      <c r="G441" s="2"/>
      <c r="H441" s="2"/>
      <c r="I441" s="2"/>
      <c r="J441" s="2"/>
      <c r="K441" s="81"/>
      <c r="L441" s="4"/>
      <c r="M441" s="4"/>
      <c r="N441" s="4"/>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3"/>
      <c r="AP441" s="2"/>
      <c r="AQ441" s="2"/>
      <c r="AR441" s="2"/>
      <c r="AS441" s="2"/>
      <c r="AT441" s="2"/>
      <c r="AU441" s="2"/>
      <c r="AV441" s="2"/>
      <c r="AW441" s="2"/>
      <c r="AX441" s="2"/>
      <c r="AY441" s="2"/>
      <c r="AZ441" s="5"/>
      <c r="BA441" s="2"/>
      <c r="BD441" s="2"/>
      <c r="BE441" s="2"/>
      <c r="BF441" s="2"/>
      <c r="BG441" s="2"/>
      <c r="BH441" s="2"/>
      <c r="BI441" s="2"/>
      <c r="BJ441" s="2"/>
      <c r="BK441" s="2"/>
      <c r="BM441" s="2"/>
      <c r="BN441" s="2"/>
      <c r="BO441" s="2"/>
      <c r="BP441" s="2"/>
      <c r="BQ441" s="2"/>
      <c r="BR441" s="6"/>
      <c r="BS441" s="6"/>
      <c r="BT441" s="2"/>
      <c r="BU441" s="2"/>
      <c r="BV441" s="2"/>
      <c r="BW441" s="2"/>
      <c r="BX441" s="2"/>
      <c r="BY441" s="2"/>
      <c r="BZ441" s="2"/>
      <c r="CA441" s="2"/>
      <c r="CB441" s="2"/>
      <c r="CC441" s="2"/>
      <c r="CD441" s="3"/>
      <c r="CE441" s="2"/>
      <c r="CF441" s="4"/>
      <c r="CG441" s="4"/>
      <c r="CI441" s="2"/>
    </row>
    <row r="442" spans="1:87" s="101" customFormat="1" x14ac:dyDescent="0.35">
      <c r="A442" s="1"/>
      <c r="C442" s="1"/>
      <c r="G442" s="2"/>
      <c r="H442" s="2"/>
      <c r="I442" s="2"/>
      <c r="J442" s="2"/>
      <c r="K442" s="81"/>
      <c r="L442" s="4"/>
      <c r="M442" s="4"/>
      <c r="N442" s="4"/>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3"/>
      <c r="AP442" s="2"/>
      <c r="AQ442" s="2"/>
      <c r="AR442" s="2"/>
      <c r="AS442" s="2"/>
      <c r="AT442" s="2"/>
      <c r="AU442" s="2"/>
      <c r="AV442" s="2"/>
      <c r="AW442" s="2"/>
      <c r="AX442" s="2"/>
      <c r="AY442" s="2"/>
      <c r="AZ442" s="5"/>
      <c r="BA442" s="2"/>
      <c r="BD442" s="2"/>
      <c r="BE442" s="2"/>
      <c r="BF442" s="2"/>
      <c r="BG442" s="2"/>
      <c r="BH442" s="2"/>
      <c r="BI442" s="2"/>
      <c r="BJ442" s="2"/>
      <c r="BK442" s="2"/>
      <c r="BM442" s="2"/>
      <c r="BN442" s="2"/>
      <c r="BO442" s="2"/>
      <c r="BP442" s="2"/>
      <c r="BQ442" s="2"/>
      <c r="BR442" s="6"/>
      <c r="BS442" s="6"/>
      <c r="BT442" s="2"/>
      <c r="BU442" s="2"/>
      <c r="BV442" s="2"/>
      <c r="BW442" s="2"/>
      <c r="BX442" s="2"/>
      <c r="BY442" s="2"/>
      <c r="BZ442" s="2"/>
      <c r="CA442" s="2"/>
      <c r="CB442" s="2"/>
      <c r="CC442" s="2"/>
      <c r="CD442" s="3"/>
      <c r="CE442" s="2"/>
      <c r="CF442" s="4"/>
      <c r="CG442" s="4"/>
      <c r="CI442" s="2"/>
    </row>
    <row r="443" spans="1:87" s="101" customFormat="1" x14ac:dyDescent="0.35">
      <c r="A443" s="1"/>
      <c r="C443" s="1"/>
      <c r="G443" s="2"/>
      <c r="H443" s="2"/>
      <c r="I443" s="2"/>
      <c r="J443" s="2"/>
      <c r="K443" s="81"/>
      <c r="L443" s="4"/>
      <c r="M443" s="4"/>
      <c r="N443" s="4"/>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3"/>
      <c r="AP443" s="2"/>
      <c r="AQ443" s="2"/>
      <c r="AR443" s="2"/>
      <c r="AS443" s="2"/>
      <c r="AT443" s="2"/>
      <c r="AU443" s="2"/>
      <c r="AV443" s="2"/>
      <c r="AW443" s="2"/>
      <c r="AX443" s="2"/>
      <c r="AY443" s="2"/>
      <c r="AZ443" s="5"/>
      <c r="BA443" s="2"/>
      <c r="BD443" s="2"/>
      <c r="BE443" s="2"/>
      <c r="BF443" s="2"/>
      <c r="BG443" s="2"/>
      <c r="BH443" s="2"/>
      <c r="BI443" s="2"/>
      <c r="BJ443" s="2"/>
      <c r="BK443" s="2"/>
      <c r="BM443" s="2"/>
      <c r="BN443" s="2"/>
      <c r="BO443" s="2"/>
      <c r="BP443" s="2"/>
      <c r="BQ443" s="2"/>
      <c r="BR443" s="6"/>
      <c r="BS443" s="6"/>
      <c r="BT443" s="2"/>
      <c r="BU443" s="2"/>
      <c r="BV443" s="2"/>
      <c r="BW443" s="2"/>
      <c r="BX443" s="2"/>
      <c r="BY443" s="2"/>
      <c r="BZ443" s="2"/>
      <c r="CA443" s="2"/>
      <c r="CB443" s="2"/>
      <c r="CC443" s="2"/>
      <c r="CD443" s="3"/>
      <c r="CE443" s="2"/>
      <c r="CF443" s="4"/>
      <c r="CG443" s="4"/>
      <c r="CI443" s="2"/>
    </row>
    <row r="444" spans="1:87" s="101" customFormat="1" x14ac:dyDescent="0.35">
      <c r="A444" s="1"/>
      <c r="C444" s="1"/>
      <c r="G444" s="2"/>
      <c r="H444" s="2"/>
      <c r="I444" s="2"/>
      <c r="J444" s="2"/>
      <c r="K444" s="81"/>
      <c r="L444" s="4"/>
      <c r="M444" s="4"/>
      <c r="N444" s="4"/>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3"/>
      <c r="AP444" s="2"/>
      <c r="AQ444" s="2"/>
      <c r="AR444" s="2"/>
      <c r="AS444" s="2"/>
      <c r="AT444" s="2"/>
      <c r="AU444" s="2"/>
      <c r="AV444" s="2"/>
      <c r="AW444" s="2"/>
      <c r="AX444" s="2"/>
      <c r="AY444" s="2"/>
      <c r="AZ444" s="5"/>
      <c r="BA444" s="2"/>
      <c r="BD444" s="2"/>
      <c r="BE444" s="2"/>
      <c r="BF444" s="2"/>
      <c r="BG444" s="2"/>
      <c r="BH444" s="2"/>
      <c r="BI444" s="2"/>
      <c r="BJ444" s="2"/>
      <c r="BK444" s="2"/>
      <c r="BM444" s="2"/>
      <c r="BN444" s="2"/>
      <c r="BO444" s="2"/>
      <c r="BP444" s="2"/>
      <c r="BQ444" s="2"/>
      <c r="BR444" s="6"/>
      <c r="BS444" s="6"/>
      <c r="BT444" s="2"/>
      <c r="BU444" s="2"/>
      <c r="BV444" s="2"/>
      <c r="BW444" s="2"/>
      <c r="BX444" s="2"/>
      <c r="BY444" s="2"/>
      <c r="BZ444" s="2"/>
      <c r="CA444" s="2"/>
      <c r="CB444" s="2"/>
      <c r="CC444" s="2"/>
      <c r="CD444" s="3"/>
      <c r="CE444" s="2"/>
      <c r="CF444" s="4"/>
      <c r="CG444" s="4"/>
      <c r="CI444" s="2"/>
    </row>
    <row r="445" spans="1:87" s="101" customFormat="1" x14ac:dyDescent="0.35">
      <c r="A445" s="1"/>
      <c r="C445" s="1"/>
      <c r="G445" s="2"/>
      <c r="H445" s="2"/>
      <c r="I445" s="2"/>
      <c r="J445" s="2"/>
      <c r="K445" s="81"/>
      <c r="L445" s="4"/>
      <c r="M445" s="4"/>
      <c r="N445" s="4"/>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3"/>
      <c r="AP445" s="2"/>
      <c r="AQ445" s="2"/>
      <c r="AR445" s="2"/>
      <c r="AS445" s="2"/>
      <c r="AT445" s="2"/>
      <c r="AU445" s="2"/>
      <c r="AV445" s="2"/>
      <c r="AW445" s="2"/>
      <c r="AX445" s="2"/>
      <c r="AY445" s="2"/>
      <c r="AZ445" s="5"/>
      <c r="BA445" s="2"/>
      <c r="BD445" s="2"/>
      <c r="BE445" s="2"/>
      <c r="BF445" s="2"/>
      <c r="BG445" s="2"/>
      <c r="BH445" s="2"/>
      <c r="BI445" s="2"/>
      <c r="BJ445" s="2"/>
      <c r="BK445" s="2"/>
      <c r="BM445" s="2"/>
      <c r="BN445" s="2"/>
      <c r="BO445" s="2"/>
      <c r="BP445" s="2"/>
      <c r="BQ445" s="2"/>
      <c r="BR445" s="6"/>
      <c r="BS445" s="6"/>
      <c r="BT445" s="2"/>
      <c r="BU445" s="2"/>
      <c r="BV445" s="2"/>
      <c r="BW445" s="2"/>
      <c r="BX445" s="2"/>
      <c r="BY445" s="2"/>
      <c r="BZ445" s="2"/>
      <c r="CA445" s="2"/>
      <c r="CB445" s="2"/>
      <c r="CC445" s="2"/>
      <c r="CD445" s="3"/>
      <c r="CE445" s="2"/>
      <c r="CF445" s="4"/>
      <c r="CG445" s="4"/>
      <c r="CI445" s="2"/>
    </row>
    <row r="446" spans="1:87" s="101" customFormat="1" x14ac:dyDescent="0.35">
      <c r="A446" s="1"/>
      <c r="C446" s="1"/>
      <c r="G446" s="2"/>
      <c r="H446" s="2"/>
      <c r="I446" s="2"/>
      <c r="J446" s="2"/>
      <c r="K446" s="81"/>
      <c r="L446" s="4"/>
      <c r="M446" s="4"/>
      <c r="N446" s="4"/>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3"/>
      <c r="AP446" s="2"/>
      <c r="AQ446" s="2"/>
      <c r="AR446" s="2"/>
      <c r="AS446" s="2"/>
      <c r="AT446" s="2"/>
      <c r="AU446" s="2"/>
      <c r="AV446" s="2"/>
      <c r="AW446" s="2"/>
      <c r="AX446" s="2"/>
      <c r="AY446" s="2"/>
      <c r="AZ446" s="5"/>
      <c r="BA446" s="2"/>
      <c r="BD446" s="2"/>
      <c r="BE446" s="2"/>
      <c r="BF446" s="2"/>
      <c r="BG446" s="2"/>
      <c r="BH446" s="2"/>
      <c r="BI446" s="2"/>
      <c r="BJ446" s="2"/>
      <c r="BK446" s="2"/>
      <c r="BM446" s="2"/>
      <c r="BN446" s="2"/>
      <c r="BO446" s="2"/>
      <c r="BP446" s="2"/>
      <c r="BQ446" s="2"/>
      <c r="BR446" s="6"/>
      <c r="BS446" s="6"/>
      <c r="BT446" s="2"/>
      <c r="BU446" s="2"/>
      <c r="BV446" s="2"/>
      <c r="BW446" s="2"/>
      <c r="BX446" s="2"/>
      <c r="BY446" s="2"/>
      <c r="BZ446" s="2"/>
      <c r="CA446" s="2"/>
      <c r="CB446" s="2"/>
      <c r="CC446" s="2"/>
      <c r="CD446" s="3"/>
      <c r="CE446" s="2"/>
      <c r="CF446" s="4"/>
      <c r="CG446" s="4"/>
      <c r="CI446" s="2"/>
    </row>
    <row r="447" spans="1:87" s="101" customFormat="1" x14ac:dyDescent="0.35">
      <c r="A447" s="1"/>
      <c r="C447" s="1"/>
      <c r="G447" s="2"/>
      <c r="H447" s="2"/>
      <c r="I447" s="2"/>
      <c r="J447" s="2"/>
      <c r="K447" s="81"/>
      <c r="L447" s="4"/>
      <c r="M447" s="4"/>
      <c r="N447" s="4"/>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3"/>
      <c r="AP447" s="2"/>
      <c r="AQ447" s="2"/>
      <c r="AR447" s="2"/>
      <c r="AS447" s="2"/>
      <c r="AT447" s="2"/>
      <c r="AU447" s="2"/>
      <c r="AV447" s="2"/>
      <c r="AW447" s="2"/>
      <c r="AX447" s="2"/>
      <c r="AY447" s="2"/>
      <c r="AZ447" s="5"/>
      <c r="BA447" s="2"/>
      <c r="BD447" s="2"/>
      <c r="BE447" s="2"/>
      <c r="BF447" s="2"/>
      <c r="BG447" s="2"/>
      <c r="BH447" s="2"/>
      <c r="BI447" s="2"/>
      <c r="BJ447" s="2"/>
      <c r="BK447" s="2"/>
      <c r="BM447" s="2"/>
      <c r="BN447" s="2"/>
      <c r="BO447" s="2"/>
      <c r="BP447" s="2"/>
      <c r="BQ447" s="2"/>
      <c r="BR447" s="6"/>
      <c r="BS447" s="6"/>
      <c r="BT447" s="2"/>
      <c r="BU447" s="2"/>
      <c r="BV447" s="2"/>
      <c r="BW447" s="2"/>
      <c r="BX447" s="2"/>
      <c r="BY447" s="2"/>
      <c r="BZ447" s="2"/>
      <c r="CA447" s="2"/>
      <c r="CB447" s="2"/>
      <c r="CC447" s="2"/>
      <c r="CD447" s="3"/>
      <c r="CE447" s="2"/>
      <c r="CF447" s="4"/>
      <c r="CG447" s="4"/>
      <c r="CI447" s="2"/>
    </row>
    <row r="448" spans="1:87" s="101" customFormat="1" x14ac:dyDescent="0.35">
      <c r="A448" s="1"/>
      <c r="C448" s="1"/>
      <c r="G448" s="2"/>
      <c r="H448" s="2"/>
      <c r="I448" s="2"/>
      <c r="J448" s="2"/>
      <c r="K448" s="81"/>
      <c r="L448" s="4"/>
      <c r="M448" s="4"/>
      <c r="N448" s="4"/>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3"/>
      <c r="AP448" s="2"/>
      <c r="AQ448" s="2"/>
      <c r="AR448" s="2"/>
      <c r="AS448" s="2"/>
      <c r="AT448" s="2"/>
      <c r="AU448" s="2"/>
      <c r="AV448" s="2"/>
      <c r="AW448" s="2"/>
      <c r="AX448" s="2"/>
      <c r="AY448" s="2"/>
      <c r="AZ448" s="5"/>
      <c r="BA448" s="2"/>
      <c r="BD448" s="2"/>
      <c r="BE448" s="2"/>
      <c r="BF448" s="2"/>
      <c r="BG448" s="2"/>
      <c r="BH448" s="2"/>
      <c r="BI448" s="2"/>
      <c r="BJ448" s="2"/>
      <c r="BK448" s="2"/>
      <c r="BM448" s="2"/>
      <c r="BN448" s="2"/>
      <c r="BO448" s="2"/>
      <c r="BP448" s="2"/>
      <c r="BQ448" s="2"/>
      <c r="BR448" s="6"/>
      <c r="BS448" s="6"/>
      <c r="BT448" s="2"/>
      <c r="BU448" s="2"/>
      <c r="BV448" s="2"/>
      <c r="BW448" s="2"/>
      <c r="BX448" s="2"/>
      <c r="BY448" s="2"/>
      <c r="BZ448" s="2"/>
      <c r="CA448" s="2"/>
      <c r="CB448" s="2"/>
      <c r="CC448" s="2"/>
      <c r="CD448" s="3"/>
      <c r="CE448" s="2"/>
      <c r="CF448" s="4"/>
      <c r="CG448" s="4"/>
      <c r="CI448" s="2"/>
    </row>
    <row r="449" spans="1:87" s="101" customFormat="1" x14ac:dyDescent="0.35">
      <c r="A449" s="1"/>
      <c r="C449" s="1"/>
      <c r="G449" s="2"/>
      <c r="H449" s="2"/>
      <c r="I449" s="2"/>
      <c r="J449" s="2"/>
      <c r="K449" s="81"/>
      <c r="L449" s="4"/>
      <c r="M449" s="4"/>
      <c r="N449" s="4"/>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3"/>
      <c r="AP449" s="2"/>
      <c r="AQ449" s="2"/>
      <c r="AR449" s="2"/>
      <c r="AS449" s="2"/>
      <c r="AT449" s="2"/>
      <c r="AU449" s="2"/>
      <c r="AV449" s="2"/>
      <c r="AW449" s="2"/>
      <c r="AX449" s="2"/>
      <c r="AY449" s="2"/>
      <c r="AZ449" s="5"/>
      <c r="BA449" s="2"/>
      <c r="BD449" s="2"/>
      <c r="BE449" s="2"/>
      <c r="BF449" s="2"/>
      <c r="BG449" s="2"/>
      <c r="BH449" s="2"/>
      <c r="BI449" s="2"/>
      <c r="BJ449" s="2"/>
      <c r="BK449" s="2"/>
      <c r="BM449" s="2"/>
      <c r="BN449" s="2"/>
      <c r="BO449" s="2"/>
      <c r="BP449" s="2"/>
      <c r="BQ449" s="2"/>
      <c r="BR449" s="6"/>
      <c r="BS449" s="6"/>
      <c r="BT449" s="2"/>
      <c r="BU449" s="2"/>
      <c r="BV449" s="2"/>
      <c r="BW449" s="2"/>
      <c r="BX449" s="2"/>
      <c r="BY449" s="2"/>
      <c r="BZ449" s="2"/>
      <c r="CA449" s="2"/>
      <c r="CB449" s="2"/>
      <c r="CC449" s="2"/>
      <c r="CD449" s="3"/>
      <c r="CE449" s="2"/>
      <c r="CF449" s="4"/>
      <c r="CG449" s="4"/>
      <c r="CI449" s="2"/>
    </row>
    <row r="450" spans="1:87" s="101" customFormat="1" x14ac:dyDescent="0.35">
      <c r="A450" s="1"/>
      <c r="C450" s="1"/>
      <c r="G450" s="2"/>
      <c r="H450" s="2"/>
      <c r="I450" s="2"/>
      <c r="J450" s="2"/>
      <c r="K450" s="81"/>
      <c r="L450" s="4"/>
      <c r="M450" s="4"/>
      <c r="N450" s="4"/>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3"/>
      <c r="AP450" s="2"/>
      <c r="AQ450" s="2"/>
      <c r="AR450" s="2"/>
      <c r="AS450" s="2"/>
      <c r="AT450" s="2"/>
      <c r="AU450" s="2"/>
      <c r="AV450" s="2"/>
      <c r="AW450" s="2"/>
      <c r="AX450" s="2"/>
      <c r="AY450" s="2"/>
      <c r="AZ450" s="5"/>
      <c r="BA450" s="2"/>
      <c r="BD450" s="2"/>
      <c r="BE450" s="2"/>
      <c r="BF450" s="2"/>
      <c r="BG450" s="2"/>
      <c r="BH450" s="2"/>
      <c r="BI450" s="2"/>
      <c r="BJ450" s="2"/>
      <c r="BK450" s="2"/>
      <c r="BM450" s="2"/>
      <c r="BN450" s="2"/>
      <c r="BO450" s="2"/>
      <c r="BP450" s="2"/>
      <c r="BQ450" s="2"/>
      <c r="BR450" s="6"/>
      <c r="BS450" s="6"/>
      <c r="BT450" s="2"/>
      <c r="BU450" s="2"/>
      <c r="BV450" s="2"/>
      <c r="BW450" s="2"/>
      <c r="BX450" s="2"/>
      <c r="BY450" s="2"/>
      <c r="BZ450" s="2"/>
      <c r="CA450" s="2"/>
      <c r="CB450" s="2"/>
      <c r="CC450" s="2"/>
      <c r="CD450" s="3"/>
      <c r="CE450" s="2"/>
      <c r="CF450" s="4"/>
      <c r="CG450" s="4"/>
      <c r="CI450" s="2"/>
    </row>
    <row r="451" spans="1:87" s="101" customFormat="1" x14ac:dyDescent="0.35">
      <c r="A451" s="1"/>
      <c r="C451" s="1"/>
      <c r="G451" s="2"/>
      <c r="H451" s="2"/>
      <c r="I451" s="2"/>
      <c r="J451" s="2"/>
      <c r="K451" s="81"/>
      <c r="L451" s="4"/>
      <c r="M451" s="4"/>
      <c r="N451" s="4"/>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3"/>
      <c r="AP451" s="2"/>
      <c r="AQ451" s="2"/>
      <c r="AR451" s="2"/>
      <c r="AS451" s="2"/>
      <c r="AT451" s="2"/>
      <c r="AU451" s="2"/>
      <c r="AV451" s="2"/>
      <c r="AW451" s="2"/>
      <c r="AX451" s="2"/>
      <c r="AY451" s="2"/>
      <c r="AZ451" s="5"/>
      <c r="BA451" s="2"/>
      <c r="BD451" s="2"/>
      <c r="BE451" s="2"/>
      <c r="BF451" s="2"/>
      <c r="BG451" s="2"/>
      <c r="BH451" s="2"/>
      <c r="BI451" s="2"/>
      <c r="BJ451" s="2"/>
      <c r="BK451" s="2"/>
      <c r="BM451" s="2"/>
      <c r="BN451" s="2"/>
      <c r="BO451" s="2"/>
      <c r="BP451" s="2"/>
      <c r="BQ451" s="2"/>
      <c r="BR451" s="6"/>
      <c r="BS451" s="6"/>
      <c r="BT451" s="2"/>
      <c r="BU451" s="2"/>
      <c r="BV451" s="2"/>
      <c r="BW451" s="2"/>
      <c r="BX451" s="2"/>
      <c r="BY451" s="2"/>
      <c r="BZ451" s="2"/>
      <c r="CA451" s="2"/>
      <c r="CB451" s="2"/>
      <c r="CC451" s="2"/>
      <c r="CD451" s="3"/>
      <c r="CE451" s="2"/>
      <c r="CF451" s="4"/>
      <c r="CG451" s="4"/>
      <c r="CI451" s="2"/>
    </row>
    <row r="452" spans="1:87" s="101" customFormat="1" x14ac:dyDescent="0.35">
      <c r="A452" s="1"/>
      <c r="C452" s="1"/>
      <c r="G452" s="2"/>
      <c r="H452" s="2"/>
      <c r="I452" s="2"/>
      <c r="J452" s="2"/>
      <c r="K452" s="81"/>
      <c r="L452" s="4"/>
      <c r="M452" s="4"/>
      <c r="N452" s="4"/>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3"/>
      <c r="AP452" s="2"/>
      <c r="AQ452" s="2"/>
      <c r="AR452" s="2"/>
      <c r="AS452" s="2"/>
      <c r="AT452" s="2"/>
      <c r="AU452" s="2"/>
      <c r="AV452" s="2"/>
      <c r="AW452" s="2"/>
      <c r="AX452" s="2"/>
      <c r="AY452" s="2"/>
      <c r="AZ452" s="5"/>
      <c r="BA452" s="2"/>
      <c r="BD452" s="2"/>
      <c r="BE452" s="2"/>
      <c r="BF452" s="2"/>
      <c r="BG452" s="2"/>
      <c r="BH452" s="2"/>
      <c r="BI452" s="2"/>
      <c r="BJ452" s="2"/>
      <c r="BK452" s="2"/>
      <c r="BM452" s="2"/>
      <c r="BN452" s="2"/>
      <c r="BO452" s="2"/>
      <c r="BP452" s="2"/>
      <c r="BQ452" s="2"/>
      <c r="BR452" s="6"/>
      <c r="BS452" s="6"/>
      <c r="BT452" s="2"/>
      <c r="BU452" s="2"/>
      <c r="BV452" s="2"/>
      <c r="BW452" s="2"/>
      <c r="BX452" s="2"/>
      <c r="BY452" s="2"/>
      <c r="BZ452" s="2"/>
      <c r="CA452" s="2"/>
      <c r="CB452" s="2"/>
      <c r="CC452" s="2"/>
      <c r="CD452" s="3"/>
      <c r="CE452" s="2"/>
      <c r="CF452" s="4"/>
      <c r="CG452" s="4"/>
      <c r="CI452" s="2"/>
    </row>
    <row r="453" spans="1:87" s="101" customFormat="1" x14ac:dyDescent="0.35">
      <c r="A453" s="1"/>
      <c r="C453" s="1"/>
      <c r="G453" s="2"/>
      <c r="H453" s="2"/>
      <c r="I453" s="2"/>
      <c r="J453" s="2"/>
      <c r="K453" s="81"/>
      <c r="L453" s="4"/>
      <c r="M453" s="4"/>
      <c r="N453" s="4"/>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3"/>
      <c r="AP453" s="2"/>
      <c r="AQ453" s="2"/>
      <c r="AR453" s="2"/>
      <c r="AS453" s="2"/>
      <c r="AT453" s="2"/>
      <c r="AU453" s="2"/>
      <c r="AV453" s="2"/>
      <c r="AW453" s="2"/>
      <c r="AX453" s="2"/>
      <c r="AY453" s="2"/>
      <c r="AZ453" s="5"/>
      <c r="BA453" s="2"/>
      <c r="BD453" s="2"/>
      <c r="BE453" s="2"/>
      <c r="BF453" s="2"/>
      <c r="BG453" s="2"/>
      <c r="BH453" s="2"/>
      <c r="BI453" s="2"/>
      <c r="BJ453" s="2"/>
      <c r="BK453" s="2"/>
      <c r="BM453" s="2"/>
      <c r="BN453" s="2"/>
      <c r="BO453" s="2"/>
      <c r="BP453" s="2"/>
      <c r="BQ453" s="2"/>
      <c r="BR453" s="6"/>
      <c r="BS453" s="6"/>
      <c r="BT453" s="2"/>
      <c r="BU453" s="2"/>
      <c r="BV453" s="2"/>
      <c r="BW453" s="2"/>
      <c r="BX453" s="2"/>
      <c r="BY453" s="2"/>
      <c r="BZ453" s="2"/>
      <c r="CA453" s="2"/>
      <c r="CB453" s="2"/>
      <c r="CC453" s="2"/>
      <c r="CD453" s="3"/>
      <c r="CE453" s="2"/>
      <c r="CF453" s="4"/>
      <c r="CG453" s="4"/>
      <c r="CI453" s="2"/>
    </row>
    <row r="454" spans="1:87" s="101" customFormat="1" x14ac:dyDescent="0.35">
      <c r="A454" s="1"/>
      <c r="C454" s="1"/>
      <c r="G454" s="2"/>
      <c r="H454" s="2"/>
      <c r="I454" s="2"/>
      <c r="J454" s="2"/>
      <c r="K454" s="81"/>
      <c r="L454" s="4"/>
      <c r="M454" s="4"/>
      <c r="N454" s="4"/>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3"/>
      <c r="AP454" s="2"/>
      <c r="AQ454" s="2"/>
      <c r="AR454" s="2"/>
      <c r="AS454" s="2"/>
      <c r="AT454" s="2"/>
      <c r="AU454" s="2"/>
      <c r="AV454" s="2"/>
      <c r="AW454" s="2"/>
      <c r="AX454" s="2"/>
      <c r="AY454" s="2"/>
      <c r="AZ454" s="5"/>
      <c r="BA454" s="2"/>
      <c r="BD454" s="2"/>
      <c r="BE454" s="2"/>
      <c r="BF454" s="2"/>
      <c r="BG454" s="2"/>
      <c r="BH454" s="2"/>
      <c r="BI454" s="2"/>
      <c r="BJ454" s="2"/>
      <c r="BK454" s="2"/>
      <c r="BM454" s="2"/>
      <c r="BN454" s="2"/>
      <c r="BO454" s="2"/>
      <c r="BP454" s="2"/>
      <c r="BQ454" s="2"/>
      <c r="BR454" s="6"/>
      <c r="BS454" s="6"/>
      <c r="BT454" s="2"/>
      <c r="BU454" s="2"/>
      <c r="BV454" s="2"/>
      <c r="BW454" s="2"/>
      <c r="BX454" s="2"/>
      <c r="BY454" s="2"/>
      <c r="BZ454" s="2"/>
      <c r="CA454" s="2"/>
      <c r="CB454" s="2"/>
      <c r="CC454" s="2"/>
      <c r="CD454" s="3"/>
      <c r="CE454" s="2"/>
      <c r="CF454" s="4"/>
      <c r="CG454" s="4"/>
      <c r="CI454" s="2"/>
    </row>
    <row r="455" spans="1:87" s="101" customFormat="1" x14ac:dyDescent="0.35">
      <c r="A455" s="1"/>
      <c r="C455" s="1"/>
      <c r="G455" s="2"/>
      <c r="H455" s="2"/>
      <c r="I455" s="2"/>
      <c r="J455" s="2"/>
      <c r="K455" s="81"/>
      <c r="L455" s="4"/>
      <c r="M455" s="4"/>
      <c r="N455" s="4"/>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3"/>
      <c r="AP455" s="2"/>
      <c r="AQ455" s="2"/>
      <c r="AR455" s="2"/>
      <c r="AS455" s="2"/>
      <c r="AT455" s="2"/>
      <c r="AU455" s="2"/>
      <c r="AV455" s="2"/>
      <c r="AW455" s="2"/>
      <c r="AX455" s="2"/>
      <c r="AY455" s="2"/>
      <c r="AZ455" s="5"/>
      <c r="BA455" s="2"/>
      <c r="BD455" s="2"/>
      <c r="BE455" s="2"/>
      <c r="BF455" s="2"/>
      <c r="BG455" s="2"/>
      <c r="BH455" s="2"/>
      <c r="BI455" s="2"/>
      <c r="BJ455" s="2"/>
      <c r="BK455" s="2"/>
      <c r="BM455" s="2"/>
      <c r="BN455" s="2"/>
      <c r="BO455" s="2"/>
      <c r="BP455" s="2"/>
      <c r="BQ455" s="2"/>
      <c r="BR455" s="6"/>
      <c r="BS455" s="6"/>
      <c r="BT455" s="2"/>
      <c r="BU455" s="2"/>
      <c r="BV455" s="2"/>
      <c r="BW455" s="2"/>
      <c r="BX455" s="2"/>
      <c r="BY455" s="2"/>
      <c r="BZ455" s="2"/>
      <c r="CA455" s="2"/>
      <c r="CB455" s="2"/>
      <c r="CC455" s="2"/>
      <c r="CD455" s="3"/>
      <c r="CE455" s="2"/>
      <c r="CF455" s="4"/>
      <c r="CG455" s="4"/>
      <c r="CI455" s="2"/>
    </row>
    <row r="456" spans="1:87" s="101" customFormat="1" x14ac:dyDescent="0.35">
      <c r="A456" s="1"/>
      <c r="C456" s="1"/>
      <c r="G456" s="2"/>
      <c r="H456" s="2"/>
      <c r="I456" s="2"/>
      <c r="J456" s="2"/>
      <c r="K456" s="81"/>
      <c r="L456" s="4"/>
      <c r="M456" s="4"/>
      <c r="N456" s="4"/>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3"/>
      <c r="AP456" s="2"/>
      <c r="AQ456" s="2"/>
      <c r="AR456" s="2"/>
      <c r="AS456" s="2"/>
      <c r="AT456" s="2"/>
      <c r="AU456" s="2"/>
      <c r="AV456" s="2"/>
      <c r="AW456" s="2"/>
      <c r="AX456" s="2"/>
      <c r="AY456" s="2"/>
      <c r="AZ456" s="5"/>
      <c r="BA456" s="2"/>
      <c r="BD456" s="2"/>
      <c r="BE456" s="2"/>
      <c r="BF456" s="2"/>
      <c r="BG456" s="2"/>
      <c r="BH456" s="2"/>
      <c r="BI456" s="2"/>
      <c r="BJ456" s="2"/>
      <c r="BK456" s="2"/>
      <c r="BM456" s="2"/>
      <c r="BN456" s="2"/>
      <c r="BO456" s="2"/>
      <c r="BP456" s="2"/>
      <c r="BQ456" s="2"/>
      <c r="BR456" s="6"/>
      <c r="BS456" s="6"/>
      <c r="BT456" s="2"/>
      <c r="BU456" s="2"/>
      <c r="BV456" s="2"/>
      <c r="BW456" s="2"/>
      <c r="BX456" s="2"/>
      <c r="BY456" s="2"/>
      <c r="BZ456" s="2"/>
      <c r="CA456" s="2"/>
      <c r="CB456" s="2"/>
      <c r="CC456" s="2"/>
      <c r="CD456" s="3"/>
      <c r="CE456" s="2"/>
      <c r="CF456" s="4"/>
      <c r="CG456" s="4"/>
      <c r="CI456" s="2"/>
    </row>
    <row r="457" spans="1:87" s="101" customFormat="1" x14ac:dyDescent="0.35">
      <c r="A457" s="1"/>
      <c r="C457" s="1"/>
      <c r="G457" s="2"/>
      <c r="H457" s="2"/>
      <c r="I457" s="2"/>
      <c r="J457" s="2"/>
      <c r="K457" s="81"/>
      <c r="L457" s="4"/>
      <c r="M457" s="4"/>
      <c r="N457" s="4"/>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3"/>
      <c r="AP457" s="2"/>
      <c r="AQ457" s="2"/>
      <c r="AR457" s="2"/>
      <c r="AS457" s="2"/>
      <c r="AT457" s="2"/>
      <c r="AU457" s="2"/>
      <c r="AV457" s="2"/>
      <c r="AW457" s="2"/>
      <c r="AX457" s="2"/>
      <c r="AY457" s="2"/>
      <c r="AZ457" s="5"/>
      <c r="BA457" s="2"/>
      <c r="BD457" s="2"/>
      <c r="BE457" s="2"/>
      <c r="BF457" s="2"/>
      <c r="BG457" s="2"/>
      <c r="BH457" s="2"/>
      <c r="BI457" s="2"/>
      <c r="BJ457" s="2"/>
      <c r="BK457" s="2"/>
      <c r="BM457" s="2"/>
      <c r="BN457" s="2"/>
      <c r="BO457" s="2"/>
      <c r="BP457" s="2"/>
      <c r="BQ457" s="2"/>
      <c r="BR457" s="6"/>
      <c r="BS457" s="6"/>
      <c r="BT457" s="2"/>
      <c r="BU457" s="2"/>
      <c r="BV457" s="2"/>
      <c r="BW457" s="2"/>
      <c r="BX457" s="2"/>
      <c r="BY457" s="2"/>
      <c r="BZ457" s="2"/>
      <c r="CA457" s="2"/>
      <c r="CB457" s="2"/>
      <c r="CC457" s="2"/>
      <c r="CD457" s="3"/>
      <c r="CE457" s="2"/>
      <c r="CF457" s="4"/>
      <c r="CG457" s="4"/>
      <c r="CI457" s="2"/>
    </row>
    <row r="458" spans="1:87" s="101" customFormat="1" x14ac:dyDescent="0.35">
      <c r="A458" s="1"/>
      <c r="C458" s="1"/>
      <c r="G458" s="2"/>
      <c r="H458" s="2"/>
      <c r="I458" s="2"/>
      <c r="J458" s="2"/>
      <c r="K458" s="81"/>
      <c r="L458" s="4"/>
      <c r="M458" s="4"/>
      <c r="N458" s="4"/>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3"/>
      <c r="AP458" s="2"/>
      <c r="AQ458" s="2"/>
      <c r="AR458" s="2"/>
      <c r="AS458" s="2"/>
      <c r="AT458" s="2"/>
      <c r="AU458" s="2"/>
      <c r="AV458" s="2"/>
      <c r="AW458" s="2"/>
      <c r="AX458" s="2"/>
      <c r="AY458" s="2"/>
      <c r="AZ458" s="5"/>
      <c r="BA458" s="2"/>
      <c r="BD458" s="2"/>
      <c r="BE458" s="2"/>
      <c r="BF458" s="2"/>
      <c r="BG458" s="2"/>
      <c r="BH458" s="2"/>
      <c r="BI458" s="2"/>
      <c r="BJ458" s="2"/>
      <c r="BK458" s="2"/>
      <c r="BM458" s="2"/>
      <c r="BN458" s="2"/>
      <c r="BO458" s="2"/>
      <c r="BP458" s="2"/>
      <c r="BQ458" s="2"/>
      <c r="BR458" s="6"/>
      <c r="BS458" s="6"/>
      <c r="BT458" s="2"/>
      <c r="BU458" s="2"/>
      <c r="BV458" s="2"/>
      <c r="BW458" s="2"/>
      <c r="BX458" s="2"/>
      <c r="BY458" s="2"/>
      <c r="BZ458" s="2"/>
      <c r="CA458" s="2"/>
      <c r="CB458" s="2"/>
      <c r="CC458" s="2"/>
      <c r="CD458" s="3"/>
      <c r="CE458" s="2"/>
      <c r="CF458" s="4"/>
      <c r="CG458" s="4"/>
      <c r="CI458" s="2"/>
    </row>
    <row r="459" spans="1:87" s="101" customFormat="1" x14ac:dyDescent="0.35">
      <c r="A459" s="1"/>
      <c r="C459" s="1"/>
      <c r="G459" s="2"/>
      <c r="H459" s="2"/>
      <c r="I459" s="2"/>
      <c r="J459" s="2"/>
      <c r="K459" s="81"/>
      <c r="L459" s="4"/>
      <c r="M459" s="4"/>
      <c r="N459" s="4"/>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3"/>
      <c r="AP459" s="2"/>
      <c r="AQ459" s="2"/>
      <c r="AR459" s="2"/>
      <c r="AS459" s="2"/>
      <c r="AT459" s="2"/>
      <c r="AU459" s="2"/>
      <c r="AV459" s="2"/>
      <c r="AW459" s="2"/>
      <c r="AX459" s="2"/>
      <c r="AY459" s="2"/>
      <c r="AZ459" s="5"/>
      <c r="BA459" s="2"/>
      <c r="BD459" s="2"/>
      <c r="BE459" s="2"/>
      <c r="BF459" s="2"/>
      <c r="BG459" s="2"/>
      <c r="BH459" s="2"/>
      <c r="BI459" s="2"/>
      <c r="BJ459" s="2"/>
      <c r="BK459" s="2"/>
      <c r="BM459" s="2"/>
      <c r="BN459" s="2"/>
      <c r="BO459" s="2"/>
      <c r="BP459" s="2"/>
      <c r="BQ459" s="2"/>
      <c r="BR459" s="6"/>
      <c r="BS459" s="6"/>
      <c r="BT459" s="2"/>
      <c r="BU459" s="2"/>
      <c r="BV459" s="2"/>
      <c r="BW459" s="2"/>
      <c r="BX459" s="2"/>
      <c r="BY459" s="2"/>
      <c r="BZ459" s="2"/>
      <c r="CA459" s="2"/>
      <c r="CB459" s="2"/>
      <c r="CC459" s="2"/>
      <c r="CD459" s="3"/>
      <c r="CE459" s="2"/>
      <c r="CF459" s="4"/>
      <c r="CG459" s="4"/>
      <c r="CI459" s="2"/>
    </row>
    <row r="460" spans="1:87" s="101" customFormat="1" x14ac:dyDescent="0.35">
      <c r="A460" s="1"/>
      <c r="C460" s="1"/>
      <c r="G460" s="2"/>
      <c r="H460" s="2"/>
      <c r="I460" s="2"/>
      <c r="J460" s="2"/>
      <c r="K460" s="81"/>
      <c r="L460" s="4"/>
      <c r="M460" s="4"/>
      <c r="N460" s="4"/>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3"/>
      <c r="AP460" s="2"/>
      <c r="AQ460" s="2"/>
      <c r="AR460" s="2"/>
      <c r="AS460" s="2"/>
      <c r="AT460" s="2"/>
      <c r="AU460" s="2"/>
      <c r="AV460" s="2"/>
      <c r="AW460" s="2"/>
      <c r="AX460" s="2"/>
      <c r="AY460" s="2"/>
      <c r="AZ460" s="5"/>
      <c r="BA460" s="2"/>
      <c r="BD460" s="2"/>
      <c r="BE460" s="2"/>
      <c r="BF460" s="2"/>
      <c r="BG460" s="2"/>
      <c r="BH460" s="2"/>
      <c r="BI460" s="2"/>
      <c r="BJ460" s="2"/>
      <c r="BK460" s="2"/>
      <c r="BM460" s="2"/>
      <c r="BN460" s="2"/>
      <c r="BO460" s="2"/>
      <c r="BP460" s="2"/>
      <c r="BQ460" s="2"/>
      <c r="BR460" s="6"/>
      <c r="BS460" s="6"/>
      <c r="BT460" s="2"/>
      <c r="BU460" s="2"/>
      <c r="BV460" s="2"/>
      <c r="BW460" s="2"/>
      <c r="BX460" s="2"/>
      <c r="BY460" s="2"/>
      <c r="BZ460" s="2"/>
      <c r="CA460" s="2"/>
      <c r="CB460" s="2"/>
      <c r="CC460" s="2"/>
      <c r="CD460" s="3"/>
      <c r="CE460" s="2"/>
      <c r="CF460" s="4"/>
      <c r="CG460" s="4"/>
      <c r="CI460" s="2"/>
    </row>
    <row r="461" spans="1:87" s="101" customFormat="1" x14ac:dyDescent="0.35">
      <c r="A461" s="1"/>
      <c r="C461" s="1"/>
      <c r="G461" s="2"/>
      <c r="H461" s="2"/>
      <c r="I461" s="2"/>
      <c r="J461" s="2"/>
      <c r="K461" s="81"/>
      <c r="L461" s="4"/>
      <c r="M461" s="4"/>
      <c r="N461" s="4"/>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3"/>
      <c r="AP461" s="2"/>
      <c r="AQ461" s="2"/>
      <c r="AR461" s="2"/>
      <c r="AS461" s="2"/>
      <c r="AT461" s="2"/>
      <c r="AU461" s="2"/>
      <c r="AV461" s="2"/>
      <c r="AW461" s="2"/>
      <c r="AX461" s="2"/>
      <c r="AY461" s="2"/>
      <c r="AZ461" s="5"/>
      <c r="BA461" s="2"/>
      <c r="BD461" s="2"/>
      <c r="BE461" s="2"/>
      <c r="BF461" s="2"/>
      <c r="BG461" s="2"/>
      <c r="BH461" s="2"/>
      <c r="BI461" s="2"/>
      <c r="BJ461" s="2"/>
      <c r="BK461" s="2"/>
      <c r="BM461" s="2"/>
      <c r="BN461" s="2"/>
      <c r="BO461" s="2"/>
      <c r="BP461" s="2"/>
      <c r="BQ461" s="2"/>
      <c r="BR461" s="6"/>
      <c r="BS461" s="6"/>
      <c r="BT461" s="2"/>
      <c r="BU461" s="2"/>
      <c r="BV461" s="2"/>
      <c r="BW461" s="2"/>
      <c r="BX461" s="2"/>
      <c r="BY461" s="2"/>
      <c r="BZ461" s="2"/>
      <c r="CA461" s="2"/>
      <c r="CB461" s="2"/>
      <c r="CC461" s="2"/>
      <c r="CD461" s="3"/>
      <c r="CE461" s="2"/>
      <c r="CF461" s="4"/>
      <c r="CG461" s="4"/>
      <c r="CI461" s="2"/>
    </row>
    <row r="462" spans="1:87" s="101" customFormat="1" x14ac:dyDescent="0.35">
      <c r="A462" s="1"/>
      <c r="C462" s="1"/>
      <c r="G462" s="2"/>
      <c r="H462" s="2"/>
      <c r="I462" s="2"/>
      <c r="J462" s="2"/>
      <c r="K462" s="81"/>
      <c r="L462" s="4"/>
      <c r="M462" s="4"/>
      <c r="N462" s="4"/>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3"/>
      <c r="AP462" s="2"/>
      <c r="AQ462" s="2"/>
      <c r="AR462" s="2"/>
      <c r="AS462" s="2"/>
      <c r="AT462" s="2"/>
      <c r="AU462" s="2"/>
      <c r="AV462" s="2"/>
      <c r="AW462" s="2"/>
      <c r="AX462" s="2"/>
      <c r="AY462" s="2"/>
      <c r="AZ462" s="5"/>
      <c r="BA462" s="2"/>
      <c r="BD462" s="2"/>
      <c r="BE462" s="2"/>
      <c r="BF462" s="2"/>
      <c r="BG462" s="2"/>
      <c r="BH462" s="2"/>
      <c r="BI462" s="2"/>
      <c r="BJ462" s="2"/>
      <c r="BK462" s="2"/>
      <c r="BM462" s="2"/>
      <c r="BN462" s="2"/>
      <c r="BO462" s="2"/>
      <c r="BP462" s="2"/>
      <c r="BQ462" s="2"/>
      <c r="BR462" s="6"/>
      <c r="BS462" s="6"/>
      <c r="BT462" s="2"/>
      <c r="BU462" s="2"/>
      <c r="BV462" s="2"/>
      <c r="BW462" s="2"/>
      <c r="BX462" s="2"/>
      <c r="BY462" s="2"/>
      <c r="BZ462" s="2"/>
      <c r="CA462" s="2"/>
      <c r="CB462" s="2"/>
      <c r="CC462" s="2"/>
      <c r="CD462" s="3"/>
      <c r="CE462" s="2"/>
      <c r="CF462" s="4"/>
      <c r="CG462" s="4"/>
      <c r="CI462" s="2"/>
    </row>
    <row r="463" spans="1:87" s="101" customFormat="1" x14ac:dyDescent="0.35">
      <c r="A463" s="1"/>
      <c r="C463" s="1"/>
      <c r="G463" s="2"/>
      <c r="H463" s="2"/>
      <c r="I463" s="2"/>
      <c r="J463" s="2"/>
      <c r="K463" s="81"/>
      <c r="L463" s="4"/>
      <c r="M463" s="4"/>
      <c r="N463" s="4"/>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3"/>
      <c r="AP463" s="2"/>
      <c r="AQ463" s="2"/>
      <c r="AR463" s="2"/>
      <c r="AS463" s="2"/>
      <c r="AT463" s="2"/>
      <c r="AU463" s="2"/>
      <c r="AV463" s="2"/>
      <c r="AW463" s="2"/>
      <c r="AX463" s="2"/>
      <c r="AY463" s="2"/>
      <c r="AZ463" s="5"/>
      <c r="BA463" s="2"/>
      <c r="BD463" s="2"/>
      <c r="BE463" s="2"/>
      <c r="BF463" s="2"/>
      <c r="BG463" s="2"/>
      <c r="BH463" s="2"/>
      <c r="BI463" s="2"/>
      <c r="BJ463" s="2"/>
      <c r="BK463" s="2"/>
      <c r="BM463" s="2"/>
      <c r="BN463" s="2"/>
      <c r="BO463" s="2"/>
      <c r="BP463" s="2"/>
      <c r="BQ463" s="2"/>
      <c r="BR463" s="6"/>
      <c r="BS463" s="6"/>
      <c r="BT463" s="2"/>
      <c r="BU463" s="2"/>
      <c r="BV463" s="2"/>
      <c r="BW463" s="2"/>
      <c r="BX463" s="2"/>
      <c r="BY463" s="2"/>
      <c r="BZ463" s="2"/>
      <c r="CA463" s="2"/>
      <c r="CB463" s="2"/>
      <c r="CC463" s="2"/>
      <c r="CD463" s="3"/>
      <c r="CE463" s="2"/>
      <c r="CF463" s="4"/>
      <c r="CG463" s="4"/>
      <c r="CI463" s="2"/>
    </row>
    <row r="464" spans="1:87" s="101" customFormat="1" x14ac:dyDescent="0.35">
      <c r="A464" s="1"/>
      <c r="C464" s="1"/>
      <c r="G464" s="2"/>
      <c r="H464" s="2"/>
      <c r="I464" s="2"/>
      <c r="J464" s="2"/>
      <c r="K464" s="81"/>
      <c r="L464" s="4"/>
      <c r="M464" s="4"/>
      <c r="N464" s="4"/>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3"/>
      <c r="AP464" s="2"/>
      <c r="AQ464" s="2"/>
      <c r="AR464" s="2"/>
      <c r="AS464" s="2"/>
      <c r="AT464" s="2"/>
      <c r="AU464" s="2"/>
      <c r="AV464" s="2"/>
      <c r="AW464" s="2"/>
      <c r="AX464" s="2"/>
      <c r="AY464" s="2"/>
      <c r="AZ464" s="5"/>
      <c r="BA464" s="2"/>
      <c r="BD464" s="2"/>
      <c r="BE464" s="2"/>
      <c r="BF464" s="2"/>
      <c r="BG464" s="2"/>
      <c r="BH464" s="2"/>
      <c r="BI464" s="2"/>
      <c r="BJ464" s="2"/>
      <c r="BK464" s="2"/>
      <c r="BM464" s="2"/>
      <c r="BN464" s="2"/>
      <c r="BO464" s="2"/>
      <c r="BP464" s="2"/>
      <c r="BQ464" s="2"/>
      <c r="BR464" s="6"/>
      <c r="BS464" s="6"/>
      <c r="BT464" s="2"/>
      <c r="BU464" s="2"/>
      <c r="BV464" s="2"/>
      <c r="BW464" s="2"/>
      <c r="BX464" s="2"/>
      <c r="BY464" s="2"/>
      <c r="BZ464" s="2"/>
      <c r="CA464" s="2"/>
      <c r="CB464" s="2"/>
      <c r="CC464" s="2"/>
      <c r="CD464" s="3"/>
      <c r="CE464" s="2"/>
      <c r="CF464" s="4"/>
      <c r="CG464" s="4"/>
      <c r="CI464" s="2"/>
    </row>
    <row r="465" spans="1:87" s="101" customFormat="1" x14ac:dyDescent="0.35">
      <c r="A465" s="1"/>
      <c r="C465" s="1"/>
      <c r="G465" s="2"/>
      <c r="H465" s="2"/>
      <c r="I465" s="2"/>
      <c r="J465" s="2"/>
      <c r="K465" s="81"/>
      <c r="L465" s="4"/>
      <c r="M465" s="4"/>
      <c r="N465" s="4"/>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3"/>
      <c r="AP465" s="2"/>
      <c r="AQ465" s="2"/>
      <c r="AR465" s="2"/>
      <c r="AS465" s="2"/>
      <c r="AT465" s="2"/>
      <c r="AU465" s="2"/>
      <c r="AV465" s="2"/>
      <c r="AW465" s="2"/>
      <c r="AX465" s="2"/>
      <c r="AY465" s="2"/>
      <c r="AZ465" s="5"/>
      <c r="BA465" s="2"/>
      <c r="BD465" s="2"/>
      <c r="BE465" s="2"/>
      <c r="BF465" s="2"/>
      <c r="BG465" s="2"/>
      <c r="BH465" s="2"/>
      <c r="BI465" s="2"/>
      <c r="BJ465" s="2"/>
      <c r="BK465" s="2"/>
      <c r="BM465" s="2"/>
      <c r="BN465" s="2"/>
      <c r="BO465" s="2"/>
      <c r="BP465" s="2"/>
      <c r="BQ465" s="2"/>
      <c r="BR465" s="6"/>
      <c r="BS465" s="6"/>
      <c r="BT465" s="2"/>
      <c r="BU465" s="2"/>
      <c r="BV465" s="2"/>
      <c r="BW465" s="2"/>
      <c r="BX465" s="2"/>
      <c r="BY465" s="2"/>
      <c r="BZ465" s="2"/>
      <c r="CA465" s="2"/>
      <c r="CB465" s="2"/>
      <c r="CC465" s="2"/>
      <c r="CD465" s="3"/>
      <c r="CE465" s="2"/>
      <c r="CF465" s="4"/>
      <c r="CG465" s="4"/>
      <c r="CI465" s="2"/>
    </row>
    <row r="466" spans="1:87" s="101" customFormat="1" x14ac:dyDescent="0.35">
      <c r="A466" s="1"/>
      <c r="C466" s="1"/>
      <c r="G466" s="2"/>
      <c r="H466" s="2"/>
      <c r="I466" s="2"/>
      <c r="J466" s="2"/>
      <c r="K466" s="81"/>
      <c r="L466" s="4"/>
      <c r="M466" s="4"/>
      <c r="N466" s="4"/>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3"/>
      <c r="AP466" s="2"/>
      <c r="AQ466" s="2"/>
      <c r="AR466" s="2"/>
      <c r="AS466" s="2"/>
      <c r="AT466" s="2"/>
      <c r="AU466" s="2"/>
      <c r="AV466" s="2"/>
      <c r="AW466" s="2"/>
      <c r="AX466" s="2"/>
      <c r="AY466" s="2"/>
      <c r="AZ466" s="5"/>
      <c r="BA466" s="2"/>
      <c r="BD466" s="2"/>
      <c r="BE466" s="2"/>
      <c r="BF466" s="2"/>
      <c r="BG466" s="2"/>
      <c r="BH466" s="2"/>
      <c r="BI466" s="2"/>
      <c r="BJ466" s="2"/>
      <c r="BK466" s="2"/>
      <c r="BM466" s="2"/>
      <c r="BN466" s="2"/>
      <c r="BO466" s="2"/>
      <c r="BP466" s="2"/>
      <c r="BQ466" s="2"/>
      <c r="BR466" s="6"/>
      <c r="BS466" s="6"/>
      <c r="BT466" s="2"/>
      <c r="BU466" s="2"/>
      <c r="BV466" s="2"/>
      <c r="BW466" s="2"/>
      <c r="BX466" s="2"/>
      <c r="BY466" s="2"/>
      <c r="BZ466" s="2"/>
      <c r="CA466" s="2"/>
      <c r="CB466" s="2"/>
      <c r="CC466" s="2"/>
      <c r="CD466" s="3"/>
      <c r="CE466" s="2"/>
      <c r="CF466" s="4"/>
      <c r="CG466" s="4"/>
      <c r="CI466" s="2"/>
    </row>
    <row r="467" spans="1:87" s="101" customFormat="1" x14ac:dyDescent="0.35">
      <c r="A467" s="1"/>
      <c r="C467" s="1"/>
      <c r="G467" s="2"/>
      <c r="H467" s="2"/>
      <c r="I467" s="2"/>
      <c r="J467" s="2"/>
      <c r="K467" s="81"/>
      <c r="L467" s="4"/>
      <c r="M467" s="4"/>
      <c r="N467" s="4"/>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3"/>
      <c r="AP467" s="2"/>
      <c r="AQ467" s="2"/>
      <c r="AR467" s="2"/>
      <c r="AS467" s="2"/>
      <c r="AT467" s="2"/>
      <c r="AU467" s="2"/>
      <c r="AV467" s="2"/>
      <c r="AW467" s="2"/>
      <c r="AX467" s="2"/>
      <c r="AY467" s="2"/>
      <c r="AZ467" s="5"/>
      <c r="BA467" s="2"/>
      <c r="BD467" s="2"/>
      <c r="BE467" s="2"/>
      <c r="BF467" s="2"/>
      <c r="BG467" s="2"/>
      <c r="BH467" s="2"/>
      <c r="BI467" s="2"/>
      <c r="BJ467" s="2"/>
      <c r="BK467" s="2"/>
      <c r="BM467" s="2"/>
      <c r="BN467" s="2"/>
      <c r="BO467" s="2"/>
      <c r="BP467" s="2"/>
      <c r="BQ467" s="2"/>
      <c r="BR467" s="6"/>
      <c r="BS467" s="6"/>
      <c r="BT467" s="2"/>
      <c r="BU467" s="2"/>
      <c r="BV467" s="2"/>
      <c r="BW467" s="2"/>
      <c r="BX467" s="2"/>
      <c r="BY467" s="2"/>
      <c r="BZ467" s="2"/>
      <c r="CA467" s="2"/>
      <c r="CB467" s="2"/>
      <c r="CC467" s="2"/>
      <c r="CD467" s="3"/>
      <c r="CE467" s="2"/>
      <c r="CF467" s="4"/>
      <c r="CG467" s="4"/>
      <c r="CI467" s="2"/>
    </row>
    <row r="468" spans="1:87" s="101" customFormat="1" x14ac:dyDescent="0.35">
      <c r="A468" s="1"/>
      <c r="C468" s="1"/>
      <c r="G468" s="2"/>
      <c r="H468" s="2"/>
      <c r="I468" s="2"/>
      <c r="J468" s="2"/>
      <c r="K468" s="81"/>
      <c r="L468" s="4"/>
      <c r="M468" s="4"/>
      <c r="N468" s="4"/>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3"/>
      <c r="AP468" s="2"/>
      <c r="AQ468" s="2"/>
      <c r="AR468" s="2"/>
      <c r="AS468" s="2"/>
      <c r="AT468" s="2"/>
      <c r="AU468" s="2"/>
      <c r="AV468" s="2"/>
      <c r="AW468" s="2"/>
      <c r="AX468" s="2"/>
      <c r="AY468" s="2"/>
      <c r="AZ468" s="5"/>
      <c r="BA468" s="2"/>
      <c r="BD468" s="2"/>
      <c r="BE468" s="2"/>
      <c r="BF468" s="2"/>
      <c r="BG468" s="2"/>
      <c r="BH468" s="2"/>
      <c r="BI468" s="2"/>
      <c r="BJ468" s="2"/>
      <c r="BK468" s="2"/>
      <c r="BM468" s="2"/>
      <c r="BN468" s="2"/>
      <c r="BO468" s="2"/>
      <c r="BP468" s="2"/>
      <c r="BQ468" s="2"/>
      <c r="BR468" s="6"/>
      <c r="BS468" s="6"/>
      <c r="BT468" s="2"/>
      <c r="BU468" s="2"/>
      <c r="BV468" s="2"/>
      <c r="BW468" s="2"/>
      <c r="BX468" s="2"/>
      <c r="BY468" s="2"/>
      <c r="BZ468" s="2"/>
      <c r="CA468" s="2"/>
      <c r="CB468" s="2"/>
      <c r="CC468" s="2"/>
      <c r="CD468" s="3"/>
      <c r="CE468" s="2"/>
      <c r="CF468" s="4"/>
      <c r="CG468" s="4"/>
      <c r="CI468" s="2"/>
    </row>
    <row r="469" spans="1:87" s="101" customFormat="1" x14ac:dyDescent="0.35">
      <c r="A469" s="1"/>
      <c r="C469" s="1"/>
      <c r="G469" s="2"/>
      <c r="H469" s="2"/>
      <c r="I469" s="2"/>
      <c r="J469" s="2"/>
      <c r="K469" s="81"/>
      <c r="L469" s="4"/>
      <c r="M469" s="4"/>
      <c r="N469" s="4"/>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3"/>
      <c r="AP469" s="2"/>
      <c r="AQ469" s="2"/>
      <c r="AR469" s="2"/>
      <c r="AS469" s="2"/>
      <c r="AT469" s="2"/>
      <c r="AU469" s="2"/>
      <c r="AV469" s="2"/>
      <c r="AW469" s="2"/>
      <c r="AX469" s="2"/>
      <c r="AY469" s="2"/>
      <c r="AZ469" s="5"/>
      <c r="BA469" s="2"/>
      <c r="BD469" s="2"/>
      <c r="BE469" s="2"/>
      <c r="BF469" s="2"/>
      <c r="BG469" s="2"/>
      <c r="BH469" s="2"/>
      <c r="BI469" s="2"/>
      <c r="BJ469" s="2"/>
      <c r="BK469" s="2"/>
      <c r="BM469" s="2"/>
      <c r="BN469" s="2"/>
      <c r="BO469" s="2"/>
      <c r="BP469" s="2"/>
      <c r="BQ469" s="2"/>
      <c r="BR469" s="6"/>
      <c r="BS469" s="6"/>
      <c r="BT469" s="2"/>
      <c r="BU469" s="2"/>
      <c r="BV469" s="2"/>
      <c r="BW469" s="2"/>
      <c r="BX469" s="2"/>
      <c r="BY469" s="2"/>
      <c r="BZ469" s="2"/>
      <c r="CA469" s="2"/>
      <c r="CB469" s="2"/>
      <c r="CC469" s="2"/>
      <c r="CD469" s="3"/>
      <c r="CE469" s="2"/>
      <c r="CF469" s="4"/>
      <c r="CG469" s="4"/>
      <c r="CI469" s="2"/>
    </row>
    <row r="470" spans="1:87" s="101" customFormat="1" x14ac:dyDescent="0.35">
      <c r="A470" s="1"/>
      <c r="C470" s="1"/>
      <c r="G470" s="2"/>
      <c r="H470" s="2"/>
      <c r="I470" s="2"/>
      <c r="J470" s="2"/>
      <c r="K470" s="81"/>
      <c r="L470" s="4"/>
      <c r="M470" s="4"/>
      <c r="N470" s="4"/>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3"/>
      <c r="AP470" s="2"/>
      <c r="AQ470" s="2"/>
      <c r="AR470" s="2"/>
      <c r="AS470" s="2"/>
      <c r="AT470" s="2"/>
      <c r="AU470" s="2"/>
      <c r="AV470" s="2"/>
      <c r="AW470" s="2"/>
      <c r="AX470" s="2"/>
      <c r="AY470" s="2"/>
      <c r="AZ470" s="5"/>
      <c r="BA470" s="2"/>
      <c r="BD470" s="2"/>
      <c r="BE470" s="2"/>
      <c r="BF470" s="2"/>
      <c r="BG470" s="2"/>
      <c r="BH470" s="2"/>
      <c r="BI470" s="2"/>
      <c r="BJ470" s="2"/>
      <c r="BK470" s="2"/>
      <c r="BM470" s="2"/>
      <c r="BN470" s="2"/>
      <c r="BO470" s="2"/>
      <c r="BP470" s="2"/>
      <c r="BQ470" s="2"/>
      <c r="BR470" s="6"/>
      <c r="BS470" s="6"/>
      <c r="BT470" s="2"/>
      <c r="BU470" s="2"/>
      <c r="BV470" s="2"/>
      <c r="BW470" s="2"/>
      <c r="BX470" s="2"/>
      <c r="BY470" s="2"/>
      <c r="BZ470" s="2"/>
      <c r="CA470" s="2"/>
      <c r="CB470" s="2"/>
      <c r="CC470" s="2"/>
      <c r="CD470" s="3"/>
      <c r="CE470" s="2"/>
      <c r="CF470" s="4"/>
      <c r="CG470" s="4"/>
      <c r="CI470" s="2"/>
    </row>
    <row r="471" spans="1:87" s="101" customFormat="1" x14ac:dyDescent="0.35">
      <c r="A471" s="1"/>
      <c r="C471" s="1"/>
      <c r="G471" s="2"/>
      <c r="H471" s="2"/>
      <c r="I471" s="2"/>
      <c r="J471" s="2"/>
      <c r="K471" s="81"/>
      <c r="L471" s="4"/>
      <c r="M471" s="4"/>
      <c r="N471" s="4"/>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3"/>
      <c r="AP471" s="2"/>
      <c r="AQ471" s="2"/>
      <c r="AR471" s="2"/>
      <c r="AS471" s="2"/>
      <c r="AT471" s="2"/>
      <c r="AU471" s="2"/>
      <c r="AV471" s="2"/>
      <c r="AW471" s="2"/>
      <c r="AX471" s="2"/>
      <c r="AY471" s="2"/>
      <c r="AZ471" s="5"/>
      <c r="BA471" s="2"/>
      <c r="BD471" s="2"/>
      <c r="BE471" s="2"/>
      <c r="BF471" s="2"/>
      <c r="BG471" s="2"/>
      <c r="BH471" s="2"/>
      <c r="BI471" s="2"/>
      <c r="BJ471" s="2"/>
      <c r="BK471" s="2"/>
      <c r="BM471" s="2"/>
      <c r="BN471" s="2"/>
      <c r="BO471" s="2"/>
      <c r="BP471" s="2"/>
      <c r="BQ471" s="2"/>
      <c r="BR471" s="6"/>
      <c r="BS471" s="6"/>
      <c r="BT471" s="2"/>
      <c r="BU471" s="2"/>
      <c r="BV471" s="2"/>
      <c r="BW471" s="2"/>
      <c r="BX471" s="2"/>
      <c r="BY471" s="2"/>
      <c r="BZ471" s="2"/>
      <c r="CA471" s="2"/>
      <c r="CB471" s="2"/>
      <c r="CC471" s="2"/>
      <c r="CD471" s="3"/>
      <c r="CE471" s="2"/>
      <c r="CF471" s="4"/>
      <c r="CG471" s="4"/>
      <c r="CI471" s="2"/>
    </row>
    <row r="472" spans="1:87" s="101" customFormat="1" x14ac:dyDescent="0.35">
      <c r="A472" s="1"/>
      <c r="C472" s="1"/>
      <c r="G472" s="2"/>
      <c r="H472" s="2"/>
      <c r="I472" s="2"/>
      <c r="J472" s="2"/>
      <c r="K472" s="81"/>
      <c r="L472" s="4"/>
      <c r="M472" s="4"/>
      <c r="N472" s="4"/>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3"/>
      <c r="AP472" s="2"/>
      <c r="AQ472" s="2"/>
      <c r="AR472" s="2"/>
      <c r="AS472" s="2"/>
      <c r="AT472" s="2"/>
      <c r="AU472" s="2"/>
      <c r="AV472" s="2"/>
      <c r="AW472" s="2"/>
      <c r="AX472" s="2"/>
      <c r="AY472" s="2"/>
      <c r="AZ472" s="5"/>
      <c r="BA472" s="2"/>
      <c r="BD472" s="2"/>
      <c r="BE472" s="2"/>
      <c r="BF472" s="2"/>
      <c r="BG472" s="2"/>
      <c r="BH472" s="2"/>
      <c r="BI472" s="2"/>
      <c r="BJ472" s="2"/>
      <c r="BK472" s="2"/>
      <c r="BM472" s="2"/>
      <c r="BN472" s="2"/>
      <c r="BO472" s="2"/>
      <c r="BP472" s="2"/>
      <c r="BQ472" s="2"/>
      <c r="BR472" s="6"/>
      <c r="BS472" s="6"/>
      <c r="BT472" s="2"/>
      <c r="BU472" s="2"/>
      <c r="BV472" s="2"/>
      <c r="BW472" s="2"/>
      <c r="BX472" s="2"/>
      <c r="BY472" s="2"/>
      <c r="BZ472" s="2"/>
      <c r="CA472" s="2"/>
      <c r="CB472" s="2"/>
      <c r="CC472" s="2"/>
      <c r="CD472" s="3"/>
      <c r="CE472" s="2"/>
      <c r="CF472" s="4"/>
      <c r="CG472" s="4"/>
      <c r="CI472" s="2"/>
    </row>
    <row r="473" spans="1:87" s="101" customFormat="1" x14ac:dyDescent="0.35">
      <c r="A473" s="1"/>
      <c r="C473" s="1"/>
      <c r="G473" s="2"/>
      <c r="H473" s="2"/>
      <c r="I473" s="2"/>
      <c r="J473" s="2"/>
      <c r="K473" s="81"/>
      <c r="L473" s="4"/>
      <c r="M473" s="4"/>
      <c r="N473" s="4"/>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3"/>
      <c r="AP473" s="2"/>
      <c r="AQ473" s="2"/>
      <c r="AR473" s="2"/>
      <c r="AS473" s="2"/>
      <c r="AT473" s="2"/>
      <c r="AU473" s="2"/>
      <c r="AV473" s="2"/>
      <c r="AW473" s="2"/>
      <c r="AX473" s="2"/>
      <c r="AY473" s="2"/>
      <c r="AZ473" s="5"/>
      <c r="BA473" s="2"/>
      <c r="BD473" s="2"/>
      <c r="BE473" s="2"/>
      <c r="BF473" s="2"/>
      <c r="BG473" s="2"/>
      <c r="BH473" s="2"/>
      <c r="BI473" s="2"/>
      <c r="BJ473" s="2"/>
      <c r="BK473" s="2"/>
      <c r="BM473" s="2"/>
      <c r="BN473" s="2"/>
      <c r="BO473" s="2"/>
      <c r="BP473" s="2"/>
      <c r="BQ473" s="2"/>
      <c r="BR473" s="6"/>
      <c r="BS473" s="6"/>
      <c r="BT473" s="2"/>
      <c r="BU473" s="2"/>
      <c r="BV473" s="2"/>
      <c r="BW473" s="2"/>
      <c r="BX473" s="2"/>
      <c r="BY473" s="2"/>
      <c r="BZ473" s="2"/>
      <c r="CA473" s="2"/>
      <c r="CB473" s="2"/>
      <c r="CC473" s="2"/>
      <c r="CD473" s="3"/>
      <c r="CE473" s="2"/>
      <c r="CF473" s="4"/>
      <c r="CG473" s="4"/>
      <c r="CI473" s="2"/>
    </row>
    <row r="474" spans="1:87" s="101" customFormat="1" x14ac:dyDescent="0.35">
      <c r="A474" s="1"/>
      <c r="C474" s="1"/>
      <c r="G474" s="2"/>
      <c r="H474" s="2"/>
      <c r="I474" s="2"/>
      <c r="J474" s="2"/>
      <c r="K474" s="81"/>
      <c r="L474" s="4"/>
      <c r="M474" s="4"/>
      <c r="N474" s="4"/>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3"/>
      <c r="AP474" s="2"/>
      <c r="AQ474" s="2"/>
      <c r="AR474" s="2"/>
      <c r="AS474" s="2"/>
      <c r="AT474" s="2"/>
      <c r="AU474" s="2"/>
      <c r="AV474" s="2"/>
      <c r="AW474" s="2"/>
      <c r="AX474" s="2"/>
      <c r="AY474" s="2"/>
      <c r="AZ474" s="5"/>
      <c r="BA474" s="2"/>
      <c r="BD474" s="2"/>
      <c r="BE474" s="2"/>
      <c r="BF474" s="2"/>
      <c r="BG474" s="2"/>
      <c r="BH474" s="2"/>
      <c r="BI474" s="2"/>
      <c r="BJ474" s="2"/>
      <c r="BK474" s="2"/>
      <c r="BM474" s="2"/>
      <c r="BN474" s="2"/>
      <c r="BO474" s="2"/>
      <c r="BP474" s="2"/>
      <c r="BQ474" s="2"/>
      <c r="BR474" s="6"/>
      <c r="BS474" s="6"/>
      <c r="BT474" s="2"/>
      <c r="BU474" s="2"/>
      <c r="BV474" s="2"/>
      <c r="BW474" s="2"/>
      <c r="BX474" s="2"/>
      <c r="BY474" s="2"/>
      <c r="BZ474" s="2"/>
      <c r="CA474" s="2"/>
      <c r="CB474" s="2"/>
      <c r="CC474" s="2"/>
      <c r="CD474" s="3"/>
      <c r="CE474" s="2"/>
      <c r="CF474" s="4"/>
      <c r="CG474" s="4"/>
      <c r="CI474" s="2"/>
    </row>
    <row r="475" spans="1:87" s="101" customFormat="1" x14ac:dyDescent="0.35">
      <c r="A475" s="1"/>
      <c r="C475" s="1"/>
      <c r="G475" s="2"/>
      <c r="H475" s="2"/>
      <c r="I475" s="2"/>
      <c r="J475" s="2"/>
      <c r="K475" s="81"/>
      <c r="L475" s="4"/>
      <c r="M475" s="4"/>
      <c r="N475" s="4"/>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3"/>
      <c r="AP475" s="2"/>
      <c r="AQ475" s="2"/>
      <c r="AR475" s="2"/>
      <c r="AS475" s="2"/>
      <c r="AT475" s="2"/>
      <c r="AU475" s="2"/>
      <c r="AV475" s="2"/>
      <c r="AW475" s="2"/>
      <c r="AX475" s="2"/>
      <c r="AY475" s="2"/>
      <c r="AZ475" s="5"/>
      <c r="BA475" s="2"/>
      <c r="BD475" s="2"/>
      <c r="BE475" s="2"/>
      <c r="BF475" s="2"/>
      <c r="BG475" s="2"/>
      <c r="BH475" s="2"/>
      <c r="BI475" s="2"/>
      <c r="BJ475" s="2"/>
      <c r="BK475" s="2"/>
      <c r="BM475" s="2"/>
      <c r="BN475" s="2"/>
      <c r="BO475" s="2"/>
      <c r="BP475" s="2"/>
      <c r="BQ475" s="2"/>
      <c r="BR475" s="6"/>
      <c r="BS475" s="6"/>
      <c r="BT475" s="2"/>
      <c r="BU475" s="2"/>
      <c r="BV475" s="2"/>
      <c r="BW475" s="2"/>
      <c r="BX475" s="2"/>
      <c r="BY475" s="2"/>
      <c r="BZ475" s="2"/>
      <c r="CA475" s="2"/>
      <c r="CB475" s="2"/>
      <c r="CC475" s="2"/>
      <c r="CD475" s="3"/>
      <c r="CE475" s="2"/>
      <c r="CF475" s="4"/>
      <c r="CG475" s="4"/>
      <c r="CI475" s="2"/>
    </row>
    <row r="476" spans="1:87" s="101" customFormat="1" x14ac:dyDescent="0.35">
      <c r="A476" s="1"/>
      <c r="C476" s="1"/>
      <c r="G476" s="2"/>
      <c r="H476" s="2"/>
      <c r="I476" s="2"/>
      <c r="J476" s="2"/>
      <c r="K476" s="81"/>
      <c r="L476" s="4"/>
      <c r="M476" s="4"/>
      <c r="N476" s="4"/>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3"/>
      <c r="AP476" s="2"/>
      <c r="AQ476" s="2"/>
      <c r="AR476" s="2"/>
      <c r="AS476" s="2"/>
      <c r="AT476" s="2"/>
      <c r="AU476" s="2"/>
      <c r="AV476" s="2"/>
      <c r="AW476" s="2"/>
      <c r="AX476" s="2"/>
      <c r="AY476" s="2"/>
      <c r="AZ476" s="5"/>
      <c r="BA476" s="2"/>
      <c r="BD476" s="2"/>
      <c r="BE476" s="2"/>
      <c r="BF476" s="2"/>
      <c r="BG476" s="2"/>
      <c r="BH476" s="2"/>
      <c r="BI476" s="2"/>
      <c r="BJ476" s="2"/>
      <c r="BK476" s="2"/>
      <c r="BM476" s="2"/>
      <c r="BN476" s="2"/>
      <c r="BO476" s="2"/>
      <c r="BP476" s="2"/>
      <c r="BQ476" s="2"/>
      <c r="BR476" s="6"/>
      <c r="BS476" s="6"/>
      <c r="BT476" s="2"/>
      <c r="BU476" s="2"/>
      <c r="BV476" s="2"/>
      <c r="BW476" s="2"/>
      <c r="BX476" s="2"/>
      <c r="BY476" s="2"/>
      <c r="BZ476" s="2"/>
      <c r="CA476" s="2"/>
      <c r="CB476" s="2"/>
      <c r="CC476" s="2"/>
      <c r="CD476" s="3"/>
      <c r="CE476" s="2"/>
      <c r="CF476" s="4"/>
      <c r="CG476" s="4"/>
      <c r="CI476" s="2"/>
    </row>
    <row r="477" spans="1:87" s="101" customFormat="1" x14ac:dyDescent="0.35">
      <c r="A477" s="1"/>
      <c r="C477" s="1"/>
      <c r="G477" s="2"/>
      <c r="H477" s="2"/>
      <c r="I477" s="2"/>
      <c r="J477" s="2"/>
      <c r="K477" s="81"/>
      <c r="L477" s="4"/>
      <c r="M477" s="4"/>
      <c r="N477" s="4"/>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3"/>
      <c r="AP477" s="2"/>
      <c r="AQ477" s="2"/>
      <c r="AR477" s="2"/>
      <c r="AS477" s="2"/>
      <c r="AT477" s="2"/>
      <c r="AU477" s="2"/>
      <c r="AV477" s="2"/>
      <c r="AW477" s="2"/>
      <c r="AX477" s="2"/>
      <c r="AY477" s="2"/>
      <c r="AZ477" s="5"/>
      <c r="BA477" s="2"/>
      <c r="BD477" s="2"/>
      <c r="BE477" s="2"/>
      <c r="BF477" s="2"/>
      <c r="BG477" s="2"/>
      <c r="BH477" s="2"/>
      <c r="BI477" s="2"/>
      <c r="BJ477" s="2"/>
      <c r="BK477" s="2"/>
      <c r="BM477" s="2"/>
      <c r="BN477" s="2"/>
      <c r="BO477" s="2"/>
      <c r="BP477" s="2"/>
      <c r="BQ477" s="2"/>
      <c r="BR477" s="6"/>
      <c r="BS477" s="6"/>
      <c r="BT477" s="2"/>
      <c r="BU477" s="2"/>
      <c r="BV477" s="2"/>
      <c r="BW477" s="2"/>
      <c r="BX477" s="2"/>
      <c r="BY477" s="2"/>
      <c r="BZ477" s="2"/>
      <c r="CA477" s="2"/>
      <c r="CB477" s="2"/>
      <c r="CC477" s="2"/>
      <c r="CD477" s="3"/>
      <c r="CE477" s="2"/>
      <c r="CF477" s="4"/>
      <c r="CG477" s="4"/>
      <c r="CI477" s="2"/>
    </row>
    <row r="478" spans="1:87" s="101" customFormat="1" x14ac:dyDescent="0.35">
      <c r="A478" s="1"/>
      <c r="C478" s="1"/>
      <c r="G478" s="2"/>
      <c r="H478" s="2"/>
      <c r="I478" s="2"/>
      <c r="J478" s="2"/>
      <c r="K478" s="81"/>
      <c r="L478" s="4"/>
      <c r="M478" s="4"/>
      <c r="N478" s="4"/>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3"/>
      <c r="AP478" s="2"/>
      <c r="AQ478" s="2"/>
      <c r="AR478" s="2"/>
      <c r="AS478" s="2"/>
      <c r="AT478" s="2"/>
      <c r="AU478" s="2"/>
      <c r="AV478" s="2"/>
      <c r="AW478" s="2"/>
      <c r="AX478" s="2"/>
      <c r="AY478" s="2"/>
      <c r="AZ478" s="5"/>
      <c r="BA478" s="2"/>
      <c r="BD478" s="2"/>
      <c r="BE478" s="2"/>
      <c r="BF478" s="2"/>
      <c r="BG478" s="2"/>
      <c r="BH478" s="2"/>
      <c r="BI478" s="2"/>
      <c r="BJ478" s="2"/>
      <c r="BK478" s="2"/>
      <c r="BM478" s="2"/>
      <c r="BN478" s="2"/>
      <c r="BO478" s="2"/>
      <c r="BP478" s="2"/>
      <c r="BQ478" s="2"/>
      <c r="BR478" s="6"/>
      <c r="BS478" s="6"/>
      <c r="BT478" s="2"/>
      <c r="BU478" s="2"/>
      <c r="BV478" s="2"/>
      <c r="BW478" s="2"/>
      <c r="BX478" s="2"/>
      <c r="BY478" s="2"/>
      <c r="BZ478" s="2"/>
      <c r="CA478" s="2"/>
      <c r="CB478" s="2"/>
      <c r="CC478" s="2"/>
      <c r="CD478" s="3"/>
      <c r="CE478" s="2"/>
      <c r="CF478" s="4"/>
      <c r="CG478" s="4"/>
      <c r="CI478" s="2"/>
    </row>
    <row r="479" spans="1:87" s="101" customFormat="1" x14ac:dyDescent="0.35">
      <c r="A479" s="1"/>
      <c r="C479" s="1"/>
      <c r="G479" s="2"/>
      <c r="H479" s="2"/>
      <c r="I479" s="2"/>
      <c r="J479" s="2"/>
      <c r="K479" s="81"/>
      <c r="L479" s="4"/>
      <c r="M479" s="4"/>
      <c r="N479" s="4"/>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3"/>
      <c r="AP479" s="2"/>
      <c r="AQ479" s="2"/>
      <c r="AR479" s="2"/>
      <c r="AS479" s="2"/>
      <c r="AT479" s="2"/>
      <c r="AU479" s="2"/>
      <c r="AV479" s="2"/>
      <c r="AW479" s="2"/>
      <c r="AX479" s="2"/>
      <c r="AY479" s="2"/>
      <c r="AZ479" s="5"/>
      <c r="BA479" s="2"/>
      <c r="BD479" s="2"/>
      <c r="BE479" s="2"/>
      <c r="BF479" s="2"/>
      <c r="BG479" s="2"/>
      <c r="BH479" s="2"/>
      <c r="BI479" s="2"/>
      <c r="BJ479" s="2"/>
      <c r="BK479" s="2"/>
      <c r="BM479" s="2"/>
      <c r="BN479" s="2"/>
      <c r="BO479" s="2"/>
      <c r="BP479" s="2"/>
      <c r="BQ479" s="2"/>
      <c r="BR479" s="6"/>
      <c r="BS479" s="6"/>
      <c r="BT479" s="2"/>
      <c r="BU479" s="2"/>
      <c r="BV479" s="2"/>
      <c r="BW479" s="2"/>
      <c r="BX479" s="2"/>
      <c r="BY479" s="2"/>
      <c r="BZ479" s="2"/>
      <c r="CA479" s="2"/>
      <c r="CB479" s="2"/>
      <c r="CC479" s="2"/>
      <c r="CD479" s="3"/>
      <c r="CE479" s="2"/>
      <c r="CF479" s="4"/>
      <c r="CG479" s="4"/>
      <c r="CI479" s="2"/>
    </row>
    <row r="480" spans="1:87" s="101" customFormat="1" x14ac:dyDescent="0.35">
      <c r="A480" s="1"/>
      <c r="C480" s="1"/>
      <c r="G480" s="2"/>
      <c r="H480" s="2"/>
      <c r="I480" s="2"/>
      <c r="J480" s="2"/>
      <c r="K480" s="81"/>
      <c r="L480" s="4"/>
      <c r="M480" s="4"/>
      <c r="N480" s="4"/>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3"/>
      <c r="AP480" s="2"/>
      <c r="AQ480" s="2"/>
      <c r="AR480" s="2"/>
      <c r="AS480" s="2"/>
      <c r="AT480" s="2"/>
      <c r="AU480" s="2"/>
      <c r="AV480" s="2"/>
      <c r="AW480" s="2"/>
      <c r="AX480" s="2"/>
      <c r="AY480" s="2"/>
      <c r="AZ480" s="5"/>
      <c r="BA480" s="2"/>
      <c r="BD480" s="2"/>
      <c r="BE480" s="2"/>
      <c r="BF480" s="2"/>
      <c r="BG480" s="2"/>
      <c r="BH480" s="2"/>
      <c r="BI480" s="2"/>
      <c r="BJ480" s="2"/>
      <c r="BK480" s="2"/>
      <c r="BM480" s="2"/>
      <c r="BN480" s="2"/>
      <c r="BO480" s="2"/>
      <c r="BP480" s="2"/>
      <c r="BQ480" s="2"/>
      <c r="BR480" s="6"/>
      <c r="BS480" s="6"/>
      <c r="BT480" s="2"/>
      <c r="BU480" s="2"/>
      <c r="BV480" s="2"/>
      <c r="BW480" s="2"/>
      <c r="BX480" s="2"/>
      <c r="BY480" s="2"/>
      <c r="BZ480" s="2"/>
      <c r="CA480" s="2"/>
      <c r="CB480" s="2"/>
      <c r="CC480" s="2"/>
      <c r="CD480" s="3"/>
      <c r="CE480" s="2"/>
      <c r="CF480" s="4"/>
      <c r="CG480" s="4"/>
      <c r="CI480" s="2"/>
    </row>
    <row r="481" spans="1:87" s="101" customFormat="1" x14ac:dyDescent="0.35">
      <c r="A481" s="1"/>
      <c r="C481" s="1"/>
      <c r="G481" s="2"/>
      <c r="H481" s="2"/>
      <c r="I481" s="2"/>
      <c r="J481" s="2"/>
      <c r="K481" s="81"/>
      <c r="L481" s="4"/>
      <c r="M481" s="4"/>
      <c r="N481" s="4"/>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3"/>
      <c r="AP481" s="2"/>
      <c r="AQ481" s="2"/>
      <c r="AR481" s="2"/>
      <c r="AS481" s="2"/>
      <c r="AT481" s="2"/>
      <c r="AU481" s="2"/>
      <c r="AV481" s="2"/>
      <c r="AW481" s="2"/>
      <c r="AX481" s="2"/>
      <c r="AY481" s="2"/>
      <c r="AZ481" s="5"/>
      <c r="BA481" s="2"/>
      <c r="BD481" s="2"/>
      <c r="BE481" s="2"/>
      <c r="BF481" s="2"/>
      <c r="BG481" s="2"/>
      <c r="BH481" s="2"/>
      <c r="BI481" s="2"/>
      <c r="BJ481" s="2"/>
      <c r="BK481" s="2"/>
      <c r="BM481" s="2"/>
      <c r="BN481" s="2"/>
      <c r="BO481" s="2"/>
      <c r="BP481" s="2"/>
      <c r="BQ481" s="2"/>
      <c r="BR481" s="6"/>
      <c r="BS481" s="6"/>
      <c r="BT481" s="2"/>
      <c r="BU481" s="2"/>
      <c r="BV481" s="2"/>
      <c r="BW481" s="2"/>
      <c r="BX481" s="2"/>
      <c r="BY481" s="2"/>
      <c r="BZ481" s="2"/>
      <c r="CA481" s="2"/>
      <c r="CB481" s="2"/>
      <c r="CC481" s="2"/>
      <c r="CD481" s="3"/>
      <c r="CE481" s="2"/>
      <c r="CF481" s="4"/>
      <c r="CG481" s="4"/>
      <c r="CI481" s="2"/>
    </row>
    <row r="482" spans="1:87" s="101" customFormat="1" x14ac:dyDescent="0.35">
      <c r="A482" s="1"/>
      <c r="C482" s="1"/>
      <c r="G482" s="2"/>
      <c r="H482" s="2"/>
      <c r="I482" s="2"/>
      <c r="J482" s="2"/>
      <c r="K482" s="81"/>
      <c r="L482" s="4"/>
      <c r="M482" s="4"/>
      <c r="N482" s="4"/>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3"/>
      <c r="AP482" s="2"/>
      <c r="AQ482" s="2"/>
      <c r="AR482" s="2"/>
      <c r="AS482" s="2"/>
      <c r="AT482" s="2"/>
      <c r="AU482" s="2"/>
      <c r="AV482" s="2"/>
      <c r="AW482" s="2"/>
      <c r="AX482" s="2"/>
      <c r="AY482" s="2"/>
      <c r="AZ482" s="5"/>
      <c r="BA482" s="2"/>
      <c r="BD482" s="2"/>
      <c r="BE482" s="2"/>
      <c r="BF482" s="2"/>
      <c r="BG482" s="2"/>
      <c r="BH482" s="2"/>
      <c r="BI482" s="2"/>
      <c r="BJ482" s="2"/>
      <c r="BK482" s="2"/>
      <c r="BM482" s="2"/>
      <c r="BN482" s="2"/>
      <c r="BO482" s="2"/>
      <c r="BP482" s="2"/>
      <c r="BQ482" s="2"/>
      <c r="BR482" s="6"/>
      <c r="BS482" s="6"/>
      <c r="BT482" s="2"/>
      <c r="BU482" s="2"/>
      <c r="BV482" s="2"/>
      <c r="BW482" s="2"/>
      <c r="BX482" s="2"/>
      <c r="BY482" s="2"/>
      <c r="BZ482" s="2"/>
      <c r="CA482" s="2"/>
      <c r="CB482" s="2"/>
      <c r="CC482" s="2"/>
      <c r="CD482" s="3"/>
      <c r="CE482" s="2"/>
      <c r="CF482" s="4"/>
      <c r="CG482" s="4"/>
      <c r="CI482" s="2"/>
    </row>
    <row r="483" spans="1:87" s="101" customFormat="1" x14ac:dyDescent="0.35">
      <c r="A483" s="1"/>
      <c r="C483" s="1"/>
      <c r="G483" s="2"/>
      <c r="H483" s="2"/>
      <c r="I483" s="2"/>
      <c r="J483" s="2"/>
      <c r="K483" s="81"/>
      <c r="L483" s="4"/>
      <c r="M483" s="4"/>
      <c r="N483" s="4"/>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3"/>
      <c r="AP483" s="2"/>
      <c r="AQ483" s="2"/>
      <c r="AR483" s="2"/>
      <c r="AS483" s="2"/>
      <c r="AT483" s="2"/>
      <c r="AU483" s="2"/>
      <c r="AV483" s="2"/>
      <c r="AW483" s="2"/>
      <c r="AX483" s="2"/>
      <c r="AY483" s="2"/>
      <c r="AZ483" s="5"/>
      <c r="BA483" s="2"/>
      <c r="BD483" s="2"/>
      <c r="BE483" s="2"/>
      <c r="BF483" s="2"/>
      <c r="BG483" s="2"/>
      <c r="BH483" s="2"/>
      <c r="BI483" s="2"/>
      <c r="BJ483" s="2"/>
      <c r="BK483" s="2"/>
      <c r="BM483" s="2"/>
      <c r="BN483" s="2"/>
      <c r="BO483" s="2"/>
      <c r="BP483" s="2"/>
      <c r="BQ483" s="2"/>
      <c r="BR483" s="6"/>
      <c r="BS483" s="6"/>
      <c r="BT483" s="2"/>
      <c r="BU483" s="2"/>
      <c r="BV483" s="2"/>
      <c r="BW483" s="2"/>
      <c r="BX483" s="2"/>
      <c r="BY483" s="2"/>
      <c r="BZ483" s="2"/>
      <c r="CA483" s="2"/>
      <c r="CB483" s="2"/>
      <c r="CC483" s="2"/>
      <c r="CD483" s="3"/>
      <c r="CE483" s="2"/>
      <c r="CF483" s="4"/>
      <c r="CG483" s="4"/>
      <c r="CI483" s="2"/>
    </row>
    <row r="484" spans="1:87" s="101" customFormat="1" x14ac:dyDescent="0.35">
      <c r="A484" s="1"/>
      <c r="C484" s="1"/>
      <c r="G484" s="2"/>
      <c r="H484" s="2"/>
      <c r="I484" s="2"/>
      <c r="J484" s="2"/>
      <c r="K484" s="81"/>
      <c r="L484" s="4"/>
      <c r="M484" s="4"/>
      <c r="N484" s="4"/>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3"/>
      <c r="AP484" s="2"/>
      <c r="AQ484" s="2"/>
      <c r="AR484" s="2"/>
      <c r="AS484" s="2"/>
      <c r="AT484" s="2"/>
      <c r="AU484" s="2"/>
      <c r="AV484" s="2"/>
      <c r="AW484" s="2"/>
      <c r="AX484" s="2"/>
      <c r="AY484" s="2"/>
      <c r="AZ484" s="5"/>
      <c r="BA484" s="2"/>
      <c r="BD484" s="2"/>
      <c r="BE484" s="2"/>
      <c r="BF484" s="2"/>
      <c r="BG484" s="2"/>
      <c r="BH484" s="2"/>
      <c r="BI484" s="2"/>
      <c r="BJ484" s="2"/>
      <c r="BK484" s="2"/>
      <c r="BM484" s="2"/>
      <c r="BN484" s="2"/>
      <c r="BO484" s="2"/>
      <c r="BP484" s="2"/>
      <c r="BQ484" s="2"/>
      <c r="BR484" s="6"/>
      <c r="BS484" s="6"/>
      <c r="BT484" s="2"/>
      <c r="BU484" s="2"/>
      <c r="BV484" s="2"/>
      <c r="BW484" s="2"/>
      <c r="BX484" s="2"/>
      <c r="BY484" s="2"/>
      <c r="BZ484" s="2"/>
      <c r="CA484" s="2"/>
      <c r="CB484" s="2"/>
      <c r="CC484" s="2"/>
      <c r="CD484" s="3"/>
      <c r="CE484" s="2"/>
      <c r="CF484" s="4"/>
      <c r="CG484" s="4"/>
      <c r="CI484" s="2"/>
    </row>
    <row r="485" spans="1:87" s="101" customFormat="1" x14ac:dyDescent="0.35">
      <c r="A485" s="1"/>
      <c r="C485" s="1"/>
      <c r="G485" s="2"/>
      <c r="H485" s="2"/>
      <c r="I485" s="2"/>
      <c r="J485" s="2"/>
      <c r="K485" s="81"/>
      <c r="L485" s="4"/>
      <c r="M485" s="4"/>
      <c r="N485" s="4"/>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3"/>
      <c r="AP485" s="2"/>
      <c r="AQ485" s="2"/>
      <c r="AR485" s="2"/>
      <c r="AS485" s="2"/>
      <c r="AT485" s="2"/>
      <c r="AU485" s="2"/>
      <c r="AV485" s="2"/>
      <c r="AW485" s="2"/>
      <c r="AX485" s="2"/>
      <c r="AY485" s="2"/>
      <c r="AZ485" s="5"/>
      <c r="BA485" s="2"/>
      <c r="BD485" s="2"/>
      <c r="BE485" s="2"/>
      <c r="BF485" s="2"/>
      <c r="BG485" s="2"/>
      <c r="BH485" s="2"/>
      <c r="BI485" s="2"/>
      <c r="BJ485" s="2"/>
      <c r="BK485" s="2"/>
      <c r="BM485" s="2"/>
      <c r="BN485" s="2"/>
      <c r="BO485" s="2"/>
      <c r="BP485" s="2"/>
      <c r="BQ485" s="2"/>
      <c r="BR485" s="6"/>
      <c r="BS485" s="6"/>
      <c r="BT485" s="2"/>
      <c r="BU485" s="2"/>
      <c r="BV485" s="2"/>
      <c r="BW485" s="2"/>
      <c r="BX485" s="2"/>
      <c r="BY485" s="2"/>
      <c r="BZ485" s="2"/>
      <c r="CA485" s="2"/>
      <c r="CB485" s="2"/>
      <c r="CC485" s="2"/>
      <c r="CD485" s="3"/>
      <c r="CE485" s="2"/>
      <c r="CF485" s="4"/>
      <c r="CG485" s="4"/>
      <c r="CI485" s="2"/>
    </row>
    <row r="486" spans="1:87" s="101" customFormat="1" x14ac:dyDescent="0.35">
      <c r="A486" s="1"/>
      <c r="C486" s="1"/>
      <c r="G486" s="2"/>
      <c r="H486" s="2"/>
      <c r="I486" s="2"/>
      <c r="J486" s="2"/>
      <c r="K486" s="81"/>
      <c r="L486" s="4"/>
      <c r="M486" s="4"/>
      <c r="N486" s="4"/>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3"/>
      <c r="AP486" s="2"/>
      <c r="AQ486" s="2"/>
      <c r="AR486" s="2"/>
      <c r="AS486" s="2"/>
      <c r="AT486" s="2"/>
      <c r="AU486" s="2"/>
      <c r="AV486" s="2"/>
      <c r="AW486" s="2"/>
      <c r="AX486" s="2"/>
      <c r="AY486" s="2"/>
      <c r="AZ486" s="5"/>
      <c r="BA486" s="2"/>
      <c r="BD486" s="2"/>
      <c r="BE486" s="2"/>
      <c r="BF486" s="2"/>
      <c r="BG486" s="2"/>
      <c r="BH486" s="2"/>
      <c r="BI486" s="2"/>
      <c r="BJ486" s="2"/>
      <c r="BK486" s="2"/>
      <c r="BM486" s="2"/>
      <c r="BN486" s="2"/>
      <c r="BO486" s="2"/>
      <c r="BP486" s="2"/>
      <c r="BQ486" s="2"/>
      <c r="BR486" s="6"/>
      <c r="BS486" s="6"/>
      <c r="BT486" s="2"/>
      <c r="BU486" s="2"/>
      <c r="BV486" s="2"/>
      <c r="BW486" s="2"/>
      <c r="BX486" s="2"/>
      <c r="BY486" s="2"/>
      <c r="BZ486" s="2"/>
      <c r="CA486" s="2"/>
      <c r="CB486" s="2"/>
      <c r="CC486" s="2"/>
      <c r="CD486" s="3"/>
      <c r="CE486" s="2"/>
      <c r="CF486" s="4"/>
      <c r="CG486" s="4"/>
      <c r="CI486" s="2"/>
    </row>
    <row r="487" spans="1:87" s="101" customFormat="1" x14ac:dyDescent="0.35">
      <c r="A487" s="1"/>
      <c r="C487" s="1"/>
      <c r="G487" s="2"/>
      <c r="H487" s="2"/>
      <c r="I487" s="2"/>
      <c r="J487" s="2"/>
      <c r="K487" s="81"/>
      <c r="L487" s="4"/>
      <c r="M487" s="4"/>
      <c r="N487" s="4"/>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3"/>
      <c r="AP487" s="2"/>
      <c r="AQ487" s="2"/>
      <c r="AR487" s="2"/>
      <c r="AS487" s="2"/>
      <c r="AT487" s="2"/>
      <c r="AU487" s="2"/>
      <c r="AV487" s="2"/>
      <c r="AW487" s="2"/>
      <c r="AX487" s="2"/>
      <c r="AY487" s="2"/>
      <c r="AZ487" s="5"/>
      <c r="BA487" s="2"/>
      <c r="BD487" s="2"/>
      <c r="BE487" s="2"/>
      <c r="BF487" s="2"/>
      <c r="BG487" s="2"/>
      <c r="BH487" s="2"/>
      <c r="BI487" s="2"/>
      <c r="BJ487" s="2"/>
      <c r="BK487" s="2"/>
      <c r="BM487" s="2"/>
      <c r="BN487" s="2"/>
      <c r="BO487" s="2"/>
      <c r="BP487" s="2"/>
      <c r="BQ487" s="2"/>
      <c r="BR487" s="6"/>
      <c r="BS487" s="6"/>
      <c r="BT487" s="2"/>
      <c r="BU487" s="2"/>
      <c r="BV487" s="2"/>
      <c r="BW487" s="2"/>
      <c r="BX487" s="2"/>
      <c r="BY487" s="2"/>
      <c r="BZ487" s="2"/>
      <c r="CA487" s="2"/>
      <c r="CB487" s="2"/>
      <c r="CC487" s="2"/>
      <c r="CD487" s="3"/>
      <c r="CE487" s="2"/>
      <c r="CF487" s="4"/>
      <c r="CG487" s="4"/>
      <c r="CI487" s="2"/>
    </row>
    <row r="488" spans="1:87" s="101" customFormat="1" x14ac:dyDescent="0.35">
      <c r="A488" s="1"/>
      <c r="C488" s="1"/>
      <c r="G488" s="2"/>
      <c r="H488" s="2"/>
      <c r="I488" s="2"/>
      <c r="J488" s="2"/>
      <c r="K488" s="81"/>
      <c r="L488" s="4"/>
      <c r="M488" s="4"/>
      <c r="N488" s="4"/>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3"/>
      <c r="AP488" s="2"/>
      <c r="AQ488" s="2"/>
      <c r="AR488" s="2"/>
      <c r="AS488" s="2"/>
      <c r="AT488" s="2"/>
      <c r="AU488" s="2"/>
      <c r="AV488" s="2"/>
      <c r="AW488" s="2"/>
      <c r="AX488" s="2"/>
      <c r="AY488" s="2"/>
      <c r="AZ488" s="5"/>
      <c r="BA488" s="2"/>
      <c r="BD488" s="2"/>
      <c r="BE488" s="2"/>
      <c r="BF488" s="2"/>
      <c r="BG488" s="2"/>
      <c r="BH488" s="2"/>
      <c r="BI488" s="2"/>
      <c r="BJ488" s="2"/>
      <c r="BK488" s="2"/>
      <c r="BM488" s="2"/>
      <c r="BN488" s="2"/>
      <c r="BO488" s="2"/>
      <c r="BP488" s="2"/>
      <c r="BQ488" s="2"/>
      <c r="BR488" s="6"/>
      <c r="BS488" s="6"/>
      <c r="BT488" s="2"/>
      <c r="BU488" s="2"/>
      <c r="BV488" s="2"/>
      <c r="BW488" s="2"/>
      <c r="BX488" s="2"/>
      <c r="BY488" s="2"/>
      <c r="BZ488" s="2"/>
      <c r="CA488" s="2"/>
      <c r="CB488" s="2"/>
      <c r="CC488" s="2"/>
      <c r="CD488" s="3"/>
      <c r="CE488" s="2"/>
      <c r="CF488" s="4"/>
      <c r="CG488" s="4"/>
      <c r="CI488" s="2"/>
    </row>
    <row r="489" spans="1:87" s="101" customFormat="1" x14ac:dyDescent="0.35">
      <c r="A489" s="1"/>
      <c r="C489" s="1"/>
      <c r="G489" s="2"/>
      <c r="H489" s="2"/>
      <c r="I489" s="2"/>
      <c r="J489" s="2"/>
      <c r="K489" s="81"/>
      <c r="L489" s="4"/>
      <c r="M489" s="4"/>
      <c r="N489" s="4"/>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3"/>
      <c r="AP489" s="2"/>
      <c r="AQ489" s="2"/>
      <c r="AR489" s="2"/>
      <c r="AS489" s="2"/>
      <c r="AT489" s="2"/>
      <c r="AU489" s="2"/>
      <c r="AV489" s="2"/>
      <c r="AW489" s="2"/>
      <c r="AX489" s="2"/>
      <c r="AY489" s="2"/>
      <c r="AZ489" s="5"/>
      <c r="BA489" s="2"/>
      <c r="BD489" s="2"/>
      <c r="BE489" s="2"/>
      <c r="BF489" s="2"/>
      <c r="BG489" s="2"/>
      <c r="BH489" s="2"/>
      <c r="BI489" s="2"/>
      <c r="BJ489" s="2"/>
      <c r="BK489" s="2"/>
      <c r="BM489" s="2"/>
      <c r="BN489" s="2"/>
      <c r="BO489" s="2"/>
      <c r="BP489" s="2"/>
      <c r="BQ489" s="2"/>
      <c r="BR489" s="6"/>
      <c r="BS489" s="6"/>
      <c r="BT489" s="2"/>
      <c r="BU489" s="2"/>
      <c r="BV489" s="2"/>
      <c r="BW489" s="2"/>
      <c r="BX489" s="2"/>
      <c r="BY489" s="2"/>
      <c r="BZ489" s="2"/>
      <c r="CA489" s="2"/>
      <c r="CB489" s="2"/>
      <c r="CC489" s="2"/>
      <c r="CD489" s="3"/>
      <c r="CE489" s="2"/>
      <c r="CF489" s="4"/>
      <c r="CG489" s="4"/>
      <c r="CI489" s="2"/>
    </row>
    <row r="490" spans="1:87" s="101" customFormat="1" x14ac:dyDescent="0.35">
      <c r="A490" s="1"/>
      <c r="C490" s="1"/>
      <c r="G490" s="2"/>
      <c r="H490" s="2"/>
      <c r="I490" s="2"/>
      <c r="J490" s="2"/>
      <c r="K490" s="81"/>
      <c r="L490" s="4"/>
      <c r="M490" s="4"/>
      <c r="N490" s="4"/>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3"/>
      <c r="AP490" s="2"/>
      <c r="AQ490" s="2"/>
      <c r="AR490" s="2"/>
      <c r="AS490" s="2"/>
      <c r="AT490" s="2"/>
      <c r="AU490" s="2"/>
      <c r="AV490" s="2"/>
      <c r="AW490" s="2"/>
      <c r="AX490" s="2"/>
      <c r="AY490" s="2"/>
      <c r="AZ490" s="5"/>
      <c r="BA490" s="2"/>
      <c r="BD490" s="2"/>
      <c r="BE490" s="2"/>
      <c r="BF490" s="2"/>
      <c r="BG490" s="2"/>
      <c r="BH490" s="2"/>
      <c r="BI490" s="2"/>
      <c r="BJ490" s="2"/>
      <c r="BK490" s="2"/>
      <c r="BM490" s="2"/>
      <c r="BN490" s="2"/>
      <c r="BO490" s="2"/>
      <c r="BP490" s="2"/>
      <c r="BQ490" s="2"/>
      <c r="BR490" s="6"/>
      <c r="BS490" s="6"/>
      <c r="BT490" s="2"/>
      <c r="BU490" s="2"/>
      <c r="BV490" s="2"/>
      <c r="BW490" s="2"/>
      <c r="BX490" s="2"/>
      <c r="BY490" s="2"/>
      <c r="BZ490" s="2"/>
      <c r="CA490" s="2"/>
      <c r="CB490" s="2"/>
      <c r="CC490" s="2"/>
      <c r="CD490" s="3"/>
      <c r="CE490" s="2"/>
      <c r="CF490" s="4"/>
      <c r="CG490" s="4"/>
      <c r="CI490" s="2"/>
    </row>
    <row r="491" spans="1:87" s="101" customFormat="1" x14ac:dyDescent="0.35">
      <c r="A491" s="1"/>
      <c r="C491" s="1"/>
      <c r="G491" s="2"/>
      <c r="H491" s="2"/>
      <c r="I491" s="2"/>
      <c r="J491" s="2"/>
      <c r="K491" s="81"/>
      <c r="L491" s="4"/>
      <c r="M491" s="4"/>
      <c r="N491" s="4"/>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3"/>
      <c r="AP491" s="2"/>
      <c r="AQ491" s="2"/>
      <c r="AR491" s="2"/>
      <c r="AS491" s="2"/>
      <c r="AT491" s="2"/>
      <c r="AU491" s="2"/>
      <c r="AV491" s="2"/>
      <c r="AW491" s="2"/>
      <c r="AX491" s="2"/>
      <c r="AY491" s="2"/>
      <c r="AZ491" s="5"/>
      <c r="BA491" s="2"/>
      <c r="BD491" s="2"/>
      <c r="BE491" s="2"/>
      <c r="BF491" s="2"/>
      <c r="BG491" s="2"/>
      <c r="BH491" s="2"/>
      <c r="BI491" s="2"/>
      <c r="BJ491" s="2"/>
      <c r="BK491" s="2"/>
      <c r="BM491" s="2"/>
      <c r="BN491" s="2"/>
      <c r="BO491" s="2"/>
      <c r="BP491" s="2"/>
      <c r="BQ491" s="2"/>
      <c r="BR491" s="6"/>
      <c r="BS491" s="6"/>
      <c r="BT491" s="2"/>
      <c r="BU491" s="2"/>
      <c r="BV491" s="2"/>
      <c r="BW491" s="2"/>
      <c r="BX491" s="2"/>
      <c r="BY491" s="2"/>
      <c r="BZ491" s="2"/>
      <c r="CA491" s="2"/>
      <c r="CB491" s="2"/>
      <c r="CC491" s="2"/>
      <c r="CD491" s="3"/>
      <c r="CE491" s="2"/>
      <c r="CF491" s="4"/>
      <c r="CG491" s="4"/>
      <c r="CI491" s="2"/>
    </row>
    <row r="492" spans="1:87" s="101" customFormat="1" x14ac:dyDescent="0.35">
      <c r="A492" s="1"/>
      <c r="C492" s="1"/>
      <c r="G492" s="2"/>
      <c r="H492" s="2"/>
      <c r="I492" s="2"/>
      <c r="J492" s="2"/>
      <c r="K492" s="81"/>
      <c r="L492" s="4"/>
      <c r="M492" s="4"/>
      <c r="N492" s="4"/>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3"/>
      <c r="AP492" s="2"/>
      <c r="AQ492" s="2"/>
      <c r="AR492" s="2"/>
      <c r="AS492" s="2"/>
      <c r="AT492" s="2"/>
      <c r="AU492" s="2"/>
      <c r="AV492" s="2"/>
      <c r="AW492" s="2"/>
      <c r="AX492" s="2"/>
      <c r="AY492" s="2"/>
      <c r="AZ492" s="5"/>
      <c r="BA492" s="2"/>
      <c r="BD492" s="2"/>
      <c r="BE492" s="2"/>
      <c r="BF492" s="2"/>
      <c r="BG492" s="2"/>
      <c r="BH492" s="2"/>
      <c r="BI492" s="2"/>
      <c r="BJ492" s="2"/>
      <c r="BK492" s="2"/>
      <c r="BM492" s="2"/>
      <c r="BN492" s="2"/>
      <c r="BO492" s="2"/>
      <c r="BP492" s="2"/>
      <c r="BQ492" s="2"/>
      <c r="BR492" s="6"/>
      <c r="BS492" s="6"/>
      <c r="BT492" s="2"/>
      <c r="BU492" s="2"/>
      <c r="BV492" s="2"/>
      <c r="BW492" s="2"/>
      <c r="BX492" s="2"/>
      <c r="BY492" s="2"/>
      <c r="BZ492" s="2"/>
      <c r="CA492" s="2"/>
      <c r="CB492" s="2"/>
      <c r="CC492" s="2"/>
      <c r="CD492" s="3"/>
      <c r="CE492" s="2"/>
      <c r="CF492" s="4"/>
      <c r="CG492" s="4"/>
      <c r="CI492" s="2"/>
    </row>
    <row r="493" spans="1:87" s="101" customFormat="1" x14ac:dyDescent="0.35">
      <c r="A493" s="1"/>
      <c r="C493" s="1"/>
      <c r="G493" s="2"/>
      <c r="H493" s="2"/>
      <c r="I493" s="2"/>
      <c r="J493" s="2"/>
      <c r="K493" s="81"/>
      <c r="L493" s="4"/>
      <c r="M493" s="4"/>
      <c r="N493" s="4"/>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3"/>
      <c r="AP493" s="2"/>
      <c r="AQ493" s="2"/>
      <c r="AR493" s="2"/>
      <c r="AS493" s="2"/>
      <c r="AT493" s="2"/>
      <c r="AU493" s="2"/>
      <c r="AV493" s="2"/>
      <c r="AW493" s="2"/>
      <c r="AX493" s="2"/>
      <c r="AY493" s="2"/>
      <c r="AZ493" s="5"/>
      <c r="BA493" s="2"/>
      <c r="BD493" s="2"/>
      <c r="BE493" s="2"/>
      <c r="BF493" s="2"/>
      <c r="BG493" s="2"/>
      <c r="BH493" s="2"/>
      <c r="BI493" s="2"/>
      <c r="BJ493" s="2"/>
      <c r="BK493" s="2"/>
      <c r="BM493" s="2"/>
      <c r="BN493" s="2"/>
      <c r="BO493" s="2"/>
      <c r="BP493" s="2"/>
      <c r="BQ493" s="2"/>
      <c r="BR493" s="6"/>
      <c r="BS493" s="6"/>
      <c r="BT493" s="2"/>
      <c r="BU493" s="2"/>
      <c r="BV493" s="2"/>
      <c r="BW493" s="2"/>
      <c r="BX493" s="2"/>
      <c r="BY493" s="2"/>
      <c r="BZ493" s="2"/>
      <c r="CA493" s="2"/>
      <c r="CB493" s="2"/>
      <c r="CC493" s="2"/>
      <c r="CD493" s="3"/>
      <c r="CE493" s="2"/>
      <c r="CF493" s="4"/>
      <c r="CG493" s="4"/>
      <c r="CI493" s="2"/>
    </row>
    <row r="494" spans="1:87" s="101" customFormat="1" x14ac:dyDescent="0.35">
      <c r="A494" s="1"/>
      <c r="C494" s="1"/>
      <c r="G494" s="2"/>
      <c r="H494" s="2"/>
      <c r="I494" s="2"/>
      <c r="J494" s="2"/>
      <c r="K494" s="81"/>
      <c r="L494" s="4"/>
      <c r="M494" s="4"/>
      <c r="N494" s="4"/>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3"/>
      <c r="AP494" s="2"/>
      <c r="AQ494" s="2"/>
      <c r="AR494" s="2"/>
      <c r="AS494" s="2"/>
      <c r="AT494" s="2"/>
      <c r="AU494" s="2"/>
      <c r="AV494" s="2"/>
      <c r="AW494" s="2"/>
      <c r="AX494" s="2"/>
      <c r="AY494" s="2"/>
      <c r="AZ494" s="5"/>
      <c r="BA494" s="2"/>
      <c r="BD494" s="2"/>
      <c r="BE494" s="2"/>
      <c r="BF494" s="2"/>
      <c r="BG494" s="2"/>
      <c r="BH494" s="2"/>
      <c r="BI494" s="2"/>
      <c r="BJ494" s="2"/>
      <c r="BK494" s="2"/>
      <c r="BM494" s="2"/>
      <c r="BN494" s="2"/>
      <c r="BO494" s="2"/>
      <c r="BP494" s="2"/>
      <c r="BQ494" s="2"/>
      <c r="BR494" s="6"/>
      <c r="BS494" s="6"/>
      <c r="BT494" s="2"/>
      <c r="BU494" s="2"/>
      <c r="BV494" s="2"/>
      <c r="BW494" s="2"/>
      <c r="BX494" s="2"/>
      <c r="BY494" s="2"/>
      <c r="BZ494" s="2"/>
      <c r="CA494" s="2"/>
      <c r="CB494" s="2"/>
      <c r="CC494" s="2"/>
      <c r="CD494" s="3"/>
      <c r="CE494" s="2"/>
      <c r="CF494" s="4"/>
      <c r="CG494" s="4"/>
      <c r="CI494" s="2"/>
    </row>
    <row r="495" spans="1:87" s="101" customFormat="1" x14ac:dyDescent="0.35">
      <c r="A495" s="1"/>
      <c r="C495" s="1"/>
      <c r="G495" s="2"/>
      <c r="H495" s="2"/>
      <c r="I495" s="2"/>
      <c r="J495" s="2"/>
      <c r="K495" s="81"/>
      <c r="L495" s="4"/>
      <c r="M495" s="4"/>
      <c r="N495" s="4"/>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3"/>
      <c r="AP495" s="2"/>
      <c r="AQ495" s="2"/>
      <c r="AR495" s="2"/>
      <c r="AS495" s="2"/>
      <c r="AT495" s="2"/>
      <c r="AU495" s="2"/>
      <c r="AV495" s="2"/>
      <c r="AW495" s="2"/>
      <c r="AX495" s="2"/>
      <c r="AY495" s="2"/>
      <c r="AZ495" s="5"/>
      <c r="BA495" s="2"/>
      <c r="BD495" s="2"/>
      <c r="BE495" s="2"/>
      <c r="BF495" s="2"/>
      <c r="BG495" s="2"/>
      <c r="BH495" s="2"/>
      <c r="BI495" s="2"/>
      <c r="BJ495" s="2"/>
      <c r="BK495" s="2"/>
      <c r="BM495" s="2"/>
      <c r="BN495" s="2"/>
      <c r="BO495" s="2"/>
      <c r="BP495" s="2"/>
      <c r="BQ495" s="2"/>
      <c r="BR495" s="6"/>
      <c r="BS495" s="6"/>
      <c r="BT495" s="2"/>
      <c r="BU495" s="2"/>
      <c r="BV495" s="2"/>
      <c r="BW495" s="2"/>
      <c r="BX495" s="2"/>
      <c r="BY495" s="2"/>
      <c r="BZ495" s="2"/>
      <c r="CA495" s="2"/>
      <c r="CB495" s="2"/>
      <c r="CC495" s="2"/>
      <c r="CD495" s="3"/>
      <c r="CE495" s="2"/>
      <c r="CF495" s="4"/>
      <c r="CG495" s="4"/>
      <c r="CI495" s="2"/>
    </row>
    <row r="496" spans="1:87" s="101" customFormat="1" x14ac:dyDescent="0.35">
      <c r="A496" s="1"/>
      <c r="C496" s="1"/>
      <c r="G496" s="2"/>
      <c r="H496" s="2"/>
      <c r="I496" s="2"/>
      <c r="J496" s="2"/>
      <c r="K496" s="81"/>
      <c r="L496" s="4"/>
      <c r="M496" s="4"/>
      <c r="N496" s="4"/>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3"/>
      <c r="AP496" s="2"/>
      <c r="AQ496" s="2"/>
      <c r="AR496" s="2"/>
      <c r="AS496" s="2"/>
      <c r="AT496" s="2"/>
      <c r="AU496" s="2"/>
      <c r="AV496" s="2"/>
      <c r="AW496" s="2"/>
      <c r="AX496" s="2"/>
      <c r="AY496" s="2"/>
      <c r="AZ496" s="5"/>
      <c r="BA496" s="2"/>
      <c r="BD496" s="2"/>
      <c r="BE496" s="2"/>
      <c r="BF496" s="2"/>
      <c r="BG496" s="2"/>
      <c r="BH496" s="2"/>
      <c r="BI496" s="2"/>
      <c r="BJ496" s="2"/>
      <c r="BK496" s="2"/>
      <c r="BM496" s="2"/>
      <c r="BN496" s="2"/>
      <c r="BO496" s="2"/>
      <c r="BP496" s="2"/>
      <c r="BQ496" s="2"/>
      <c r="BR496" s="6"/>
      <c r="BS496" s="6"/>
      <c r="BT496" s="2"/>
      <c r="BU496" s="2"/>
      <c r="BV496" s="2"/>
      <c r="BW496" s="2"/>
      <c r="BX496" s="2"/>
      <c r="BY496" s="2"/>
      <c r="BZ496" s="2"/>
      <c r="CA496" s="2"/>
      <c r="CB496" s="2"/>
      <c r="CC496" s="2"/>
      <c r="CD496" s="3"/>
      <c r="CE496" s="2"/>
      <c r="CF496" s="4"/>
      <c r="CG496" s="4"/>
      <c r="CI496" s="2"/>
    </row>
    <row r="497" spans="1:87" s="101" customFormat="1" x14ac:dyDescent="0.35">
      <c r="A497" s="1"/>
      <c r="C497" s="1"/>
      <c r="G497" s="2"/>
      <c r="H497" s="2"/>
      <c r="I497" s="2"/>
      <c r="J497" s="2"/>
      <c r="K497" s="81"/>
      <c r="L497" s="4"/>
      <c r="M497" s="4"/>
      <c r="N497" s="4"/>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3"/>
      <c r="AP497" s="2"/>
      <c r="AQ497" s="2"/>
      <c r="AR497" s="2"/>
      <c r="AS497" s="2"/>
      <c r="AT497" s="2"/>
      <c r="AU497" s="2"/>
      <c r="AV497" s="2"/>
      <c r="AW497" s="2"/>
      <c r="AX497" s="2"/>
      <c r="AY497" s="2"/>
      <c r="AZ497" s="5"/>
      <c r="BA497" s="2"/>
      <c r="BD497" s="2"/>
      <c r="BE497" s="2"/>
      <c r="BF497" s="2"/>
      <c r="BG497" s="2"/>
      <c r="BH497" s="2"/>
      <c r="BI497" s="2"/>
      <c r="BJ497" s="2"/>
      <c r="BK497" s="2"/>
      <c r="BM497" s="2"/>
      <c r="BN497" s="2"/>
      <c r="BO497" s="2"/>
      <c r="BP497" s="2"/>
      <c r="BQ497" s="2"/>
      <c r="BR497" s="6"/>
      <c r="BS497" s="6"/>
      <c r="BT497" s="2"/>
      <c r="BU497" s="2"/>
      <c r="BV497" s="2"/>
      <c r="BW497" s="2"/>
      <c r="BX497" s="2"/>
      <c r="BY497" s="2"/>
      <c r="BZ497" s="2"/>
      <c r="CA497" s="2"/>
      <c r="CB497" s="2"/>
      <c r="CC497" s="2"/>
      <c r="CD497" s="3"/>
      <c r="CE497" s="2"/>
      <c r="CF497" s="4"/>
      <c r="CG497" s="4"/>
      <c r="CI497" s="2"/>
    </row>
    <row r="498" spans="1:87" s="101" customFormat="1" x14ac:dyDescent="0.35">
      <c r="A498" s="1"/>
      <c r="C498" s="1"/>
      <c r="G498" s="2"/>
      <c r="H498" s="2"/>
      <c r="I498" s="2"/>
      <c r="J498" s="2"/>
      <c r="K498" s="81"/>
      <c r="L498" s="4"/>
      <c r="M498" s="4"/>
      <c r="N498" s="4"/>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3"/>
      <c r="AP498" s="2"/>
      <c r="AQ498" s="2"/>
      <c r="AR498" s="2"/>
      <c r="AS498" s="2"/>
      <c r="AT498" s="2"/>
      <c r="AU498" s="2"/>
      <c r="AV498" s="2"/>
      <c r="AW498" s="2"/>
      <c r="AX498" s="2"/>
      <c r="AY498" s="2"/>
      <c r="AZ498" s="5"/>
      <c r="BA498" s="2"/>
      <c r="BD498" s="2"/>
      <c r="BE498" s="2"/>
      <c r="BF498" s="2"/>
      <c r="BG498" s="2"/>
      <c r="BH498" s="2"/>
      <c r="BI498" s="2"/>
      <c r="BJ498" s="2"/>
      <c r="BK498" s="2"/>
      <c r="BM498" s="2"/>
      <c r="BN498" s="2"/>
      <c r="BO498" s="2"/>
      <c r="BP498" s="2"/>
      <c r="BQ498" s="2"/>
      <c r="BR498" s="6"/>
      <c r="BS498" s="6"/>
      <c r="BT498" s="2"/>
      <c r="BU498" s="2"/>
      <c r="BV498" s="2"/>
      <c r="BW498" s="2"/>
      <c r="BX498" s="2"/>
      <c r="BY498" s="2"/>
      <c r="BZ498" s="2"/>
      <c r="CA498" s="2"/>
      <c r="CB498" s="2"/>
      <c r="CC498" s="2"/>
      <c r="CD498" s="3"/>
      <c r="CE498" s="2"/>
      <c r="CF498" s="4"/>
      <c r="CG498" s="4"/>
      <c r="CI498" s="2"/>
    </row>
    <row r="499" spans="1:87" s="101" customFormat="1" x14ac:dyDescent="0.35">
      <c r="A499" s="1"/>
      <c r="C499" s="1"/>
      <c r="G499" s="2"/>
      <c r="H499" s="2"/>
      <c r="I499" s="2"/>
      <c r="J499" s="2"/>
      <c r="K499" s="81"/>
      <c r="L499" s="4"/>
      <c r="M499" s="4"/>
      <c r="N499" s="4"/>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3"/>
      <c r="AP499" s="2"/>
      <c r="AQ499" s="2"/>
      <c r="AR499" s="2"/>
      <c r="AS499" s="2"/>
      <c r="AT499" s="2"/>
      <c r="AU499" s="2"/>
      <c r="AV499" s="2"/>
      <c r="AW499" s="2"/>
      <c r="AX499" s="2"/>
      <c r="AY499" s="2"/>
      <c r="AZ499" s="5"/>
      <c r="BA499" s="2"/>
      <c r="BD499" s="2"/>
      <c r="BE499" s="2"/>
      <c r="BF499" s="2"/>
      <c r="BG499" s="2"/>
      <c r="BH499" s="2"/>
      <c r="BI499" s="2"/>
      <c r="BJ499" s="2"/>
      <c r="BK499" s="2"/>
      <c r="BM499" s="2"/>
      <c r="BN499" s="2"/>
      <c r="BO499" s="2"/>
      <c r="BP499" s="2"/>
      <c r="BQ499" s="2"/>
      <c r="BR499" s="6"/>
      <c r="BS499" s="6"/>
      <c r="BT499" s="2"/>
      <c r="BU499" s="2"/>
      <c r="BV499" s="2"/>
      <c r="BW499" s="2"/>
      <c r="BX499" s="2"/>
      <c r="BY499" s="2"/>
      <c r="BZ499" s="2"/>
      <c r="CA499" s="2"/>
      <c r="CB499" s="2"/>
      <c r="CC499" s="2"/>
      <c r="CD499" s="3"/>
      <c r="CE499" s="2"/>
      <c r="CF499" s="4"/>
      <c r="CG499" s="4"/>
      <c r="CI499" s="2"/>
    </row>
    <row r="500" spans="1:87" s="101" customFormat="1" x14ac:dyDescent="0.35">
      <c r="A500" s="1"/>
      <c r="C500" s="1"/>
      <c r="G500" s="2"/>
      <c r="H500" s="2"/>
      <c r="I500" s="2"/>
      <c r="J500" s="2"/>
      <c r="K500" s="81"/>
      <c r="L500" s="4"/>
      <c r="M500" s="4"/>
      <c r="N500" s="4"/>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3"/>
      <c r="AP500" s="2"/>
      <c r="AQ500" s="2"/>
      <c r="AR500" s="2"/>
      <c r="AS500" s="2"/>
      <c r="AT500" s="2"/>
      <c r="AU500" s="2"/>
      <c r="AV500" s="2"/>
      <c r="AW500" s="2"/>
      <c r="AX500" s="2"/>
      <c r="AY500" s="2"/>
      <c r="AZ500" s="5"/>
      <c r="BA500" s="2"/>
      <c r="BD500" s="2"/>
      <c r="BE500" s="2"/>
      <c r="BF500" s="2"/>
      <c r="BG500" s="2"/>
      <c r="BH500" s="2"/>
      <c r="BI500" s="2"/>
      <c r="BJ500" s="2"/>
      <c r="BK500" s="2"/>
      <c r="BM500" s="2"/>
      <c r="BN500" s="2"/>
      <c r="BO500" s="2"/>
      <c r="BP500" s="2"/>
      <c r="BQ500" s="2"/>
      <c r="BR500" s="6"/>
      <c r="BS500" s="6"/>
      <c r="BT500" s="2"/>
      <c r="BU500" s="2"/>
      <c r="BV500" s="2"/>
      <c r="BW500" s="2"/>
      <c r="BX500" s="2"/>
      <c r="BY500" s="2"/>
      <c r="BZ500" s="2"/>
      <c r="CA500" s="2"/>
      <c r="CB500" s="2"/>
      <c r="CC500" s="2"/>
      <c r="CD500" s="3"/>
      <c r="CE500" s="2"/>
      <c r="CF500" s="4"/>
      <c r="CG500" s="4"/>
      <c r="CI500" s="2"/>
    </row>
    <row r="501" spans="1:87" s="101" customFormat="1" x14ac:dyDescent="0.35">
      <c r="A501" s="1"/>
      <c r="C501" s="1"/>
      <c r="G501" s="2"/>
      <c r="H501" s="2"/>
      <c r="I501" s="2"/>
      <c r="J501" s="2"/>
      <c r="K501" s="81"/>
      <c r="L501" s="4"/>
      <c r="M501" s="4"/>
      <c r="N501" s="4"/>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3"/>
      <c r="AP501" s="2"/>
      <c r="AQ501" s="2"/>
      <c r="AR501" s="2"/>
      <c r="AS501" s="2"/>
      <c r="AT501" s="2"/>
      <c r="AU501" s="2"/>
      <c r="AV501" s="2"/>
      <c r="AW501" s="2"/>
      <c r="AX501" s="2"/>
      <c r="AY501" s="2"/>
      <c r="AZ501" s="5"/>
      <c r="BA501" s="2"/>
      <c r="BD501" s="2"/>
      <c r="BE501" s="2"/>
      <c r="BF501" s="2"/>
      <c r="BG501" s="2"/>
      <c r="BH501" s="2"/>
      <c r="BI501" s="2"/>
      <c r="BJ501" s="2"/>
      <c r="BK501" s="2"/>
      <c r="BM501" s="2"/>
      <c r="BN501" s="2"/>
      <c r="BO501" s="2"/>
      <c r="BP501" s="2"/>
      <c r="BQ501" s="2"/>
      <c r="BR501" s="6"/>
      <c r="BS501" s="6"/>
      <c r="BT501" s="2"/>
      <c r="BU501" s="2"/>
      <c r="BV501" s="2"/>
      <c r="BW501" s="2"/>
      <c r="BX501" s="2"/>
      <c r="BY501" s="2"/>
      <c r="BZ501" s="2"/>
      <c r="CA501" s="2"/>
      <c r="CB501" s="2"/>
      <c r="CC501" s="2"/>
      <c r="CD501" s="3"/>
      <c r="CE501" s="2"/>
      <c r="CF501" s="4"/>
      <c r="CG501" s="4"/>
      <c r="CI501" s="2"/>
    </row>
    <row r="502" spans="1:87" s="101" customFormat="1" x14ac:dyDescent="0.35">
      <c r="A502" s="1"/>
      <c r="C502" s="1"/>
      <c r="G502" s="2"/>
      <c r="H502" s="2"/>
      <c r="I502" s="2"/>
      <c r="J502" s="2"/>
      <c r="K502" s="81"/>
      <c r="L502" s="4"/>
      <c r="M502" s="4"/>
      <c r="N502" s="4"/>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3"/>
      <c r="AP502" s="2"/>
      <c r="AQ502" s="2"/>
      <c r="AR502" s="2"/>
      <c r="AS502" s="2"/>
      <c r="AT502" s="2"/>
      <c r="AU502" s="2"/>
      <c r="AV502" s="2"/>
      <c r="AW502" s="2"/>
      <c r="AX502" s="2"/>
      <c r="AY502" s="2"/>
      <c r="AZ502" s="5"/>
      <c r="BA502" s="2"/>
      <c r="BD502" s="2"/>
      <c r="BE502" s="2"/>
      <c r="BF502" s="2"/>
      <c r="BG502" s="2"/>
      <c r="BH502" s="2"/>
      <c r="BI502" s="2"/>
      <c r="BJ502" s="2"/>
      <c r="BK502" s="2"/>
      <c r="BM502" s="2"/>
      <c r="BN502" s="2"/>
      <c r="BO502" s="2"/>
      <c r="BP502" s="2"/>
      <c r="BQ502" s="2"/>
      <c r="BR502" s="6"/>
      <c r="BS502" s="6"/>
      <c r="BT502" s="2"/>
      <c r="BU502" s="2"/>
      <c r="BV502" s="2"/>
      <c r="BW502" s="2"/>
      <c r="BX502" s="2"/>
      <c r="BY502" s="2"/>
      <c r="BZ502" s="2"/>
      <c r="CA502" s="2"/>
      <c r="CB502" s="2"/>
      <c r="CC502" s="2"/>
      <c r="CD502" s="3"/>
      <c r="CE502" s="2"/>
      <c r="CF502" s="4"/>
      <c r="CG502" s="4"/>
      <c r="CI502" s="2"/>
    </row>
    <row r="503" spans="1:87" s="101" customFormat="1" x14ac:dyDescent="0.35">
      <c r="A503" s="1"/>
      <c r="C503" s="1"/>
      <c r="G503" s="2"/>
      <c r="H503" s="2"/>
      <c r="I503" s="2"/>
      <c r="J503" s="2"/>
      <c r="K503" s="81"/>
      <c r="L503" s="4"/>
      <c r="M503" s="4"/>
      <c r="N503" s="4"/>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3"/>
      <c r="AP503" s="2"/>
      <c r="AQ503" s="2"/>
      <c r="AR503" s="2"/>
      <c r="AS503" s="2"/>
      <c r="AT503" s="2"/>
      <c r="AU503" s="2"/>
      <c r="AV503" s="2"/>
      <c r="AW503" s="2"/>
      <c r="AX503" s="2"/>
      <c r="AY503" s="2"/>
      <c r="AZ503" s="5"/>
      <c r="BA503" s="2"/>
      <c r="BD503" s="2"/>
      <c r="BE503" s="2"/>
      <c r="BF503" s="2"/>
      <c r="BG503" s="2"/>
      <c r="BH503" s="2"/>
      <c r="BI503" s="2"/>
      <c r="BJ503" s="2"/>
      <c r="BK503" s="2"/>
      <c r="BM503" s="2"/>
      <c r="BN503" s="2"/>
      <c r="BO503" s="2"/>
      <c r="BP503" s="2"/>
      <c r="BQ503" s="2"/>
      <c r="BR503" s="6"/>
      <c r="BS503" s="6"/>
      <c r="BT503" s="2"/>
      <c r="BU503" s="2"/>
      <c r="BV503" s="2"/>
      <c r="BW503" s="2"/>
      <c r="BX503" s="2"/>
      <c r="BY503" s="2"/>
      <c r="BZ503" s="2"/>
      <c r="CA503" s="2"/>
      <c r="CB503" s="2"/>
      <c r="CC503" s="2"/>
      <c r="CD503" s="3"/>
      <c r="CE503" s="2"/>
      <c r="CF503" s="4"/>
      <c r="CG503" s="4"/>
      <c r="CI503" s="2"/>
    </row>
    <row r="504" spans="1:87" s="101" customFormat="1" x14ac:dyDescent="0.35">
      <c r="A504" s="1"/>
      <c r="C504" s="1"/>
      <c r="G504" s="2"/>
      <c r="H504" s="2"/>
      <c r="I504" s="2"/>
      <c r="J504" s="2"/>
      <c r="K504" s="81"/>
      <c r="L504" s="4"/>
      <c r="M504" s="4"/>
      <c r="N504" s="4"/>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3"/>
      <c r="AP504" s="2"/>
      <c r="AQ504" s="2"/>
      <c r="AR504" s="2"/>
      <c r="AS504" s="2"/>
      <c r="AT504" s="2"/>
      <c r="AU504" s="2"/>
      <c r="AV504" s="2"/>
      <c r="AW504" s="2"/>
      <c r="AX504" s="2"/>
      <c r="AY504" s="2"/>
      <c r="AZ504" s="5"/>
      <c r="BA504" s="2"/>
      <c r="BD504" s="2"/>
      <c r="BE504" s="2"/>
      <c r="BF504" s="2"/>
      <c r="BG504" s="2"/>
      <c r="BH504" s="2"/>
      <c r="BI504" s="2"/>
      <c r="BJ504" s="2"/>
      <c r="BK504" s="2"/>
      <c r="BM504" s="2"/>
      <c r="BN504" s="2"/>
      <c r="BO504" s="2"/>
      <c r="BP504" s="2"/>
      <c r="BQ504" s="2"/>
      <c r="BR504" s="6"/>
      <c r="BS504" s="6"/>
      <c r="BT504" s="2"/>
      <c r="BU504" s="2"/>
      <c r="BV504" s="2"/>
      <c r="BW504" s="2"/>
      <c r="BX504" s="2"/>
      <c r="BY504" s="2"/>
      <c r="BZ504" s="2"/>
      <c r="CA504" s="2"/>
      <c r="CB504" s="2"/>
      <c r="CC504" s="2"/>
      <c r="CD504" s="3"/>
      <c r="CE504" s="2"/>
      <c r="CF504" s="4"/>
      <c r="CG504" s="4"/>
      <c r="CI504" s="2"/>
    </row>
    <row r="505" spans="1:87" s="101" customFormat="1" x14ac:dyDescent="0.35">
      <c r="A505" s="1"/>
      <c r="C505" s="1"/>
      <c r="G505" s="2"/>
      <c r="H505" s="2"/>
      <c r="I505" s="2"/>
      <c r="J505" s="2"/>
      <c r="K505" s="81"/>
      <c r="L505" s="4"/>
      <c r="M505" s="4"/>
      <c r="N505" s="4"/>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3"/>
      <c r="AP505" s="2"/>
      <c r="AQ505" s="2"/>
      <c r="AR505" s="2"/>
      <c r="AS505" s="2"/>
      <c r="AT505" s="2"/>
      <c r="AU505" s="2"/>
      <c r="AV505" s="2"/>
      <c r="AW505" s="2"/>
      <c r="AX505" s="2"/>
      <c r="AY505" s="2"/>
      <c r="AZ505" s="5"/>
      <c r="BA505" s="2"/>
      <c r="BD505" s="2"/>
      <c r="BE505" s="2"/>
      <c r="BF505" s="2"/>
      <c r="BG505" s="2"/>
      <c r="BH505" s="2"/>
      <c r="BI505" s="2"/>
      <c r="BJ505" s="2"/>
      <c r="BK505" s="2"/>
      <c r="BM505" s="2"/>
      <c r="BN505" s="2"/>
      <c r="BO505" s="2"/>
      <c r="BP505" s="2"/>
      <c r="BQ505" s="2"/>
      <c r="BR505" s="6"/>
      <c r="BS505" s="6"/>
      <c r="BT505" s="2"/>
      <c r="BU505" s="2"/>
      <c r="BV505" s="2"/>
      <c r="BW505" s="2"/>
      <c r="BX505" s="2"/>
      <c r="BY505" s="2"/>
      <c r="BZ505" s="2"/>
      <c r="CA505" s="2"/>
      <c r="CB505" s="2"/>
      <c r="CC505" s="2"/>
      <c r="CD505" s="3"/>
      <c r="CE505" s="2"/>
      <c r="CF505" s="4"/>
      <c r="CG505" s="4"/>
      <c r="CI505" s="2"/>
    </row>
    <row r="506" spans="1:87" s="101" customFormat="1" x14ac:dyDescent="0.35">
      <c r="A506" s="1"/>
      <c r="C506" s="1"/>
      <c r="G506" s="2"/>
      <c r="H506" s="2"/>
      <c r="I506" s="2"/>
      <c r="J506" s="2"/>
      <c r="K506" s="81"/>
      <c r="L506" s="4"/>
      <c r="M506" s="4"/>
      <c r="N506" s="4"/>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3"/>
      <c r="AP506" s="2"/>
      <c r="AQ506" s="2"/>
      <c r="AR506" s="2"/>
      <c r="AS506" s="2"/>
      <c r="AT506" s="2"/>
      <c r="AU506" s="2"/>
      <c r="AV506" s="2"/>
      <c r="AW506" s="2"/>
      <c r="AX506" s="2"/>
      <c r="AY506" s="2"/>
      <c r="AZ506" s="5"/>
      <c r="BA506" s="2"/>
      <c r="BD506" s="2"/>
      <c r="BE506" s="2"/>
      <c r="BF506" s="2"/>
      <c r="BG506" s="2"/>
      <c r="BH506" s="2"/>
      <c r="BI506" s="2"/>
      <c r="BJ506" s="2"/>
      <c r="BK506" s="2"/>
      <c r="BM506" s="2"/>
      <c r="BN506" s="2"/>
      <c r="BO506" s="2"/>
      <c r="BP506" s="2"/>
      <c r="BQ506" s="2"/>
      <c r="BR506" s="6"/>
      <c r="BS506" s="6"/>
      <c r="BT506" s="2"/>
      <c r="BU506" s="2"/>
      <c r="BV506" s="2"/>
      <c r="BW506" s="2"/>
      <c r="BX506" s="2"/>
      <c r="BY506" s="2"/>
      <c r="BZ506" s="2"/>
      <c r="CA506" s="2"/>
      <c r="CB506" s="2"/>
      <c r="CC506" s="2"/>
      <c r="CD506" s="3"/>
      <c r="CE506" s="2"/>
      <c r="CF506" s="4"/>
      <c r="CG506" s="4"/>
      <c r="CI506" s="2"/>
    </row>
    <row r="507" spans="1:87" s="101" customFormat="1" x14ac:dyDescent="0.35">
      <c r="A507" s="1"/>
      <c r="C507" s="1"/>
      <c r="G507" s="2"/>
      <c r="H507" s="2"/>
      <c r="I507" s="2"/>
      <c r="J507" s="2"/>
      <c r="K507" s="81"/>
      <c r="L507" s="4"/>
      <c r="M507" s="4"/>
      <c r="N507" s="4"/>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3"/>
      <c r="AP507" s="2"/>
      <c r="AQ507" s="2"/>
      <c r="AR507" s="2"/>
      <c r="AS507" s="2"/>
      <c r="AT507" s="2"/>
      <c r="AU507" s="2"/>
      <c r="AV507" s="2"/>
      <c r="AW507" s="2"/>
      <c r="AX507" s="2"/>
      <c r="AY507" s="2"/>
      <c r="AZ507" s="5"/>
      <c r="BA507" s="2"/>
      <c r="BD507" s="2"/>
      <c r="BE507" s="2"/>
      <c r="BF507" s="2"/>
      <c r="BG507" s="2"/>
      <c r="BH507" s="2"/>
      <c r="BI507" s="2"/>
      <c r="BJ507" s="2"/>
      <c r="BK507" s="2"/>
      <c r="BM507" s="2"/>
      <c r="BN507" s="2"/>
      <c r="BO507" s="2"/>
      <c r="BP507" s="2"/>
      <c r="BQ507" s="2"/>
      <c r="BR507" s="6"/>
      <c r="BS507" s="6"/>
      <c r="BT507" s="2"/>
      <c r="BU507" s="2"/>
      <c r="BV507" s="2"/>
      <c r="BW507" s="2"/>
      <c r="BX507" s="2"/>
      <c r="BY507" s="2"/>
      <c r="BZ507" s="2"/>
      <c r="CA507" s="2"/>
      <c r="CB507" s="2"/>
      <c r="CC507" s="2"/>
      <c r="CD507" s="3"/>
      <c r="CE507" s="2"/>
      <c r="CF507" s="4"/>
      <c r="CG507" s="4"/>
      <c r="CI507" s="2"/>
    </row>
    <row r="508" spans="1:87" s="101" customFormat="1" x14ac:dyDescent="0.35">
      <c r="A508" s="1"/>
      <c r="C508" s="1"/>
      <c r="G508" s="2"/>
      <c r="H508" s="2"/>
      <c r="I508" s="2"/>
      <c r="J508" s="2"/>
      <c r="K508" s="81"/>
      <c r="L508" s="4"/>
      <c r="M508" s="4"/>
      <c r="N508" s="4"/>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3"/>
      <c r="AP508" s="2"/>
      <c r="AQ508" s="2"/>
      <c r="AR508" s="2"/>
      <c r="AS508" s="2"/>
      <c r="AT508" s="2"/>
      <c r="AU508" s="2"/>
      <c r="AV508" s="2"/>
      <c r="AW508" s="2"/>
      <c r="AX508" s="2"/>
      <c r="AY508" s="2"/>
      <c r="AZ508" s="5"/>
      <c r="BA508" s="2"/>
      <c r="BD508" s="2"/>
      <c r="BE508" s="2"/>
      <c r="BF508" s="2"/>
      <c r="BG508" s="2"/>
      <c r="BH508" s="2"/>
      <c r="BI508" s="2"/>
      <c r="BJ508" s="2"/>
      <c r="BK508" s="2"/>
      <c r="BM508" s="2"/>
      <c r="BN508" s="2"/>
      <c r="BO508" s="2"/>
      <c r="BP508" s="2"/>
      <c r="BQ508" s="2"/>
      <c r="BR508" s="6"/>
      <c r="BS508" s="6"/>
      <c r="BT508" s="2"/>
      <c r="BU508" s="2"/>
      <c r="BV508" s="2"/>
      <c r="BW508" s="2"/>
      <c r="BX508" s="2"/>
      <c r="BY508" s="2"/>
      <c r="BZ508" s="2"/>
      <c r="CA508" s="2"/>
      <c r="CB508" s="2"/>
      <c r="CC508" s="2"/>
      <c r="CD508" s="3"/>
      <c r="CE508" s="2"/>
      <c r="CF508" s="4"/>
      <c r="CG508" s="4"/>
      <c r="CI508" s="2"/>
    </row>
    <row r="509" spans="1:87" s="101" customFormat="1" x14ac:dyDescent="0.35">
      <c r="A509" s="1"/>
      <c r="C509" s="1"/>
      <c r="G509" s="2"/>
      <c r="H509" s="2"/>
      <c r="I509" s="2"/>
      <c r="J509" s="2"/>
      <c r="K509" s="81"/>
      <c r="L509" s="4"/>
      <c r="M509" s="4"/>
      <c r="N509" s="4"/>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3"/>
      <c r="AP509" s="2"/>
      <c r="AQ509" s="2"/>
      <c r="AR509" s="2"/>
      <c r="AS509" s="2"/>
      <c r="AT509" s="2"/>
      <c r="AU509" s="2"/>
      <c r="AV509" s="2"/>
      <c r="AW509" s="2"/>
      <c r="AX509" s="2"/>
      <c r="AY509" s="2"/>
      <c r="AZ509" s="5"/>
      <c r="BA509" s="2"/>
      <c r="BD509" s="2"/>
      <c r="BE509" s="2"/>
      <c r="BF509" s="2"/>
      <c r="BG509" s="2"/>
      <c r="BH509" s="2"/>
      <c r="BI509" s="2"/>
      <c r="BJ509" s="2"/>
      <c r="BK509" s="2"/>
      <c r="BM509" s="2"/>
      <c r="BN509" s="2"/>
      <c r="BO509" s="2"/>
      <c r="BP509" s="2"/>
      <c r="BQ509" s="2"/>
      <c r="BR509" s="6"/>
      <c r="BS509" s="6"/>
      <c r="BT509" s="2"/>
      <c r="BU509" s="2"/>
      <c r="BV509" s="2"/>
      <c r="BW509" s="2"/>
      <c r="BX509" s="2"/>
      <c r="BY509" s="2"/>
      <c r="BZ509" s="2"/>
      <c r="CA509" s="2"/>
      <c r="CB509" s="2"/>
      <c r="CC509" s="2"/>
      <c r="CD509" s="3"/>
      <c r="CE509" s="2"/>
      <c r="CF509" s="4"/>
      <c r="CG509" s="4"/>
      <c r="CI509" s="2"/>
    </row>
    <row r="510" spans="1:87" s="101" customFormat="1" x14ac:dyDescent="0.35">
      <c r="A510" s="1"/>
      <c r="C510" s="1"/>
      <c r="G510" s="2"/>
      <c r="H510" s="2"/>
      <c r="I510" s="2"/>
      <c r="J510" s="2"/>
      <c r="K510" s="81"/>
      <c r="L510" s="4"/>
      <c r="M510" s="4"/>
      <c r="N510" s="4"/>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3"/>
      <c r="AP510" s="2"/>
      <c r="AQ510" s="2"/>
      <c r="AR510" s="2"/>
      <c r="AS510" s="2"/>
      <c r="AT510" s="2"/>
      <c r="AU510" s="2"/>
      <c r="AV510" s="2"/>
      <c r="AW510" s="2"/>
      <c r="AX510" s="2"/>
      <c r="AY510" s="2"/>
      <c r="AZ510" s="5"/>
      <c r="BA510" s="2"/>
      <c r="BD510" s="2"/>
      <c r="BE510" s="2"/>
      <c r="BF510" s="2"/>
      <c r="BG510" s="2"/>
      <c r="BH510" s="2"/>
      <c r="BI510" s="2"/>
      <c r="BJ510" s="2"/>
      <c r="BK510" s="2"/>
      <c r="BM510" s="2"/>
      <c r="BN510" s="2"/>
      <c r="BO510" s="2"/>
      <c r="BP510" s="2"/>
      <c r="BQ510" s="2"/>
      <c r="BR510" s="6"/>
      <c r="BS510" s="6"/>
      <c r="BT510" s="2"/>
      <c r="BU510" s="2"/>
      <c r="BV510" s="2"/>
      <c r="BW510" s="2"/>
      <c r="BX510" s="2"/>
      <c r="BY510" s="2"/>
      <c r="BZ510" s="2"/>
      <c r="CA510" s="2"/>
      <c r="CB510" s="2"/>
      <c r="CC510" s="2"/>
      <c r="CD510" s="3"/>
      <c r="CE510" s="2"/>
      <c r="CF510" s="4"/>
      <c r="CG510" s="4"/>
      <c r="CI510" s="2"/>
    </row>
    <row r="511" spans="1:87" s="101" customFormat="1" x14ac:dyDescent="0.35">
      <c r="A511" s="1"/>
      <c r="C511" s="1"/>
      <c r="G511" s="2"/>
      <c r="H511" s="2"/>
      <c r="I511" s="2"/>
      <c r="J511" s="2"/>
      <c r="K511" s="81"/>
      <c r="L511" s="4"/>
      <c r="M511" s="4"/>
      <c r="N511" s="4"/>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3"/>
      <c r="AP511" s="2"/>
      <c r="AQ511" s="2"/>
      <c r="AR511" s="2"/>
      <c r="AS511" s="2"/>
      <c r="AT511" s="2"/>
      <c r="AU511" s="2"/>
      <c r="AV511" s="2"/>
      <c r="AW511" s="2"/>
      <c r="AX511" s="2"/>
      <c r="AY511" s="2"/>
      <c r="AZ511" s="5"/>
      <c r="BA511" s="2"/>
      <c r="BD511" s="2"/>
      <c r="BE511" s="2"/>
      <c r="BF511" s="2"/>
      <c r="BG511" s="2"/>
      <c r="BH511" s="2"/>
      <c r="BI511" s="2"/>
      <c r="BJ511" s="2"/>
      <c r="BK511" s="2"/>
      <c r="BM511" s="2"/>
      <c r="BN511" s="2"/>
      <c r="BO511" s="2"/>
      <c r="BP511" s="2"/>
      <c r="BQ511" s="2"/>
      <c r="BR511" s="6"/>
      <c r="BS511" s="6"/>
      <c r="BT511" s="2"/>
      <c r="BU511" s="2"/>
      <c r="BV511" s="2"/>
      <c r="BW511" s="2"/>
      <c r="BX511" s="2"/>
      <c r="BY511" s="2"/>
      <c r="BZ511" s="2"/>
      <c r="CA511" s="2"/>
      <c r="CB511" s="2"/>
      <c r="CC511" s="2"/>
      <c r="CD511" s="3"/>
      <c r="CE511" s="2"/>
      <c r="CF511" s="4"/>
      <c r="CG511" s="4"/>
      <c r="CI511" s="2"/>
    </row>
    <row r="512" spans="1:87" s="101" customFormat="1" x14ac:dyDescent="0.35">
      <c r="A512" s="1"/>
      <c r="C512" s="1"/>
      <c r="G512" s="2"/>
      <c r="H512" s="2"/>
      <c r="I512" s="2"/>
      <c r="J512" s="2"/>
      <c r="K512" s="81"/>
      <c r="L512" s="4"/>
      <c r="M512" s="4"/>
      <c r="N512" s="4"/>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3"/>
      <c r="AP512" s="2"/>
      <c r="AQ512" s="2"/>
      <c r="AR512" s="2"/>
      <c r="AS512" s="2"/>
      <c r="AT512" s="2"/>
      <c r="AU512" s="2"/>
      <c r="AV512" s="2"/>
      <c r="AW512" s="2"/>
      <c r="AX512" s="2"/>
      <c r="AY512" s="2"/>
      <c r="AZ512" s="5"/>
      <c r="BA512" s="2"/>
      <c r="BD512" s="2"/>
      <c r="BE512" s="2"/>
      <c r="BF512" s="2"/>
      <c r="BG512" s="2"/>
      <c r="BH512" s="2"/>
      <c r="BI512" s="2"/>
      <c r="BJ512" s="2"/>
      <c r="BK512" s="2"/>
      <c r="BM512" s="2"/>
      <c r="BN512" s="2"/>
      <c r="BO512" s="2"/>
      <c r="BP512" s="2"/>
      <c r="BQ512" s="2"/>
      <c r="BR512" s="6"/>
      <c r="BS512" s="6"/>
      <c r="BT512" s="2"/>
      <c r="BU512" s="2"/>
      <c r="BV512" s="2"/>
      <c r="BW512" s="2"/>
      <c r="BX512" s="2"/>
      <c r="BY512" s="2"/>
      <c r="BZ512" s="2"/>
      <c r="CA512" s="2"/>
      <c r="CB512" s="2"/>
      <c r="CC512" s="2"/>
      <c r="CD512" s="3"/>
      <c r="CE512" s="2"/>
      <c r="CF512" s="4"/>
      <c r="CG512" s="4"/>
      <c r="CI512" s="2"/>
    </row>
    <row r="513" spans="1:87" s="101" customFormat="1" x14ac:dyDescent="0.35">
      <c r="A513" s="1"/>
      <c r="C513" s="1"/>
      <c r="G513" s="2"/>
      <c r="H513" s="2"/>
      <c r="I513" s="2"/>
      <c r="J513" s="2"/>
      <c r="K513" s="81"/>
      <c r="L513" s="4"/>
      <c r="M513" s="4"/>
      <c r="N513" s="4"/>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3"/>
      <c r="AP513" s="2"/>
      <c r="AQ513" s="2"/>
      <c r="AR513" s="2"/>
      <c r="AS513" s="2"/>
      <c r="AT513" s="2"/>
      <c r="AU513" s="2"/>
      <c r="AV513" s="2"/>
      <c r="AW513" s="2"/>
      <c r="AX513" s="2"/>
      <c r="AY513" s="2"/>
      <c r="AZ513" s="5"/>
      <c r="BA513" s="2"/>
      <c r="BD513" s="2"/>
      <c r="BE513" s="2"/>
      <c r="BF513" s="2"/>
      <c r="BG513" s="2"/>
      <c r="BH513" s="2"/>
      <c r="BI513" s="2"/>
      <c r="BJ513" s="2"/>
      <c r="BK513" s="2"/>
      <c r="BM513" s="2"/>
      <c r="BN513" s="2"/>
      <c r="BO513" s="2"/>
      <c r="BP513" s="2"/>
      <c r="BQ513" s="2"/>
      <c r="BR513" s="6"/>
      <c r="BS513" s="6"/>
      <c r="BT513" s="2"/>
      <c r="BU513" s="2"/>
      <c r="BV513" s="2"/>
      <c r="BW513" s="2"/>
      <c r="BX513" s="2"/>
      <c r="BY513" s="2"/>
      <c r="BZ513" s="2"/>
      <c r="CA513" s="2"/>
      <c r="CB513" s="2"/>
      <c r="CC513" s="2"/>
      <c r="CD513" s="3"/>
      <c r="CE513" s="2"/>
      <c r="CF513" s="4"/>
      <c r="CG513" s="4"/>
      <c r="CI513" s="2"/>
    </row>
    <row r="514" spans="1:87" s="101" customFormat="1" x14ac:dyDescent="0.35">
      <c r="A514" s="1"/>
      <c r="C514" s="1"/>
      <c r="G514" s="2"/>
      <c r="H514" s="2"/>
      <c r="I514" s="2"/>
      <c r="J514" s="2"/>
      <c r="K514" s="81"/>
      <c r="L514" s="4"/>
      <c r="M514" s="4"/>
      <c r="N514" s="4"/>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3"/>
      <c r="AP514" s="2"/>
      <c r="AQ514" s="2"/>
      <c r="AR514" s="2"/>
      <c r="AS514" s="2"/>
      <c r="AT514" s="2"/>
      <c r="AU514" s="2"/>
      <c r="AV514" s="2"/>
      <c r="AW514" s="2"/>
      <c r="AX514" s="2"/>
      <c r="AY514" s="2"/>
      <c r="AZ514" s="5"/>
      <c r="BA514" s="2"/>
      <c r="BD514" s="2"/>
      <c r="BE514" s="2"/>
      <c r="BF514" s="2"/>
      <c r="BG514" s="2"/>
      <c r="BH514" s="2"/>
      <c r="BI514" s="2"/>
      <c r="BJ514" s="2"/>
      <c r="BK514" s="2"/>
      <c r="BM514" s="2"/>
      <c r="BN514" s="2"/>
      <c r="BO514" s="2"/>
      <c r="BP514" s="2"/>
      <c r="BQ514" s="2"/>
      <c r="BR514" s="6"/>
      <c r="BS514" s="6"/>
      <c r="BT514" s="2"/>
      <c r="BU514" s="2"/>
      <c r="BV514" s="2"/>
      <c r="BW514" s="2"/>
      <c r="BX514" s="2"/>
      <c r="BY514" s="2"/>
      <c r="BZ514" s="2"/>
      <c r="CA514" s="2"/>
      <c r="CB514" s="2"/>
      <c r="CC514" s="2"/>
      <c r="CD514" s="3"/>
      <c r="CE514" s="2"/>
      <c r="CF514" s="4"/>
      <c r="CG514" s="4"/>
      <c r="CI514" s="2"/>
    </row>
    <row r="515" spans="1:87" s="101" customFormat="1" x14ac:dyDescent="0.35">
      <c r="A515" s="1"/>
      <c r="C515" s="1"/>
      <c r="G515" s="2"/>
      <c r="H515" s="2"/>
      <c r="I515" s="2"/>
      <c r="J515" s="2"/>
      <c r="K515" s="81"/>
      <c r="L515" s="4"/>
      <c r="M515" s="4"/>
      <c r="N515" s="4"/>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3"/>
      <c r="AP515" s="2"/>
      <c r="AQ515" s="2"/>
      <c r="AR515" s="2"/>
      <c r="AS515" s="2"/>
      <c r="AT515" s="2"/>
      <c r="AU515" s="2"/>
      <c r="AV515" s="2"/>
      <c r="AW515" s="2"/>
      <c r="AX515" s="2"/>
      <c r="AY515" s="2"/>
      <c r="AZ515" s="5"/>
      <c r="BA515" s="2"/>
      <c r="BD515" s="2"/>
      <c r="BE515" s="2"/>
      <c r="BF515" s="2"/>
      <c r="BG515" s="2"/>
      <c r="BH515" s="2"/>
      <c r="BI515" s="2"/>
      <c r="BJ515" s="2"/>
      <c r="BK515" s="2"/>
      <c r="BM515" s="2"/>
      <c r="BN515" s="2"/>
      <c r="BO515" s="2"/>
      <c r="BP515" s="2"/>
      <c r="BQ515" s="2"/>
      <c r="BR515" s="6"/>
      <c r="BS515" s="6"/>
      <c r="BT515" s="2"/>
      <c r="BU515" s="2"/>
      <c r="BV515" s="2"/>
      <c r="BW515" s="2"/>
      <c r="BX515" s="2"/>
      <c r="BY515" s="2"/>
      <c r="BZ515" s="2"/>
      <c r="CA515" s="2"/>
      <c r="CB515" s="2"/>
      <c r="CC515" s="2"/>
      <c r="CD515" s="3"/>
      <c r="CE515" s="2"/>
      <c r="CF515" s="4"/>
      <c r="CG515" s="4"/>
      <c r="CI515" s="2"/>
    </row>
    <row r="516" spans="1:87" s="101" customFormat="1" x14ac:dyDescent="0.35">
      <c r="A516" s="1"/>
      <c r="C516" s="1"/>
      <c r="G516" s="2"/>
      <c r="H516" s="2"/>
      <c r="I516" s="2"/>
      <c r="J516" s="2"/>
      <c r="K516" s="81"/>
      <c r="L516" s="4"/>
      <c r="M516" s="4"/>
      <c r="N516" s="4"/>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3"/>
      <c r="AP516" s="2"/>
      <c r="AQ516" s="2"/>
      <c r="AR516" s="2"/>
      <c r="AS516" s="2"/>
      <c r="AT516" s="2"/>
      <c r="AU516" s="2"/>
      <c r="AV516" s="2"/>
      <c r="AW516" s="2"/>
      <c r="AX516" s="2"/>
      <c r="AY516" s="2"/>
      <c r="AZ516" s="5"/>
      <c r="BA516" s="2"/>
      <c r="BD516" s="2"/>
      <c r="BE516" s="2"/>
      <c r="BF516" s="2"/>
      <c r="BG516" s="2"/>
      <c r="BH516" s="2"/>
      <c r="BI516" s="2"/>
      <c r="BJ516" s="2"/>
      <c r="BK516" s="2"/>
      <c r="BM516" s="2"/>
      <c r="BN516" s="2"/>
      <c r="BO516" s="2"/>
      <c r="BP516" s="2"/>
      <c r="BQ516" s="2"/>
      <c r="BR516" s="6"/>
      <c r="BS516" s="6"/>
      <c r="BT516" s="2"/>
      <c r="BU516" s="2"/>
      <c r="BV516" s="2"/>
      <c r="BW516" s="2"/>
      <c r="BX516" s="2"/>
      <c r="BY516" s="2"/>
      <c r="BZ516" s="2"/>
      <c r="CA516" s="2"/>
      <c r="CB516" s="2"/>
      <c r="CC516" s="2"/>
      <c r="CD516" s="3"/>
      <c r="CE516" s="2"/>
      <c r="CF516" s="4"/>
      <c r="CG516" s="4"/>
      <c r="CI516" s="2"/>
    </row>
    <row r="517" spans="1:87" s="101" customFormat="1" x14ac:dyDescent="0.35">
      <c r="A517" s="1"/>
      <c r="C517" s="1"/>
      <c r="G517" s="2"/>
      <c r="H517" s="2"/>
      <c r="I517" s="2"/>
      <c r="J517" s="2"/>
      <c r="K517" s="81"/>
      <c r="L517" s="4"/>
      <c r="M517" s="4"/>
      <c r="N517" s="4"/>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3"/>
      <c r="AP517" s="2"/>
      <c r="AQ517" s="2"/>
      <c r="AR517" s="2"/>
      <c r="AS517" s="2"/>
      <c r="AT517" s="2"/>
      <c r="AU517" s="2"/>
      <c r="AV517" s="2"/>
      <c r="AW517" s="2"/>
      <c r="AX517" s="2"/>
      <c r="AY517" s="2"/>
      <c r="AZ517" s="5"/>
      <c r="BA517" s="2"/>
      <c r="BD517" s="2"/>
      <c r="BE517" s="2"/>
      <c r="BF517" s="2"/>
      <c r="BG517" s="2"/>
      <c r="BH517" s="2"/>
      <c r="BI517" s="2"/>
      <c r="BJ517" s="2"/>
      <c r="BK517" s="2"/>
      <c r="BM517" s="2"/>
      <c r="BN517" s="2"/>
      <c r="BO517" s="2"/>
      <c r="BP517" s="2"/>
      <c r="BQ517" s="2"/>
      <c r="BR517" s="6"/>
      <c r="BS517" s="6"/>
      <c r="BT517" s="2"/>
      <c r="BU517" s="2"/>
      <c r="BV517" s="2"/>
      <c r="BW517" s="2"/>
      <c r="BX517" s="2"/>
      <c r="BY517" s="2"/>
      <c r="BZ517" s="2"/>
      <c r="CA517" s="2"/>
      <c r="CB517" s="2"/>
      <c r="CC517" s="2"/>
      <c r="CD517" s="3"/>
      <c r="CE517" s="2"/>
      <c r="CF517" s="4"/>
      <c r="CG517" s="4"/>
      <c r="CI517" s="2"/>
    </row>
    <row r="518" spans="1:87" s="101" customFormat="1" x14ac:dyDescent="0.35">
      <c r="A518" s="1"/>
      <c r="C518" s="1"/>
      <c r="G518" s="2"/>
      <c r="H518" s="2"/>
      <c r="I518" s="2"/>
      <c r="J518" s="2"/>
      <c r="K518" s="81"/>
      <c r="L518" s="4"/>
      <c r="M518" s="4"/>
      <c r="N518" s="4"/>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3"/>
      <c r="AP518" s="2"/>
      <c r="AQ518" s="2"/>
      <c r="AR518" s="2"/>
      <c r="AS518" s="2"/>
      <c r="AT518" s="2"/>
      <c r="AU518" s="2"/>
      <c r="AV518" s="2"/>
      <c r="AW518" s="2"/>
      <c r="AX518" s="2"/>
      <c r="AY518" s="2"/>
      <c r="AZ518" s="5"/>
      <c r="BA518" s="2"/>
      <c r="BD518" s="2"/>
      <c r="BE518" s="2"/>
      <c r="BF518" s="2"/>
      <c r="BG518" s="2"/>
      <c r="BH518" s="2"/>
      <c r="BI518" s="2"/>
      <c r="BJ518" s="2"/>
      <c r="BK518" s="2"/>
      <c r="BM518" s="2"/>
      <c r="BN518" s="2"/>
      <c r="BO518" s="2"/>
      <c r="BP518" s="2"/>
      <c r="BQ518" s="2"/>
      <c r="BR518" s="6"/>
      <c r="BS518" s="6"/>
      <c r="BT518" s="2"/>
      <c r="BU518" s="2"/>
      <c r="BV518" s="2"/>
      <c r="BW518" s="2"/>
      <c r="BX518" s="2"/>
      <c r="BY518" s="2"/>
      <c r="BZ518" s="2"/>
      <c r="CA518" s="2"/>
      <c r="CB518" s="2"/>
      <c r="CC518" s="2"/>
      <c r="CD518" s="3"/>
      <c r="CE518" s="2"/>
      <c r="CF518" s="4"/>
      <c r="CG518" s="4"/>
      <c r="CI518" s="2"/>
    </row>
    <row r="519" spans="1:87" s="101" customFormat="1" x14ac:dyDescent="0.35">
      <c r="A519" s="1"/>
      <c r="C519" s="1"/>
      <c r="G519" s="2"/>
      <c r="H519" s="2"/>
      <c r="I519" s="2"/>
      <c r="J519" s="2"/>
      <c r="K519" s="81"/>
      <c r="L519" s="4"/>
      <c r="M519" s="4"/>
      <c r="N519" s="4"/>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3"/>
      <c r="AP519" s="2"/>
      <c r="AQ519" s="2"/>
      <c r="AR519" s="2"/>
      <c r="AS519" s="2"/>
      <c r="AT519" s="2"/>
      <c r="AU519" s="2"/>
      <c r="AV519" s="2"/>
      <c r="AW519" s="2"/>
      <c r="AX519" s="2"/>
      <c r="AY519" s="2"/>
      <c r="AZ519" s="5"/>
      <c r="BA519" s="2"/>
      <c r="BD519" s="2"/>
      <c r="BE519" s="2"/>
      <c r="BF519" s="2"/>
      <c r="BG519" s="2"/>
      <c r="BH519" s="2"/>
      <c r="BI519" s="2"/>
      <c r="BJ519" s="2"/>
      <c r="BK519" s="2"/>
      <c r="BM519" s="2"/>
      <c r="BN519" s="2"/>
      <c r="BO519" s="2"/>
      <c r="BP519" s="2"/>
      <c r="BQ519" s="2"/>
      <c r="BR519" s="6"/>
      <c r="BS519" s="6"/>
      <c r="BT519" s="2"/>
      <c r="BU519" s="2"/>
      <c r="BV519" s="2"/>
      <c r="BW519" s="2"/>
      <c r="BX519" s="2"/>
      <c r="BY519" s="2"/>
      <c r="BZ519" s="2"/>
      <c r="CA519" s="2"/>
      <c r="CB519" s="2"/>
      <c r="CC519" s="2"/>
      <c r="CD519" s="3"/>
      <c r="CE519" s="2"/>
      <c r="CF519" s="4"/>
      <c r="CG519" s="4"/>
      <c r="CI519" s="2"/>
    </row>
    <row r="520" spans="1:87" s="101" customFormat="1" x14ac:dyDescent="0.35">
      <c r="A520" s="1"/>
      <c r="C520" s="1"/>
      <c r="G520" s="2"/>
      <c r="H520" s="2"/>
      <c r="I520" s="2"/>
      <c r="J520" s="2"/>
      <c r="K520" s="81"/>
      <c r="L520" s="4"/>
      <c r="M520" s="4"/>
      <c r="N520" s="4"/>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3"/>
      <c r="AP520" s="2"/>
      <c r="AQ520" s="2"/>
      <c r="AR520" s="2"/>
      <c r="AS520" s="2"/>
      <c r="AT520" s="2"/>
      <c r="AU520" s="2"/>
      <c r="AV520" s="2"/>
      <c r="AW520" s="2"/>
      <c r="AX520" s="2"/>
      <c r="AY520" s="2"/>
      <c r="AZ520" s="5"/>
      <c r="BA520" s="2"/>
      <c r="BD520" s="2"/>
      <c r="BE520" s="2"/>
      <c r="BF520" s="2"/>
      <c r="BG520" s="2"/>
      <c r="BH520" s="2"/>
      <c r="BI520" s="2"/>
      <c r="BJ520" s="2"/>
      <c r="BK520" s="2"/>
      <c r="BM520" s="2"/>
      <c r="BN520" s="2"/>
      <c r="BO520" s="2"/>
      <c r="BP520" s="2"/>
      <c r="BQ520" s="2"/>
      <c r="BR520" s="6"/>
      <c r="BS520" s="6"/>
      <c r="BT520" s="2"/>
      <c r="BU520" s="2"/>
      <c r="BV520" s="2"/>
      <c r="BW520" s="2"/>
      <c r="BX520" s="2"/>
      <c r="BY520" s="2"/>
      <c r="BZ520" s="2"/>
      <c r="CA520" s="2"/>
      <c r="CB520" s="2"/>
      <c r="CC520" s="2"/>
      <c r="CD520" s="3"/>
      <c r="CE520" s="2"/>
      <c r="CF520" s="4"/>
      <c r="CG520" s="4"/>
      <c r="CI520" s="2"/>
    </row>
    <row r="521" spans="1:87" s="101" customFormat="1" x14ac:dyDescent="0.35">
      <c r="A521" s="1"/>
      <c r="C521" s="1"/>
      <c r="G521" s="2"/>
      <c r="H521" s="2"/>
      <c r="I521" s="2"/>
      <c r="J521" s="2"/>
      <c r="K521" s="81"/>
      <c r="L521" s="4"/>
      <c r="M521" s="4"/>
      <c r="N521" s="4"/>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3"/>
      <c r="AP521" s="2"/>
      <c r="AQ521" s="2"/>
      <c r="AR521" s="2"/>
      <c r="AS521" s="2"/>
      <c r="AT521" s="2"/>
      <c r="AU521" s="2"/>
      <c r="AV521" s="2"/>
      <c r="AW521" s="2"/>
      <c r="AX521" s="2"/>
      <c r="AY521" s="2"/>
      <c r="AZ521" s="5"/>
      <c r="BA521" s="2"/>
      <c r="BD521" s="2"/>
      <c r="BE521" s="2"/>
      <c r="BF521" s="2"/>
      <c r="BG521" s="2"/>
      <c r="BH521" s="2"/>
      <c r="BI521" s="2"/>
      <c r="BJ521" s="2"/>
      <c r="BK521" s="2"/>
      <c r="BM521" s="2"/>
      <c r="BN521" s="2"/>
      <c r="BO521" s="2"/>
      <c r="BP521" s="2"/>
      <c r="BQ521" s="2"/>
      <c r="BR521" s="6"/>
      <c r="BS521" s="6"/>
      <c r="BT521" s="2"/>
      <c r="BU521" s="2"/>
      <c r="BV521" s="2"/>
      <c r="BW521" s="2"/>
      <c r="BX521" s="2"/>
      <c r="BY521" s="2"/>
      <c r="BZ521" s="2"/>
      <c r="CA521" s="2"/>
      <c r="CB521" s="2"/>
      <c r="CC521" s="2"/>
      <c r="CD521" s="3"/>
      <c r="CE521" s="2"/>
      <c r="CF521" s="4"/>
      <c r="CG521" s="4"/>
      <c r="CI521" s="2"/>
    </row>
    <row r="522" spans="1:87" s="101" customFormat="1" x14ac:dyDescent="0.35">
      <c r="A522" s="1"/>
      <c r="C522" s="1"/>
      <c r="G522" s="2"/>
      <c r="H522" s="2"/>
      <c r="I522" s="2"/>
      <c r="J522" s="2"/>
      <c r="K522" s="81"/>
      <c r="L522" s="4"/>
      <c r="M522" s="4"/>
      <c r="N522" s="4"/>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3"/>
      <c r="AP522" s="2"/>
      <c r="AQ522" s="2"/>
      <c r="AR522" s="2"/>
      <c r="AS522" s="2"/>
      <c r="AT522" s="2"/>
      <c r="AU522" s="2"/>
      <c r="AV522" s="2"/>
      <c r="AW522" s="2"/>
      <c r="AX522" s="2"/>
      <c r="AY522" s="2"/>
      <c r="AZ522" s="5"/>
      <c r="BA522" s="2"/>
      <c r="BD522" s="2"/>
      <c r="BE522" s="2"/>
      <c r="BF522" s="2"/>
      <c r="BG522" s="2"/>
      <c r="BH522" s="2"/>
      <c r="BI522" s="2"/>
      <c r="BJ522" s="2"/>
      <c r="BK522" s="2"/>
      <c r="BM522" s="2"/>
      <c r="BN522" s="2"/>
      <c r="BO522" s="2"/>
      <c r="BP522" s="2"/>
      <c r="BQ522" s="2"/>
      <c r="BR522" s="6"/>
      <c r="BS522" s="6"/>
      <c r="BT522" s="2"/>
      <c r="BU522" s="2"/>
      <c r="BV522" s="2"/>
      <c r="BW522" s="2"/>
      <c r="BX522" s="2"/>
      <c r="BY522" s="2"/>
      <c r="BZ522" s="2"/>
      <c r="CA522" s="2"/>
      <c r="CB522" s="2"/>
      <c r="CC522" s="2"/>
      <c r="CD522" s="3"/>
      <c r="CE522" s="2"/>
      <c r="CF522" s="4"/>
      <c r="CG522" s="4"/>
      <c r="CI522" s="2"/>
    </row>
    <row r="523" spans="1:87" s="101" customFormat="1" x14ac:dyDescent="0.35">
      <c r="A523" s="1"/>
      <c r="C523" s="1"/>
      <c r="G523" s="2"/>
      <c r="H523" s="2"/>
      <c r="I523" s="2"/>
      <c r="J523" s="2"/>
      <c r="K523" s="81"/>
      <c r="L523" s="4"/>
      <c r="M523" s="4"/>
      <c r="N523" s="4"/>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3"/>
      <c r="AP523" s="2"/>
      <c r="AQ523" s="2"/>
      <c r="AR523" s="2"/>
      <c r="AS523" s="2"/>
      <c r="AT523" s="2"/>
      <c r="AU523" s="2"/>
      <c r="AV523" s="2"/>
      <c r="AW523" s="2"/>
      <c r="AX523" s="2"/>
      <c r="AY523" s="2"/>
      <c r="AZ523" s="5"/>
      <c r="BA523" s="2"/>
      <c r="BD523" s="2"/>
      <c r="BE523" s="2"/>
      <c r="BF523" s="2"/>
      <c r="BG523" s="2"/>
      <c r="BH523" s="2"/>
      <c r="BI523" s="2"/>
      <c r="BJ523" s="2"/>
      <c r="BK523" s="2"/>
      <c r="BM523" s="2"/>
      <c r="BN523" s="2"/>
      <c r="BO523" s="2"/>
      <c r="BP523" s="2"/>
      <c r="BQ523" s="2"/>
      <c r="BR523" s="6"/>
      <c r="BS523" s="6"/>
      <c r="BT523" s="2"/>
      <c r="BU523" s="2"/>
      <c r="BV523" s="2"/>
      <c r="BW523" s="2"/>
      <c r="BX523" s="2"/>
      <c r="BY523" s="2"/>
      <c r="BZ523" s="2"/>
      <c r="CA523" s="2"/>
      <c r="CB523" s="2"/>
      <c r="CC523" s="2"/>
      <c r="CD523" s="3"/>
      <c r="CE523" s="2"/>
      <c r="CF523" s="4"/>
      <c r="CG523" s="4"/>
      <c r="CI523" s="2"/>
    </row>
    <row r="524" spans="1:87" s="101" customFormat="1" x14ac:dyDescent="0.35">
      <c r="A524" s="1"/>
      <c r="C524" s="1"/>
      <c r="G524" s="2"/>
      <c r="H524" s="2"/>
      <c r="I524" s="2"/>
      <c r="J524" s="2"/>
      <c r="K524" s="81"/>
      <c r="L524" s="4"/>
      <c r="M524" s="4"/>
      <c r="N524" s="4"/>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3"/>
      <c r="AP524" s="2"/>
      <c r="AQ524" s="2"/>
      <c r="AR524" s="2"/>
      <c r="AS524" s="2"/>
      <c r="AT524" s="2"/>
      <c r="AU524" s="2"/>
      <c r="AV524" s="2"/>
      <c r="AW524" s="2"/>
      <c r="AX524" s="2"/>
      <c r="AY524" s="2"/>
      <c r="AZ524" s="5"/>
      <c r="BA524" s="2"/>
      <c r="BD524" s="2"/>
      <c r="BE524" s="2"/>
      <c r="BF524" s="2"/>
      <c r="BG524" s="2"/>
      <c r="BH524" s="2"/>
      <c r="BI524" s="2"/>
      <c r="BJ524" s="2"/>
      <c r="BK524" s="2"/>
      <c r="BM524" s="2"/>
      <c r="BN524" s="2"/>
      <c r="BO524" s="2"/>
      <c r="BP524" s="2"/>
      <c r="BQ524" s="2"/>
      <c r="BR524" s="6"/>
      <c r="BS524" s="6"/>
      <c r="BT524" s="2"/>
      <c r="BU524" s="2"/>
      <c r="BV524" s="2"/>
      <c r="BW524" s="2"/>
      <c r="BX524" s="2"/>
      <c r="BY524" s="2"/>
      <c r="BZ524" s="2"/>
      <c r="CA524" s="2"/>
      <c r="CB524" s="2"/>
      <c r="CC524" s="2"/>
      <c r="CD524" s="3"/>
      <c r="CE524" s="2"/>
      <c r="CF524" s="4"/>
      <c r="CG524" s="4"/>
      <c r="CI524" s="2"/>
    </row>
    <row r="525" spans="1:87" s="101" customFormat="1" x14ac:dyDescent="0.35">
      <c r="A525" s="1"/>
      <c r="C525" s="1"/>
      <c r="G525" s="2"/>
      <c r="H525" s="2"/>
      <c r="I525" s="2"/>
      <c r="J525" s="2"/>
      <c r="K525" s="81"/>
      <c r="L525" s="4"/>
      <c r="M525" s="4"/>
      <c r="N525" s="4"/>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3"/>
      <c r="AP525" s="2"/>
      <c r="AQ525" s="2"/>
      <c r="AR525" s="2"/>
      <c r="AS525" s="2"/>
      <c r="AT525" s="2"/>
      <c r="AU525" s="2"/>
      <c r="AV525" s="2"/>
      <c r="AW525" s="2"/>
      <c r="AX525" s="2"/>
      <c r="AY525" s="2"/>
      <c r="AZ525" s="5"/>
      <c r="BA525" s="2"/>
      <c r="BD525" s="2"/>
      <c r="BE525" s="2"/>
      <c r="BF525" s="2"/>
      <c r="BG525" s="2"/>
      <c r="BH525" s="2"/>
      <c r="BI525" s="2"/>
      <c r="BJ525" s="2"/>
      <c r="BK525" s="2"/>
      <c r="BM525" s="2"/>
      <c r="BN525" s="2"/>
      <c r="BO525" s="2"/>
      <c r="BP525" s="2"/>
      <c r="BQ525" s="2"/>
      <c r="BR525" s="6"/>
      <c r="BS525" s="6"/>
      <c r="BT525" s="2"/>
      <c r="BU525" s="2"/>
      <c r="BV525" s="2"/>
      <c r="BW525" s="2"/>
      <c r="BX525" s="2"/>
      <c r="BY525" s="2"/>
      <c r="BZ525" s="2"/>
      <c r="CA525" s="2"/>
      <c r="CB525" s="2"/>
      <c r="CC525" s="2"/>
      <c r="CD525" s="3"/>
      <c r="CE525" s="2"/>
      <c r="CF525" s="4"/>
      <c r="CG525" s="4"/>
      <c r="CI525" s="2"/>
    </row>
    <row r="526" spans="1:87" s="101" customFormat="1" x14ac:dyDescent="0.35">
      <c r="A526" s="1"/>
      <c r="C526" s="1"/>
      <c r="G526" s="2"/>
      <c r="H526" s="2"/>
      <c r="I526" s="2"/>
      <c r="J526" s="2"/>
      <c r="K526" s="81"/>
      <c r="L526" s="4"/>
      <c r="M526" s="4"/>
      <c r="N526" s="4"/>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3"/>
      <c r="AP526" s="2"/>
      <c r="AQ526" s="2"/>
      <c r="AR526" s="2"/>
      <c r="AS526" s="2"/>
      <c r="AT526" s="2"/>
      <c r="AU526" s="2"/>
      <c r="AV526" s="2"/>
      <c r="AW526" s="2"/>
      <c r="AX526" s="2"/>
      <c r="AY526" s="2"/>
      <c r="AZ526" s="5"/>
      <c r="BA526" s="2"/>
      <c r="BD526" s="2"/>
      <c r="BE526" s="2"/>
      <c r="BF526" s="2"/>
      <c r="BG526" s="2"/>
      <c r="BH526" s="2"/>
      <c r="BI526" s="2"/>
      <c r="BJ526" s="2"/>
      <c r="BK526" s="2"/>
      <c r="BM526" s="2"/>
      <c r="BN526" s="2"/>
      <c r="BO526" s="2"/>
      <c r="BP526" s="2"/>
      <c r="BQ526" s="2"/>
      <c r="BR526" s="6"/>
      <c r="BS526" s="6"/>
      <c r="BT526" s="2"/>
      <c r="BU526" s="2"/>
      <c r="BV526" s="2"/>
      <c r="BW526" s="2"/>
      <c r="BX526" s="2"/>
      <c r="BY526" s="2"/>
      <c r="BZ526" s="2"/>
      <c r="CA526" s="2"/>
      <c r="CB526" s="2"/>
      <c r="CC526" s="2"/>
      <c r="CD526" s="3"/>
      <c r="CE526" s="2"/>
      <c r="CF526" s="4"/>
      <c r="CG526" s="4"/>
      <c r="CI526" s="2"/>
    </row>
    <row r="527" spans="1:87" s="101" customFormat="1" x14ac:dyDescent="0.35">
      <c r="A527" s="1"/>
      <c r="C527" s="1"/>
      <c r="G527" s="2"/>
      <c r="H527" s="2"/>
      <c r="I527" s="2"/>
      <c r="J527" s="2"/>
      <c r="K527" s="81"/>
      <c r="L527" s="4"/>
      <c r="M527" s="4"/>
      <c r="N527" s="4"/>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3"/>
      <c r="AP527" s="2"/>
      <c r="AQ527" s="2"/>
      <c r="AR527" s="2"/>
      <c r="AS527" s="2"/>
      <c r="AT527" s="2"/>
      <c r="AU527" s="2"/>
      <c r="AV527" s="2"/>
      <c r="AW527" s="2"/>
      <c r="AX527" s="2"/>
      <c r="AY527" s="2"/>
      <c r="AZ527" s="5"/>
      <c r="BA527" s="2"/>
      <c r="BD527" s="2"/>
      <c r="BE527" s="2"/>
      <c r="BF527" s="2"/>
      <c r="BG527" s="2"/>
      <c r="BH527" s="2"/>
      <c r="BI527" s="2"/>
      <c r="BJ527" s="2"/>
      <c r="BK527" s="2"/>
      <c r="BM527" s="2"/>
      <c r="BN527" s="2"/>
      <c r="BO527" s="2"/>
      <c r="BP527" s="2"/>
      <c r="BQ527" s="2"/>
      <c r="BR527" s="6"/>
      <c r="BS527" s="6"/>
      <c r="BT527" s="2"/>
      <c r="BU527" s="2"/>
      <c r="BV527" s="2"/>
      <c r="BW527" s="2"/>
      <c r="BX527" s="2"/>
      <c r="BY527" s="2"/>
      <c r="BZ527" s="2"/>
      <c r="CA527" s="2"/>
      <c r="CB527" s="2"/>
      <c r="CC527" s="2"/>
      <c r="CD527" s="3"/>
      <c r="CE527" s="2"/>
      <c r="CF527" s="4"/>
      <c r="CG527" s="4"/>
      <c r="CI527" s="2"/>
    </row>
    <row r="528" spans="1:87" s="101" customFormat="1" x14ac:dyDescent="0.35">
      <c r="A528" s="1"/>
      <c r="C528" s="1"/>
      <c r="G528" s="2"/>
      <c r="H528" s="2"/>
      <c r="I528" s="2"/>
      <c r="J528" s="2"/>
      <c r="K528" s="81"/>
      <c r="L528" s="4"/>
      <c r="M528" s="4"/>
      <c r="N528" s="4"/>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3"/>
      <c r="AP528" s="2"/>
      <c r="AQ528" s="2"/>
      <c r="AR528" s="2"/>
      <c r="AS528" s="2"/>
      <c r="AT528" s="2"/>
      <c r="AU528" s="2"/>
      <c r="AV528" s="2"/>
      <c r="AW528" s="2"/>
      <c r="AX528" s="2"/>
      <c r="AY528" s="2"/>
      <c r="AZ528" s="5"/>
      <c r="BA528" s="2"/>
      <c r="BD528" s="2"/>
      <c r="BE528" s="2"/>
      <c r="BF528" s="2"/>
      <c r="BG528" s="2"/>
      <c r="BH528" s="2"/>
      <c r="BI528" s="2"/>
      <c r="BJ528" s="2"/>
      <c r="BK528" s="2"/>
      <c r="BM528" s="2"/>
      <c r="BN528" s="2"/>
      <c r="BO528" s="2"/>
      <c r="BP528" s="2"/>
      <c r="BQ528" s="2"/>
      <c r="BR528" s="6"/>
      <c r="BS528" s="6"/>
      <c r="BT528" s="2"/>
      <c r="BU528" s="2"/>
      <c r="BV528" s="2"/>
      <c r="BW528" s="2"/>
      <c r="BX528" s="2"/>
      <c r="BY528" s="2"/>
      <c r="BZ528" s="2"/>
      <c r="CA528" s="2"/>
      <c r="CB528" s="2"/>
      <c r="CC528" s="2"/>
      <c r="CD528" s="3"/>
      <c r="CE528" s="2"/>
      <c r="CF528" s="4"/>
      <c r="CG528" s="4"/>
      <c r="CI528" s="2"/>
    </row>
    <row r="529" spans="1:87" s="101" customFormat="1" x14ac:dyDescent="0.35">
      <c r="A529" s="1"/>
      <c r="C529" s="1"/>
      <c r="G529" s="2"/>
      <c r="H529" s="2"/>
      <c r="I529" s="2"/>
      <c r="J529" s="2"/>
      <c r="K529" s="81"/>
      <c r="L529" s="4"/>
      <c r="M529" s="4"/>
      <c r="N529" s="4"/>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3"/>
      <c r="AP529" s="2"/>
      <c r="AQ529" s="2"/>
      <c r="AR529" s="2"/>
      <c r="AS529" s="2"/>
      <c r="AT529" s="2"/>
      <c r="AU529" s="2"/>
      <c r="AV529" s="2"/>
      <c r="AW529" s="2"/>
      <c r="AX529" s="2"/>
      <c r="AY529" s="2"/>
      <c r="AZ529" s="5"/>
      <c r="BA529" s="2"/>
      <c r="BD529" s="2"/>
      <c r="BE529" s="2"/>
      <c r="BF529" s="2"/>
      <c r="BG529" s="2"/>
      <c r="BH529" s="2"/>
      <c r="BI529" s="2"/>
      <c r="BJ529" s="2"/>
      <c r="BK529" s="2"/>
      <c r="BM529" s="2"/>
      <c r="BN529" s="2"/>
      <c r="BO529" s="2"/>
      <c r="BP529" s="2"/>
      <c r="BQ529" s="2"/>
      <c r="BR529" s="6"/>
      <c r="BS529" s="6"/>
      <c r="BT529" s="2"/>
      <c r="BU529" s="2"/>
      <c r="BV529" s="2"/>
      <c r="BW529" s="2"/>
      <c r="BX529" s="2"/>
      <c r="BY529" s="2"/>
      <c r="BZ529" s="2"/>
      <c r="CA529" s="2"/>
      <c r="CB529" s="2"/>
      <c r="CC529" s="2"/>
      <c r="CD529" s="3"/>
      <c r="CE529" s="2"/>
      <c r="CF529" s="4"/>
      <c r="CG529" s="4"/>
      <c r="CI529" s="2"/>
    </row>
    <row r="530" spans="1:87" s="101" customFormat="1" x14ac:dyDescent="0.35">
      <c r="A530" s="1"/>
      <c r="C530" s="1"/>
      <c r="G530" s="2"/>
      <c r="H530" s="2"/>
      <c r="I530" s="2"/>
      <c r="J530" s="2"/>
      <c r="K530" s="81"/>
      <c r="L530" s="4"/>
      <c r="M530" s="4"/>
      <c r="N530" s="4"/>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3"/>
      <c r="AP530" s="2"/>
      <c r="AQ530" s="2"/>
      <c r="AR530" s="2"/>
      <c r="AS530" s="2"/>
      <c r="AT530" s="2"/>
      <c r="AU530" s="2"/>
      <c r="AV530" s="2"/>
      <c r="AW530" s="2"/>
      <c r="AX530" s="2"/>
      <c r="AY530" s="2"/>
      <c r="AZ530" s="5"/>
      <c r="BA530" s="2"/>
      <c r="BD530" s="2"/>
      <c r="BE530" s="2"/>
      <c r="BF530" s="2"/>
      <c r="BG530" s="2"/>
      <c r="BH530" s="2"/>
      <c r="BI530" s="2"/>
      <c r="BJ530" s="2"/>
      <c r="BK530" s="2"/>
      <c r="BM530" s="2"/>
      <c r="BN530" s="2"/>
      <c r="BO530" s="2"/>
      <c r="BP530" s="2"/>
      <c r="BQ530" s="2"/>
      <c r="BR530" s="6"/>
      <c r="BS530" s="6"/>
      <c r="BT530" s="2"/>
      <c r="BU530" s="2"/>
      <c r="BV530" s="2"/>
      <c r="BW530" s="2"/>
      <c r="BX530" s="2"/>
      <c r="BY530" s="2"/>
      <c r="BZ530" s="2"/>
      <c r="CA530" s="2"/>
      <c r="CB530" s="2"/>
      <c r="CC530" s="2"/>
      <c r="CD530" s="3"/>
      <c r="CE530" s="2"/>
      <c r="CF530" s="4"/>
      <c r="CG530" s="4"/>
      <c r="CI530" s="2"/>
    </row>
    <row r="531" spans="1:87" s="101" customFormat="1" x14ac:dyDescent="0.35">
      <c r="A531" s="1"/>
      <c r="C531" s="1"/>
      <c r="G531" s="2"/>
      <c r="H531" s="2"/>
      <c r="I531" s="2"/>
      <c r="J531" s="2"/>
      <c r="K531" s="81"/>
      <c r="L531" s="4"/>
      <c r="M531" s="4"/>
      <c r="N531" s="4"/>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3"/>
      <c r="AP531" s="2"/>
      <c r="AQ531" s="2"/>
      <c r="AR531" s="2"/>
      <c r="AS531" s="2"/>
      <c r="AT531" s="2"/>
      <c r="AU531" s="2"/>
      <c r="AV531" s="2"/>
      <c r="AW531" s="2"/>
      <c r="AX531" s="2"/>
      <c r="AY531" s="2"/>
      <c r="AZ531" s="5"/>
      <c r="BA531" s="2"/>
      <c r="BD531" s="2"/>
      <c r="BE531" s="2"/>
      <c r="BF531" s="2"/>
      <c r="BG531" s="2"/>
      <c r="BH531" s="2"/>
      <c r="BI531" s="2"/>
      <c r="BJ531" s="2"/>
      <c r="BK531" s="2"/>
      <c r="BM531" s="2"/>
      <c r="BN531" s="2"/>
      <c r="BO531" s="2"/>
      <c r="BP531" s="2"/>
      <c r="BQ531" s="2"/>
      <c r="BR531" s="6"/>
      <c r="BS531" s="6"/>
      <c r="BT531" s="2"/>
      <c r="BU531" s="2"/>
      <c r="BV531" s="2"/>
      <c r="BW531" s="2"/>
      <c r="BX531" s="2"/>
      <c r="BY531" s="2"/>
      <c r="BZ531" s="2"/>
      <c r="CA531" s="2"/>
      <c r="CB531" s="2"/>
      <c r="CC531" s="2"/>
      <c r="CD531" s="3"/>
      <c r="CE531" s="2"/>
      <c r="CF531" s="4"/>
      <c r="CG531" s="4"/>
      <c r="CI531" s="2"/>
    </row>
    <row r="532" spans="1:87" s="101" customFormat="1" x14ac:dyDescent="0.35">
      <c r="A532" s="1"/>
      <c r="C532" s="1"/>
      <c r="G532" s="2"/>
      <c r="H532" s="2"/>
      <c r="I532" s="2"/>
      <c r="J532" s="2"/>
      <c r="K532" s="81"/>
      <c r="L532" s="4"/>
      <c r="M532" s="4"/>
      <c r="N532" s="4"/>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3"/>
      <c r="AP532" s="2"/>
      <c r="AQ532" s="2"/>
      <c r="AR532" s="2"/>
      <c r="AS532" s="2"/>
      <c r="AT532" s="2"/>
      <c r="AU532" s="2"/>
      <c r="AV532" s="2"/>
      <c r="AW532" s="2"/>
      <c r="AX532" s="2"/>
      <c r="AY532" s="2"/>
      <c r="AZ532" s="5"/>
      <c r="BA532" s="2"/>
      <c r="BD532" s="2"/>
      <c r="BE532" s="2"/>
      <c r="BF532" s="2"/>
      <c r="BG532" s="2"/>
      <c r="BH532" s="2"/>
      <c r="BI532" s="2"/>
      <c r="BJ532" s="2"/>
      <c r="BK532" s="2"/>
      <c r="BM532" s="2"/>
      <c r="BN532" s="2"/>
      <c r="BO532" s="2"/>
      <c r="BP532" s="2"/>
      <c r="BQ532" s="2"/>
      <c r="BR532" s="6"/>
      <c r="BS532" s="6"/>
      <c r="BT532" s="2"/>
      <c r="BU532" s="2"/>
      <c r="BV532" s="2"/>
      <c r="BW532" s="2"/>
      <c r="BX532" s="2"/>
      <c r="BY532" s="2"/>
      <c r="BZ532" s="2"/>
      <c r="CA532" s="2"/>
      <c r="CB532" s="2"/>
      <c r="CC532" s="2"/>
      <c r="CD532" s="3"/>
      <c r="CE532" s="2"/>
      <c r="CF532" s="4"/>
      <c r="CG532" s="4"/>
      <c r="CI532" s="2"/>
    </row>
    <row r="533" spans="1:87" s="101" customFormat="1" x14ac:dyDescent="0.35">
      <c r="A533" s="1"/>
      <c r="C533" s="1"/>
      <c r="G533" s="2"/>
      <c r="H533" s="2"/>
      <c r="I533" s="2"/>
      <c r="J533" s="2"/>
      <c r="K533" s="81"/>
      <c r="L533" s="4"/>
      <c r="M533" s="4"/>
      <c r="N533" s="4"/>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3"/>
      <c r="AP533" s="2"/>
      <c r="AQ533" s="2"/>
      <c r="AR533" s="2"/>
      <c r="AS533" s="2"/>
      <c r="AT533" s="2"/>
      <c r="AU533" s="2"/>
      <c r="AV533" s="2"/>
      <c r="AW533" s="2"/>
      <c r="AX533" s="2"/>
      <c r="AY533" s="2"/>
      <c r="AZ533" s="5"/>
      <c r="BA533" s="2"/>
      <c r="BD533" s="2"/>
      <c r="BE533" s="2"/>
      <c r="BF533" s="2"/>
      <c r="BG533" s="2"/>
      <c r="BH533" s="2"/>
      <c r="BI533" s="2"/>
      <c r="BJ533" s="2"/>
      <c r="BK533" s="2"/>
      <c r="BM533" s="2"/>
      <c r="BN533" s="2"/>
      <c r="BO533" s="2"/>
      <c r="BP533" s="2"/>
      <c r="BQ533" s="2"/>
      <c r="BR533" s="6"/>
      <c r="BS533" s="6"/>
      <c r="BT533" s="2"/>
      <c r="BU533" s="2"/>
      <c r="BV533" s="2"/>
      <c r="BW533" s="2"/>
      <c r="BX533" s="2"/>
      <c r="BY533" s="2"/>
      <c r="BZ533" s="2"/>
      <c r="CA533" s="2"/>
      <c r="CB533" s="2"/>
      <c r="CC533" s="2"/>
      <c r="CD533" s="3"/>
      <c r="CE533" s="2"/>
      <c r="CF533" s="4"/>
      <c r="CG533" s="4"/>
      <c r="CI533" s="2"/>
    </row>
    <row r="534" spans="1:87" s="101" customFormat="1" x14ac:dyDescent="0.35">
      <c r="A534" s="1"/>
      <c r="C534" s="1"/>
      <c r="G534" s="2"/>
      <c r="H534" s="2"/>
      <c r="I534" s="2"/>
      <c r="J534" s="2"/>
      <c r="K534" s="81"/>
      <c r="L534" s="4"/>
      <c r="M534" s="4"/>
      <c r="N534" s="4"/>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3"/>
      <c r="AP534" s="2"/>
      <c r="AQ534" s="2"/>
      <c r="AR534" s="2"/>
      <c r="AS534" s="2"/>
      <c r="AT534" s="2"/>
      <c r="AU534" s="2"/>
      <c r="AV534" s="2"/>
      <c r="AW534" s="2"/>
      <c r="AX534" s="2"/>
      <c r="AY534" s="2"/>
      <c r="AZ534" s="5"/>
      <c r="BA534" s="2"/>
      <c r="BD534" s="2"/>
      <c r="BE534" s="2"/>
      <c r="BF534" s="2"/>
      <c r="BG534" s="2"/>
      <c r="BH534" s="2"/>
      <c r="BI534" s="2"/>
      <c r="BJ534" s="2"/>
      <c r="BK534" s="2"/>
      <c r="BM534" s="2"/>
      <c r="BN534" s="2"/>
      <c r="BO534" s="2"/>
      <c r="BP534" s="2"/>
      <c r="BQ534" s="2"/>
      <c r="BR534" s="6"/>
      <c r="BS534" s="6"/>
      <c r="BT534" s="2"/>
      <c r="BU534" s="2"/>
      <c r="BV534" s="2"/>
      <c r="BW534" s="2"/>
      <c r="BX534" s="2"/>
      <c r="BY534" s="2"/>
      <c r="BZ534" s="2"/>
      <c r="CA534" s="2"/>
      <c r="CB534" s="2"/>
      <c r="CC534" s="2"/>
      <c r="CD534" s="3"/>
      <c r="CE534" s="2"/>
      <c r="CF534" s="4"/>
      <c r="CG534" s="4"/>
      <c r="CI534" s="2"/>
    </row>
    <row r="535" spans="1:87" s="101" customFormat="1" x14ac:dyDescent="0.35">
      <c r="A535" s="1"/>
      <c r="C535" s="1"/>
      <c r="G535" s="2"/>
      <c r="H535" s="2"/>
      <c r="I535" s="2"/>
      <c r="J535" s="2"/>
      <c r="K535" s="81"/>
      <c r="L535" s="4"/>
      <c r="M535" s="4"/>
      <c r="N535" s="4"/>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3"/>
      <c r="AP535" s="2"/>
      <c r="AQ535" s="2"/>
      <c r="AR535" s="2"/>
      <c r="AS535" s="2"/>
      <c r="AT535" s="2"/>
      <c r="AU535" s="2"/>
      <c r="AV535" s="2"/>
      <c r="AW535" s="2"/>
      <c r="AX535" s="2"/>
      <c r="AY535" s="2"/>
      <c r="AZ535" s="5"/>
      <c r="BA535" s="2"/>
      <c r="BD535" s="2"/>
      <c r="BE535" s="2"/>
      <c r="BF535" s="2"/>
      <c r="BG535" s="2"/>
      <c r="BH535" s="2"/>
      <c r="BI535" s="2"/>
      <c r="BJ535" s="2"/>
      <c r="BK535" s="2"/>
      <c r="BM535" s="2"/>
      <c r="BN535" s="2"/>
      <c r="BO535" s="2"/>
      <c r="BP535" s="2"/>
      <c r="BQ535" s="2"/>
      <c r="BR535" s="6"/>
      <c r="BS535" s="6"/>
      <c r="BT535" s="2"/>
      <c r="BU535" s="2"/>
      <c r="BV535" s="2"/>
      <c r="BW535" s="2"/>
      <c r="BX535" s="2"/>
      <c r="BY535" s="2"/>
      <c r="BZ535" s="2"/>
      <c r="CA535" s="2"/>
      <c r="CB535" s="2"/>
      <c r="CC535" s="2"/>
      <c r="CD535" s="3"/>
      <c r="CE535" s="2"/>
      <c r="CF535" s="4"/>
      <c r="CG535" s="4"/>
      <c r="CI535" s="2"/>
    </row>
    <row r="536" spans="1:87" s="101" customFormat="1" x14ac:dyDescent="0.35">
      <c r="A536" s="1"/>
      <c r="C536" s="1"/>
      <c r="G536" s="2"/>
      <c r="H536" s="2"/>
      <c r="I536" s="2"/>
      <c r="J536" s="2"/>
      <c r="K536" s="81"/>
      <c r="L536" s="4"/>
      <c r="M536" s="4"/>
      <c r="N536" s="4"/>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3"/>
      <c r="AP536" s="2"/>
      <c r="AQ536" s="2"/>
      <c r="AR536" s="2"/>
      <c r="AS536" s="2"/>
      <c r="AT536" s="2"/>
      <c r="AU536" s="2"/>
      <c r="AV536" s="2"/>
      <c r="AW536" s="2"/>
      <c r="AX536" s="2"/>
      <c r="AY536" s="2"/>
      <c r="AZ536" s="5"/>
      <c r="BA536" s="2"/>
      <c r="BD536" s="2"/>
      <c r="BE536" s="2"/>
      <c r="BF536" s="2"/>
      <c r="BG536" s="2"/>
      <c r="BH536" s="2"/>
      <c r="BI536" s="2"/>
      <c r="BJ536" s="2"/>
      <c r="BK536" s="2"/>
      <c r="BM536" s="2"/>
      <c r="BN536" s="2"/>
      <c r="BO536" s="2"/>
      <c r="BP536" s="2"/>
      <c r="BQ536" s="2"/>
      <c r="BR536" s="6"/>
      <c r="BS536" s="6"/>
      <c r="BT536" s="2"/>
      <c r="BU536" s="2"/>
      <c r="BV536" s="2"/>
      <c r="BW536" s="2"/>
      <c r="BX536" s="2"/>
      <c r="BY536" s="2"/>
      <c r="BZ536" s="2"/>
      <c r="CA536" s="2"/>
      <c r="CB536" s="2"/>
      <c r="CC536" s="2"/>
      <c r="CD536" s="3"/>
      <c r="CE536" s="2"/>
      <c r="CF536" s="4"/>
      <c r="CG536" s="4"/>
      <c r="CI536" s="2"/>
    </row>
    <row r="537" spans="1:87" s="101" customFormat="1" x14ac:dyDescent="0.35">
      <c r="A537" s="1"/>
      <c r="C537" s="1"/>
      <c r="G537" s="2"/>
      <c r="H537" s="2"/>
      <c r="I537" s="2"/>
      <c r="J537" s="2"/>
      <c r="K537" s="81"/>
      <c r="L537" s="4"/>
      <c r="M537" s="4"/>
      <c r="N537" s="4"/>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3"/>
      <c r="AP537" s="2"/>
      <c r="AQ537" s="2"/>
      <c r="AR537" s="2"/>
      <c r="AS537" s="2"/>
      <c r="AT537" s="2"/>
      <c r="AU537" s="2"/>
      <c r="AV537" s="2"/>
      <c r="AW537" s="2"/>
      <c r="AX537" s="2"/>
      <c r="AY537" s="2"/>
      <c r="AZ537" s="5"/>
      <c r="BA537" s="2"/>
      <c r="BD537" s="2"/>
      <c r="BE537" s="2"/>
      <c r="BF537" s="2"/>
      <c r="BG537" s="2"/>
      <c r="BH537" s="2"/>
      <c r="BI537" s="2"/>
      <c r="BJ537" s="2"/>
      <c r="BK537" s="2"/>
      <c r="BM537" s="2"/>
      <c r="BN537" s="2"/>
      <c r="BO537" s="2"/>
      <c r="BP537" s="2"/>
      <c r="BQ537" s="2"/>
      <c r="BR537" s="6"/>
      <c r="BS537" s="6"/>
      <c r="BT537" s="2"/>
      <c r="BU537" s="2"/>
      <c r="BV537" s="2"/>
      <c r="BW537" s="2"/>
      <c r="BX537" s="2"/>
      <c r="BY537" s="2"/>
      <c r="BZ537" s="2"/>
      <c r="CA537" s="2"/>
      <c r="CB537" s="2"/>
      <c r="CC537" s="2"/>
      <c r="CD537" s="3"/>
      <c r="CE537" s="2"/>
      <c r="CF537" s="4"/>
      <c r="CG537" s="4"/>
      <c r="CI537" s="2"/>
    </row>
    <row r="538" spans="1:87" s="101" customFormat="1" x14ac:dyDescent="0.35">
      <c r="A538" s="1"/>
      <c r="C538" s="1"/>
      <c r="G538" s="2"/>
      <c r="H538" s="2"/>
      <c r="I538" s="2"/>
      <c r="J538" s="2"/>
      <c r="K538" s="81"/>
      <c r="L538" s="4"/>
      <c r="M538" s="4"/>
      <c r="N538" s="4"/>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3"/>
      <c r="AP538" s="2"/>
      <c r="AQ538" s="2"/>
      <c r="AR538" s="2"/>
      <c r="AS538" s="2"/>
      <c r="AT538" s="2"/>
      <c r="AU538" s="2"/>
      <c r="AV538" s="2"/>
      <c r="AW538" s="2"/>
      <c r="AX538" s="2"/>
      <c r="AY538" s="2"/>
      <c r="AZ538" s="5"/>
      <c r="BA538" s="2"/>
      <c r="BD538" s="2"/>
      <c r="BE538" s="2"/>
      <c r="BF538" s="2"/>
      <c r="BG538" s="2"/>
      <c r="BH538" s="2"/>
      <c r="BI538" s="2"/>
      <c r="BJ538" s="2"/>
      <c r="BK538" s="2"/>
      <c r="BM538" s="2"/>
      <c r="BN538" s="2"/>
      <c r="BO538" s="2"/>
      <c r="BP538" s="2"/>
      <c r="BQ538" s="2"/>
      <c r="BR538" s="6"/>
      <c r="BS538" s="6"/>
      <c r="BT538" s="2"/>
      <c r="BU538" s="2"/>
      <c r="BV538" s="2"/>
      <c r="BW538" s="2"/>
      <c r="BX538" s="2"/>
      <c r="BY538" s="2"/>
      <c r="BZ538" s="2"/>
      <c r="CA538" s="2"/>
      <c r="CB538" s="2"/>
      <c r="CC538" s="2"/>
      <c r="CD538" s="3"/>
      <c r="CE538" s="2"/>
      <c r="CF538" s="4"/>
      <c r="CG538" s="4"/>
      <c r="CI538" s="2"/>
    </row>
    <row r="539" spans="1:87" s="101" customFormat="1" x14ac:dyDescent="0.35">
      <c r="A539" s="1"/>
      <c r="C539" s="1"/>
      <c r="G539" s="2"/>
      <c r="H539" s="2"/>
      <c r="I539" s="2"/>
      <c r="J539" s="2"/>
      <c r="K539" s="81"/>
      <c r="L539" s="4"/>
      <c r="M539" s="4"/>
      <c r="N539" s="4"/>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3"/>
      <c r="AP539" s="2"/>
      <c r="AQ539" s="2"/>
      <c r="AR539" s="2"/>
      <c r="AS539" s="2"/>
      <c r="AT539" s="2"/>
      <c r="AU539" s="2"/>
      <c r="AV539" s="2"/>
      <c r="AW539" s="2"/>
      <c r="AX539" s="2"/>
      <c r="AY539" s="2"/>
      <c r="AZ539" s="5"/>
      <c r="BA539" s="2"/>
      <c r="BD539" s="2"/>
      <c r="BE539" s="2"/>
      <c r="BF539" s="2"/>
      <c r="BG539" s="2"/>
      <c r="BH539" s="2"/>
      <c r="BI539" s="2"/>
      <c r="BJ539" s="2"/>
      <c r="BK539" s="2"/>
      <c r="BM539" s="2"/>
      <c r="BN539" s="2"/>
      <c r="BO539" s="2"/>
      <c r="BP539" s="2"/>
      <c r="BQ539" s="2"/>
      <c r="BR539" s="6"/>
      <c r="BS539" s="6"/>
      <c r="BT539" s="2"/>
      <c r="BU539" s="2"/>
      <c r="BV539" s="2"/>
      <c r="BW539" s="2"/>
      <c r="BX539" s="2"/>
      <c r="BY539" s="2"/>
      <c r="BZ539" s="2"/>
      <c r="CA539" s="2"/>
      <c r="CB539" s="2"/>
      <c r="CC539" s="2"/>
      <c r="CD539" s="3"/>
      <c r="CE539" s="2"/>
      <c r="CF539" s="4"/>
      <c r="CG539" s="4"/>
      <c r="CI539" s="2"/>
    </row>
    <row r="540" spans="1:87" s="101" customFormat="1" x14ac:dyDescent="0.35">
      <c r="A540" s="1"/>
      <c r="C540" s="1"/>
      <c r="G540" s="2"/>
      <c r="H540" s="2"/>
      <c r="I540" s="2"/>
      <c r="J540" s="2"/>
      <c r="K540" s="81"/>
      <c r="L540" s="4"/>
      <c r="M540" s="4"/>
      <c r="N540" s="4"/>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3"/>
      <c r="AP540" s="2"/>
      <c r="AQ540" s="2"/>
      <c r="AR540" s="2"/>
      <c r="AS540" s="2"/>
      <c r="AT540" s="2"/>
      <c r="AU540" s="2"/>
      <c r="AV540" s="2"/>
      <c r="AW540" s="2"/>
      <c r="AX540" s="2"/>
      <c r="AY540" s="2"/>
      <c r="AZ540" s="5"/>
      <c r="BA540" s="2"/>
      <c r="BD540" s="2"/>
      <c r="BE540" s="2"/>
      <c r="BF540" s="2"/>
      <c r="BG540" s="2"/>
      <c r="BH540" s="2"/>
      <c r="BI540" s="2"/>
      <c r="BJ540" s="2"/>
      <c r="BK540" s="2"/>
      <c r="BM540" s="2"/>
      <c r="BN540" s="2"/>
      <c r="BO540" s="2"/>
      <c r="BP540" s="2"/>
      <c r="BQ540" s="2"/>
      <c r="BR540" s="6"/>
      <c r="BS540" s="6"/>
      <c r="BT540" s="2"/>
      <c r="BU540" s="2"/>
      <c r="BV540" s="2"/>
      <c r="BW540" s="2"/>
      <c r="BX540" s="2"/>
      <c r="BY540" s="2"/>
      <c r="BZ540" s="2"/>
      <c r="CA540" s="2"/>
      <c r="CB540" s="2"/>
      <c r="CC540" s="2"/>
      <c r="CD540" s="3"/>
      <c r="CE540" s="2"/>
      <c r="CF540" s="4"/>
      <c r="CG540" s="4"/>
      <c r="CI540" s="2"/>
    </row>
    <row r="541" spans="1:87" s="101" customFormat="1" x14ac:dyDescent="0.35">
      <c r="A541" s="1"/>
      <c r="C541" s="1"/>
      <c r="G541" s="2"/>
      <c r="H541" s="2"/>
      <c r="I541" s="2"/>
      <c r="J541" s="2"/>
      <c r="K541" s="81"/>
      <c r="L541" s="4"/>
      <c r="M541" s="4"/>
      <c r="N541" s="4"/>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3"/>
      <c r="AP541" s="2"/>
      <c r="AQ541" s="2"/>
      <c r="AR541" s="2"/>
      <c r="AS541" s="2"/>
      <c r="AT541" s="2"/>
      <c r="AU541" s="2"/>
      <c r="AV541" s="2"/>
      <c r="AW541" s="2"/>
      <c r="AX541" s="2"/>
      <c r="AY541" s="2"/>
      <c r="AZ541" s="5"/>
      <c r="BA541" s="2"/>
      <c r="BD541" s="2"/>
      <c r="BE541" s="2"/>
      <c r="BF541" s="2"/>
      <c r="BG541" s="2"/>
      <c r="BH541" s="2"/>
      <c r="BI541" s="2"/>
      <c r="BJ541" s="2"/>
      <c r="BK541" s="2"/>
      <c r="BM541" s="2"/>
      <c r="BN541" s="2"/>
      <c r="BO541" s="2"/>
      <c r="BP541" s="2"/>
      <c r="BQ541" s="2"/>
      <c r="BR541" s="6"/>
      <c r="BS541" s="6"/>
      <c r="BT541" s="2"/>
      <c r="BU541" s="2"/>
      <c r="BV541" s="2"/>
      <c r="BW541" s="2"/>
      <c r="BX541" s="2"/>
      <c r="BY541" s="2"/>
      <c r="BZ541" s="2"/>
      <c r="CA541" s="2"/>
      <c r="CB541" s="2"/>
      <c r="CC541" s="2"/>
      <c r="CD541" s="3"/>
      <c r="CE541" s="2"/>
      <c r="CF541" s="4"/>
      <c r="CG541" s="4"/>
      <c r="CI541" s="2"/>
    </row>
    <row r="542" spans="1:87" s="101" customFormat="1" x14ac:dyDescent="0.35">
      <c r="A542" s="1"/>
      <c r="C542" s="1"/>
      <c r="G542" s="2"/>
      <c r="H542" s="2"/>
      <c r="I542" s="2"/>
      <c r="J542" s="2"/>
      <c r="K542" s="81"/>
      <c r="L542" s="4"/>
      <c r="M542" s="4"/>
      <c r="N542" s="4"/>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3"/>
      <c r="AP542" s="2"/>
      <c r="AQ542" s="2"/>
      <c r="AR542" s="2"/>
      <c r="AS542" s="2"/>
      <c r="AT542" s="2"/>
      <c r="AU542" s="2"/>
      <c r="AV542" s="2"/>
      <c r="AW542" s="2"/>
      <c r="AX542" s="2"/>
      <c r="AY542" s="2"/>
      <c r="AZ542" s="5"/>
      <c r="BA542" s="2"/>
      <c r="BD542" s="2"/>
      <c r="BE542" s="2"/>
      <c r="BF542" s="2"/>
      <c r="BG542" s="2"/>
      <c r="BH542" s="2"/>
      <c r="BI542" s="2"/>
      <c r="BJ542" s="2"/>
      <c r="BK542" s="2"/>
      <c r="BM542" s="2"/>
      <c r="BN542" s="2"/>
      <c r="BO542" s="2"/>
      <c r="BP542" s="2"/>
      <c r="BQ542" s="2"/>
      <c r="BR542" s="6"/>
      <c r="BS542" s="6"/>
      <c r="BT542" s="2"/>
      <c r="BU542" s="2"/>
      <c r="BV542" s="2"/>
      <c r="BW542" s="2"/>
      <c r="BX542" s="2"/>
      <c r="BY542" s="2"/>
      <c r="BZ542" s="2"/>
      <c r="CA542" s="2"/>
      <c r="CB542" s="2"/>
      <c r="CC542" s="2"/>
      <c r="CD542" s="3"/>
      <c r="CE542" s="2"/>
      <c r="CF542" s="4"/>
      <c r="CG542" s="4"/>
      <c r="CI542" s="2"/>
    </row>
    <row r="543" spans="1:87" s="101" customFormat="1" x14ac:dyDescent="0.35">
      <c r="A543" s="1"/>
      <c r="C543" s="1"/>
      <c r="G543" s="2"/>
      <c r="H543" s="2"/>
      <c r="I543" s="2"/>
      <c r="J543" s="2"/>
      <c r="K543" s="81"/>
      <c r="L543" s="4"/>
      <c r="M543" s="4"/>
      <c r="N543" s="4"/>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3"/>
      <c r="AP543" s="2"/>
      <c r="AQ543" s="2"/>
      <c r="AR543" s="2"/>
      <c r="AS543" s="2"/>
      <c r="AT543" s="2"/>
      <c r="AU543" s="2"/>
      <c r="AV543" s="2"/>
      <c r="AW543" s="2"/>
      <c r="AX543" s="2"/>
      <c r="AY543" s="2"/>
      <c r="AZ543" s="5"/>
      <c r="BA543" s="2"/>
      <c r="BD543" s="2"/>
      <c r="BE543" s="2"/>
      <c r="BF543" s="2"/>
      <c r="BG543" s="2"/>
      <c r="BH543" s="2"/>
      <c r="BI543" s="2"/>
      <c r="BJ543" s="2"/>
      <c r="BK543" s="2"/>
      <c r="BM543" s="2"/>
      <c r="BN543" s="2"/>
      <c r="BO543" s="2"/>
      <c r="BP543" s="2"/>
      <c r="BQ543" s="2"/>
      <c r="BR543" s="6"/>
      <c r="BS543" s="6"/>
      <c r="BT543" s="2"/>
      <c r="BU543" s="2"/>
      <c r="BV543" s="2"/>
      <c r="BW543" s="2"/>
      <c r="BX543" s="2"/>
      <c r="BY543" s="2"/>
      <c r="BZ543" s="2"/>
      <c r="CA543" s="2"/>
      <c r="CB543" s="2"/>
      <c r="CC543" s="2"/>
      <c r="CD543" s="3"/>
      <c r="CE543" s="2"/>
      <c r="CF543" s="4"/>
      <c r="CG543" s="4"/>
      <c r="CI543" s="2"/>
    </row>
    <row r="544" spans="1:87" s="101" customFormat="1" x14ac:dyDescent="0.35">
      <c r="A544" s="1"/>
      <c r="C544" s="1"/>
      <c r="G544" s="2"/>
      <c r="H544" s="2"/>
      <c r="I544" s="2"/>
      <c r="J544" s="2"/>
      <c r="K544" s="81"/>
      <c r="L544" s="4"/>
      <c r="M544" s="4"/>
      <c r="N544" s="4"/>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3"/>
      <c r="AP544" s="2"/>
      <c r="AQ544" s="2"/>
      <c r="AR544" s="2"/>
      <c r="AS544" s="2"/>
      <c r="AT544" s="2"/>
      <c r="AU544" s="2"/>
      <c r="AV544" s="2"/>
      <c r="AW544" s="2"/>
      <c r="AX544" s="2"/>
      <c r="AY544" s="2"/>
      <c r="AZ544" s="5"/>
      <c r="BA544" s="2"/>
      <c r="BD544" s="2"/>
      <c r="BE544" s="2"/>
      <c r="BF544" s="2"/>
      <c r="BG544" s="2"/>
      <c r="BH544" s="2"/>
      <c r="BI544" s="2"/>
      <c r="BJ544" s="2"/>
      <c r="BK544" s="2"/>
      <c r="BM544" s="2"/>
      <c r="BN544" s="2"/>
      <c r="BO544" s="2"/>
      <c r="BP544" s="2"/>
      <c r="BQ544" s="2"/>
      <c r="BR544" s="6"/>
      <c r="BS544" s="6"/>
      <c r="BT544" s="2"/>
      <c r="BU544" s="2"/>
      <c r="BV544" s="2"/>
      <c r="BW544" s="2"/>
      <c r="BX544" s="2"/>
      <c r="BY544" s="2"/>
      <c r="BZ544" s="2"/>
      <c r="CA544" s="2"/>
      <c r="CB544" s="2"/>
      <c r="CC544" s="2"/>
      <c r="CD544" s="3"/>
      <c r="CE544" s="2"/>
      <c r="CF544" s="4"/>
      <c r="CG544" s="4"/>
      <c r="CI544" s="2"/>
    </row>
    <row r="545" spans="1:87" s="101" customFormat="1" x14ac:dyDescent="0.35">
      <c r="A545" s="1"/>
      <c r="C545" s="1"/>
      <c r="G545" s="2"/>
      <c r="H545" s="2"/>
      <c r="I545" s="2"/>
      <c r="J545" s="2"/>
      <c r="K545" s="81"/>
      <c r="L545" s="4"/>
      <c r="M545" s="4"/>
      <c r="N545" s="4"/>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3"/>
      <c r="AP545" s="2"/>
      <c r="AQ545" s="2"/>
      <c r="AR545" s="2"/>
      <c r="AS545" s="2"/>
      <c r="AT545" s="2"/>
      <c r="AU545" s="2"/>
      <c r="AV545" s="2"/>
      <c r="AW545" s="2"/>
      <c r="AX545" s="2"/>
      <c r="AY545" s="2"/>
      <c r="AZ545" s="5"/>
      <c r="BA545" s="2"/>
      <c r="BD545" s="2"/>
      <c r="BE545" s="2"/>
      <c r="BF545" s="2"/>
      <c r="BG545" s="2"/>
      <c r="BH545" s="2"/>
      <c r="BI545" s="2"/>
      <c r="BJ545" s="2"/>
      <c r="BK545" s="2"/>
      <c r="BM545" s="2"/>
      <c r="BN545" s="2"/>
      <c r="BO545" s="2"/>
      <c r="BP545" s="2"/>
      <c r="BQ545" s="2"/>
      <c r="BR545" s="6"/>
      <c r="BS545" s="6"/>
      <c r="BT545" s="2"/>
      <c r="BU545" s="2"/>
      <c r="BV545" s="2"/>
      <c r="BW545" s="2"/>
      <c r="BX545" s="2"/>
      <c r="BY545" s="2"/>
      <c r="BZ545" s="2"/>
      <c r="CA545" s="2"/>
      <c r="CB545" s="2"/>
      <c r="CC545" s="2"/>
      <c r="CD545" s="3"/>
      <c r="CE545" s="2"/>
      <c r="CF545" s="4"/>
      <c r="CG545" s="4"/>
      <c r="CI545" s="2"/>
    </row>
    <row r="546" spans="1:87" s="101" customFormat="1" x14ac:dyDescent="0.35">
      <c r="A546" s="1"/>
      <c r="C546" s="1"/>
      <c r="G546" s="2"/>
      <c r="H546" s="2"/>
      <c r="I546" s="2"/>
      <c r="J546" s="2"/>
      <c r="K546" s="81"/>
      <c r="L546" s="4"/>
      <c r="M546" s="4"/>
      <c r="N546" s="4"/>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3"/>
      <c r="AP546" s="2"/>
      <c r="AQ546" s="2"/>
      <c r="AR546" s="2"/>
      <c r="AS546" s="2"/>
      <c r="AT546" s="2"/>
      <c r="AU546" s="2"/>
      <c r="AV546" s="2"/>
      <c r="AW546" s="2"/>
      <c r="AX546" s="2"/>
      <c r="AY546" s="2"/>
      <c r="AZ546" s="5"/>
      <c r="BA546" s="2"/>
      <c r="BD546" s="2"/>
      <c r="BE546" s="2"/>
      <c r="BF546" s="2"/>
      <c r="BG546" s="2"/>
      <c r="BH546" s="2"/>
      <c r="BI546" s="2"/>
      <c r="BJ546" s="2"/>
      <c r="BK546" s="2"/>
      <c r="BM546" s="2"/>
      <c r="BN546" s="2"/>
      <c r="BO546" s="2"/>
      <c r="BP546" s="2"/>
      <c r="BQ546" s="2"/>
      <c r="BR546" s="6"/>
      <c r="BS546" s="6"/>
      <c r="BT546" s="2"/>
      <c r="BU546" s="2"/>
      <c r="BV546" s="2"/>
      <c r="BW546" s="2"/>
      <c r="BX546" s="2"/>
      <c r="BY546" s="2"/>
      <c r="BZ546" s="2"/>
      <c r="CA546" s="2"/>
      <c r="CB546" s="2"/>
      <c r="CC546" s="2"/>
      <c r="CD546" s="3"/>
      <c r="CE546" s="2"/>
      <c r="CF546" s="4"/>
      <c r="CG546" s="4"/>
      <c r="CI546" s="2"/>
    </row>
    <row r="547" spans="1:87" s="101" customFormat="1" x14ac:dyDescent="0.35">
      <c r="A547" s="1"/>
      <c r="C547" s="1"/>
      <c r="G547" s="2"/>
      <c r="H547" s="2"/>
      <c r="I547" s="2"/>
      <c r="J547" s="2"/>
      <c r="K547" s="81"/>
      <c r="L547" s="4"/>
      <c r="M547" s="4"/>
      <c r="N547" s="4"/>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3"/>
      <c r="AP547" s="2"/>
      <c r="AQ547" s="2"/>
      <c r="AR547" s="2"/>
      <c r="AS547" s="2"/>
      <c r="AT547" s="2"/>
      <c r="AU547" s="2"/>
      <c r="AV547" s="2"/>
      <c r="AW547" s="2"/>
      <c r="AX547" s="2"/>
      <c r="AY547" s="2"/>
      <c r="AZ547" s="5"/>
      <c r="BA547" s="2"/>
      <c r="BD547" s="2"/>
      <c r="BE547" s="2"/>
      <c r="BF547" s="2"/>
      <c r="BG547" s="2"/>
      <c r="BH547" s="2"/>
      <c r="BI547" s="2"/>
      <c r="BJ547" s="2"/>
      <c r="BK547" s="2"/>
      <c r="BM547" s="2"/>
      <c r="BN547" s="2"/>
      <c r="BO547" s="2"/>
      <c r="BP547" s="2"/>
      <c r="BQ547" s="2"/>
      <c r="BR547" s="6"/>
      <c r="BS547" s="6"/>
      <c r="BT547" s="2"/>
      <c r="BU547" s="2"/>
      <c r="BV547" s="2"/>
      <c r="BW547" s="2"/>
      <c r="BX547" s="2"/>
      <c r="BY547" s="2"/>
      <c r="BZ547" s="2"/>
      <c r="CA547" s="2"/>
      <c r="CB547" s="2"/>
      <c r="CC547" s="2"/>
      <c r="CD547" s="3"/>
      <c r="CE547" s="2"/>
      <c r="CF547" s="4"/>
      <c r="CG547" s="4"/>
      <c r="CI547" s="2"/>
    </row>
    <row r="548" spans="1:87" s="101" customFormat="1" x14ac:dyDescent="0.35">
      <c r="A548" s="1"/>
      <c r="C548" s="1"/>
      <c r="G548" s="2"/>
      <c r="H548" s="2"/>
      <c r="I548" s="2"/>
      <c r="J548" s="2"/>
      <c r="K548" s="81"/>
      <c r="L548" s="4"/>
      <c r="M548" s="4"/>
      <c r="N548" s="4"/>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3"/>
      <c r="AP548" s="2"/>
      <c r="AQ548" s="2"/>
      <c r="AR548" s="2"/>
      <c r="AS548" s="2"/>
      <c r="AT548" s="2"/>
      <c r="AU548" s="2"/>
      <c r="AV548" s="2"/>
      <c r="AW548" s="2"/>
      <c r="AX548" s="2"/>
      <c r="AY548" s="2"/>
      <c r="AZ548" s="5"/>
      <c r="BA548" s="2"/>
      <c r="BD548" s="2"/>
      <c r="BE548" s="2"/>
      <c r="BF548" s="2"/>
      <c r="BG548" s="2"/>
      <c r="BH548" s="2"/>
      <c r="BI548" s="2"/>
      <c r="BJ548" s="2"/>
      <c r="BK548" s="2"/>
      <c r="BM548" s="2"/>
      <c r="BN548" s="2"/>
      <c r="BO548" s="2"/>
      <c r="BP548" s="2"/>
      <c r="BQ548" s="2"/>
      <c r="BR548" s="6"/>
      <c r="BS548" s="6"/>
      <c r="BT548" s="2"/>
      <c r="BU548" s="2"/>
      <c r="BV548" s="2"/>
      <c r="BW548" s="2"/>
      <c r="BX548" s="2"/>
      <c r="BY548" s="2"/>
      <c r="BZ548" s="2"/>
      <c r="CA548" s="2"/>
      <c r="CB548" s="2"/>
      <c r="CC548" s="2"/>
      <c r="CD548" s="3"/>
      <c r="CE548" s="2"/>
      <c r="CF548" s="4"/>
      <c r="CG548" s="4"/>
      <c r="CI548" s="2"/>
    </row>
    <row r="549" spans="1:87" s="101" customFormat="1" x14ac:dyDescent="0.35">
      <c r="A549" s="1"/>
      <c r="C549" s="1"/>
      <c r="G549" s="2"/>
      <c r="H549" s="2"/>
      <c r="I549" s="2"/>
      <c r="J549" s="2"/>
      <c r="K549" s="81"/>
      <c r="L549" s="4"/>
      <c r="M549" s="4"/>
      <c r="N549" s="4"/>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3"/>
      <c r="AP549" s="2"/>
      <c r="AQ549" s="2"/>
      <c r="AR549" s="2"/>
      <c r="AS549" s="2"/>
      <c r="AT549" s="2"/>
      <c r="AU549" s="2"/>
      <c r="AV549" s="2"/>
      <c r="AW549" s="2"/>
      <c r="AX549" s="2"/>
      <c r="AY549" s="2"/>
      <c r="AZ549" s="5"/>
      <c r="BA549" s="2"/>
      <c r="BD549" s="2"/>
      <c r="BE549" s="2"/>
      <c r="BF549" s="2"/>
      <c r="BG549" s="2"/>
      <c r="BH549" s="2"/>
      <c r="BI549" s="2"/>
      <c r="BJ549" s="2"/>
      <c r="BK549" s="2"/>
      <c r="BM549" s="2"/>
      <c r="BN549" s="2"/>
      <c r="BO549" s="2"/>
      <c r="BP549" s="2"/>
      <c r="BQ549" s="2"/>
      <c r="BR549" s="6"/>
      <c r="BS549" s="6"/>
      <c r="BT549" s="2"/>
      <c r="BU549" s="2"/>
      <c r="BV549" s="2"/>
      <c r="BW549" s="2"/>
      <c r="BX549" s="2"/>
      <c r="BY549" s="2"/>
      <c r="BZ549" s="2"/>
      <c r="CA549" s="2"/>
      <c r="CB549" s="2"/>
      <c r="CC549" s="2"/>
      <c r="CD549" s="3"/>
      <c r="CE549" s="2"/>
      <c r="CF549" s="4"/>
      <c r="CG549" s="4"/>
      <c r="CI549" s="2"/>
    </row>
    <row r="550" spans="1:87" s="101" customFormat="1" x14ac:dyDescent="0.35">
      <c r="A550" s="1"/>
      <c r="C550" s="1"/>
      <c r="G550" s="2"/>
      <c r="H550" s="2"/>
      <c r="I550" s="2"/>
      <c r="J550" s="2"/>
      <c r="K550" s="81"/>
      <c r="L550" s="4"/>
      <c r="M550" s="4"/>
      <c r="N550" s="4"/>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3"/>
      <c r="AP550" s="2"/>
      <c r="AQ550" s="2"/>
      <c r="AR550" s="2"/>
      <c r="AS550" s="2"/>
      <c r="AT550" s="2"/>
      <c r="AU550" s="2"/>
      <c r="AV550" s="2"/>
      <c r="AW550" s="2"/>
      <c r="AX550" s="2"/>
      <c r="AY550" s="2"/>
      <c r="AZ550" s="5"/>
      <c r="BA550" s="2"/>
      <c r="BD550" s="2"/>
      <c r="BE550" s="2"/>
      <c r="BF550" s="2"/>
      <c r="BG550" s="2"/>
      <c r="BH550" s="2"/>
      <c r="BI550" s="2"/>
      <c r="BJ550" s="2"/>
      <c r="BK550" s="2"/>
      <c r="BM550" s="2"/>
      <c r="BN550" s="2"/>
      <c r="BO550" s="2"/>
      <c r="BP550" s="2"/>
      <c r="BQ550" s="2"/>
      <c r="BR550" s="6"/>
      <c r="BS550" s="6"/>
      <c r="BT550" s="2"/>
      <c r="BU550" s="2"/>
      <c r="BV550" s="2"/>
      <c r="BW550" s="2"/>
      <c r="BX550" s="2"/>
      <c r="BY550" s="2"/>
      <c r="BZ550" s="2"/>
      <c r="CA550" s="2"/>
      <c r="CB550" s="2"/>
      <c r="CC550" s="2"/>
      <c r="CD550" s="3"/>
      <c r="CE550" s="2"/>
      <c r="CF550" s="4"/>
      <c r="CG550" s="4"/>
      <c r="CI550" s="2"/>
    </row>
    <row r="551" spans="1:87" s="101" customFormat="1" x14ac:dyDescent="0.35">
      <c r="A551" s="1"/>
      <c r="C551" s="1"/>
      <c r="G551" s="2"/>
      <c r="H551" s="2"/>
      <c r="I551" s="2"/>
      <c r="J551" s="2"/>
      <c r="K551" s="81"/>
      <c r="L551" s="4"/>
      <c r="M551" s="4"/>
      <c r="N551" s="4"/>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3"/>
      <c r="AP551" s="2"/>
      <c r="AQ551" s="2"/>
      <c r="AR551" s="2"/>
      <c r="AS551" s="2"/>
      <c r="AT551" s="2"/>
      <c r="AU551" s="2"/>
      <c r="AV551" s="2"/>
      <c r="AW551" s="2"/>
      <c r="AX551" s="2"/>
      <c r="AY551" s="2"/>
      <c r="AZ551" s="5"/>
      <c r="BA551" s="2"/>
      <c r="BD551" s="2"/>
      <c r="BE551" s="2"/>
      <c r="BF551" s="2"/>
      <c r="BG551" s="2"/>
      <c r="BH551" s="2"/>
      <c r="BI551" s="2"/>
      <c r="BJ551" s="2"/>
      <c r="BK551" s="2"/>
      <c r="BM551" s="2"/>
      <c r="BN551" s="2"/>
      <c r="BO551" s="2"/>
      <c r="BP551" s="2"/>
      <c r="BQ551" s="2"/>
      <c r="BR551" s="6"/>
      <c r="BS551" s="6"/>
      <c r="BT551" s="2"/>
      <c r="BU551" s="2"/>
      <c r="BV551" s="2"/>
      <c r="BW551" s="2"/>
      <c r="BX551" s="2"/>
      <c r="BY551" s="2"/>
      <c r="BZ551" s="2"/>
      <c r="CA551" s="2"/>
      <c r="CB551" s="2"/>
      <c r="CC551" s="2"/>
      <c r="CD551" s="3"/>
      <c r="CE551" s="2"/>
      <c r="CF551" s="4"/>
      <c r="CG551" s="4"/>
      <c r="CI551" s="2"/>
    </row>
    <row r="552" spans="1:87" s="101" customFormat="1" x14ac:dyDescent="0.35">
      <c r="A552" s="1"/>
      <c r="C552" s="1"/>
      <c r="G552" s="2"/>
      <c r="H552" s="2"/>
      <c r="I552" s="2"/>
      <c r="J552" s="2"/>
      <c r="K552" s="81"/>
      <c r="L552" s="4"/>
      <c r="M552" s="4"/>
      <c r="N552" s="4"/>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3"/>
      <c r="AP552" s="2"/>
      <c r="AQ552" s="2"/>
      <c r="AR552" s="2"/>
      <c r="AS552" s="2"/>
      <c r="AT552" s="2"/>
      <c r="AU552" s="2"/>
      <c r="AV552" s="2"/>
      <c r="AW552" s="2"/>
      <c r="AX552" s="2"/>
      <c r="AY552" s="2"/>
      <c r="AZ552" s="5"/>
      <c r="BA552" s="2"/>
      <c r="BD552" s="2"/>
      <c r="BE552" s="2"/>
      <c r="BF552" s="2"/>
      <c r="BG552" s="2"/>
      <c r="BH552" s="2"/>
      <c r="BI552" s="2"/>
      <c r="BJ552" s="2"/>
      <c r="BK552" s="2"/>
      <c r="BM552" s="2"/>
      <c r="BN552" s="2"/>
      <c r="BO552" s="2"/>
      <c r="BP552" s="2"/>
      <c r="BQ552" s="2"/>
      <c r="BR552" s="6"/>
      <c r="BS552" s="6"/>
      <c r="BT552" s="2"/>
      <c r="BU552" s="2"/>
      <c r="BV552" s="2"/>
      <c r="BW552" s="2"/>
      <c r="BX552" s="2"/>
      <c r="BY552" s="2"/>
      <c r="BZ552" s="2"/>
      <c r="CA552" s="2"/>
      <c r="CB552" s="2"/>
      <c r="CC552" s="2"/>
      <c r="CD552" s="3"/>
      <c r="CE552" s="2"/>
      <c r="CF552" s="4"/>
      <c r="CG552" s="4"/>
      <c r="CI552" s="2"/>
    </row>
    <row r="553" spans="1:87" s="101" customFormat="1" x14ac:dyDescent="0.35">
      <c r="A553" s="1"/>
      <c r="C553" s="1"/>
      <c r="G553" s="2"/>
      <c r="H553" s="2"/>
      <c r="I553" s="2"/>
      <c r="J553" s="2"/>
      <c r="K553" s="81"/>
      <c r="L553" s="4"/>
      <c r="M553" s="4"/>
      <c r="N553" s="4"/>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3"/>
      <c r="AP553" s="2"/>
      <c r="AQ553" s="2"/>
      <c r="AR553" s="2"/>
      <c r="AS553" s="2"/>
      <c r="AT553" s="2"/>
      <c r="AU553" s="2"/>
      <c r="AV553" s="2"/>
      <c r="AW553" s="2"/>
      <c r="AX553" s="2"/>
      <c r="AY553" s="2"/>
      <c r="AZ553" s="5"/>
      <c r="BA553" s="2"/>
      <c r="BD553" s="2"/>
      <c r="BE553" s="2"/>
      <c r="BF553" s="2"/>
      <c r="BG553" s="2"/>
      <c r="BH553" s="2"/>
      <c r="BI553" s="2"/>
      <c r="BJ553" s="2"/>
      <c r="BK553" s="2"/>
      <c r="BM553" s="2"/>
      <c r="BN553" s="2"/>
      <c r="BO553" s="2"/>
      <c r="BP553" s="2"/>
      <c r="BQ553" s="2"/>
      <c r="BR553" s="6"/>
      <c r="BS553" s="6"/>
      <c r="BT553" s="2"/>
      <c r="BU553" s="2"/>
      <c r="BV553" s="2"/>
      <c r="BW553" s="2"/>
      <c r="BX553" s="2"/>
      <c r="BY553" s="2"/>
      <c r="BZ553" s="2"/>
      <c r="CA553" s="2"/>
      <c r="CB553" s="2"/>
      <c r="CC553" s="2"/>
      <c r="CD553" s="3"/>
      <c r="CE553" s="2"/>
      <c r="CF553" s="4"/>
      <c r="CG553" s="4"/>
      <c r="CI553" s="2"/>
    </row>
    <row r="554" spans="1:87" s="101" customFormat="1" x14ac:dyDescent="0.35">
      <c r="A554" s="1"/>
      <c r="C554" s="1"/>
      <c r="G554" s="2"/>
      <c r="H554" s="2"/>
      <c r="I554" s="2"/>
      <c r="J554" s="2"/>
      <c r="K554" s="81"/>
      <c r="L554" s="4"/>
      <c r="M554" s="4"/>
      <c r="N554" s="4"/>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3"/>
      <c r="AP554" s="2"/>
      <c r="AQ554" s="2"/>
      <c r="AR554" s="2"/>
      <c r="AS554" s="2"/>
      <c r="AT554" s="2"/>
      <c r="AU554" s="2"/>
      <c r="AV554" s="2"/>
      <c r="AW554" s="2"/>
      <c r="AX554" s="2"/>
      <c r="AY554" s="2"/>
      <c r="AZ554" s="5"/>
      <c r="BA554" s="2"/>
      <c r="BD554" s="2"/>
      <c r="BE554" s="2"/>
      <c r="BF554" s="2"/>
      <c r="BG554" s="2"/>
      <c r="BH554" s="2"/>
      <c r="BI554" s="2"/>
      <c r="BJ554" s="2"/>
      <c r="BK554" s="2"/>
      <c r="BM554" s="2"/>
      <c r="BN554" s="2"/>
      <c r="BO554" s="2"/>
      <c r="BP554" s="2"/>
      <c r="BQ554" s="2"/>
      <c r="BR554" s="6"/>
      <c r="BS554" s="6"/>
      <c r="BT554" s="2"/>
      <c r="BU554" s="2"/>
      <c r="BV554" s="2"/>
      <c r="BW554" s="2"/>
      <c r="BX554" s="2"/>
      <c r="BY554" s="2"/>
      <c r="BZ554" s="2"/>
      <c r="CA554" s="2"/>
      <c r="CB554" s="2"/>
      <c r="CC554" s="2"/>
      <c r="CD554" s="3"/>
      <c r="CE554" s="2"/>
      <c r="CF554" s="4"/>
      <c r="CG554" s="4"/>
      <c r="CI554" s="2"/>
    </row>
    <row r="555" spans="1:87" s="101" customFormat="1" x14ac:dyDescent="0.35">
      <c r="A555" s="1"/>
      <c r="C555" s="1"/>
      <c r="G555" s="2"/>
      <c r="H555" s="2"/>
      <c r="I555" s="2"/>
      <c r="J555" s="2"/>
      <c r="K555" s="81"/>
      <c r="L555" s="4"/>
      <c r="M555" s="4"/>
      <c r="N555" s="4"/>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3"/>
      <c r="AP555" s="2"/>
      <c r="AQ555" s="2"/>
      <c r="AR555" s="2"/>
      <c r="AS555" s="2"/>
      <c r="AT555" s="2"/>
      <c r="AU555" s="2"/>
      <c r="AV555" s="2"/>
      <c r="AW555" s="2"/>
      <c r="AX555" s="2"/>
      <c r="AY555" s="2"/>
      <c r="AZ555" s="5"/>
      <c r="BA555" s="2"/>
      <c r="BD555" s="2"/>
      <c r="BE555" s="2"/>
      <c r="BF555" s="2"/>
      <c r="BG555" s="2"/>
      <c r="BH555" s="2"/>
      <c r="BI555" s="2"/>
      <c r="BJ555" s="2"/>
      <c r="BK555" s="2"/>
      <c r="BM555" s="2"/>
      <c r="BN555" s="2"/>
      <c r="BO555" s="2"/>
      <c r="BP555" s="2"/>
      <c r="BQ555" s="2"/>
      <c r="BR555" s="6"/>
      <c r="BS555" s="6"/>
      <c r="BT555" s="2"/>
      <c r="BU555" s="2"/>
      <c r="BV555" s="2"/>
      <c r="BW555" s="2"/>
      <c r="BX555" s="2"/>
      <c r="BY555" s="2"/>
      <c r="BZ555" s="2"/>
      <c r="CA555" s="2"/>
      <c r="CB555" s="2"/>
      <c r="CC555" s="2"/>
      <c r="CD555" s="3"/>
      <c r="CE555" s="2"/>
      <c r="CF555" s="4"/>
      <c r="CG555" s="4"/>
      <c r="CI555" s="2"/>
    </row>
    <row r="556" spans="1:87" s="101" customFormat="1" x14ac:dyDescent="0.35">
      <c r="A556" s="1"/>
      <c r="C556" s="1"/>
      <c r="G556" s="2"/>
      <c r="H556" s="2"/>
      <c r="I556" s="2"/>
      <c r="J556" s="2"/>
      <c r="K556" s="81"/>
      <c r="L556" s="4"/>
      <c r="M556" s="4"/>
      <c r="N556" s="4"/>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3"/>
      <c r="AP556" s="2"/>
      <c r="AQ556" s="2"/>
      <c r="AR556" s="2"/>
      <c r="AS556" s="2"/>
      <c r="AT556" s="2"/>
      <c r="AU556" s="2"/>
      <c r="AV556" s="2"/>
      <c r="AW556" s="2"/>
      <c r="AX556" s="2"/>
      <c r="AY556" s="2"/>
      <c r="AZ556" s="5"/>
      <c r="BA556" s="2"/>
      <c r="BD556" s="2"/>
      <c r="BE556" s="2"/>
      <c r="BF556" s="2"/>
      <c r="BG556" s="2"/>
      <c r="BH556" s="2"/>
      <c r="BI556" s="2"/>
      <c r="BJ556" s="2"/>
      <c r="BK556" s="2"/>
      <c r="BM556" s="2"/>
      <c r="BN556" s="2"/>
      <c r="BO556" s="2"/>
      <c r="BP556" s="2"/>
      <c r="BQ556" s="2"/>
      <c r="BR556" s="6"/>
      <c r="BS556" s="6"/>
      <c r="BT556" s="2"/>
      <c r="BU556" s="2"/>
      <c r="BV556" s="2"/>
      <c r="BW556" s="2"/>
      <c r="BX556" s="2"/>
      <c r="BY556" s="2"/>
      <c r="BZ556" s="2"/>
      <c r="CA556" s="2"/>
      <c r="CB556" s="2"/>
      <c r="CC556" s="2"/>
      <c r="CD556" s="3"/>
      <c r="CE556" s="2"/>
      <c r="CF556" s="4"/>
      <c r="CG556" s="4"/>
      <c r="CI556" s="2"/>
    </row>
    <row r="557" spans="1:87" s="101" customFormat="1" x14ac:dyDescent="0.35">
      <c r="A557" s="1"/>
      <c r="C557" s="1"/>
      <c r="G557" s="2"/>
      <c r="H557" s="2"/>
      <c r="I557" s="2"/>
      <c r="J557" s="2"/>
      <c r="K557" s="81"/>
      <c r="L557" s="4"/>
      <c r="M557" s="4"/>
      <c r="N557" s="4"/>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3"/>
      <c r="AP557" s="2"/>
      <c r="AQ557" s="2"/>
      <c r="AR557" s="2"/>
      <c r="AS557" s="2"/>
      <c r="AT557" s="2"/>
      <c r="AU557" s="2"/>
      <c r="AV557" s="2"/>
      <c r="AW557" s="2"/>
      <c r="AX557" s="2"/>
      <c r="AY557" s="2"/>
      <c r="AZ557" s="5"/>
      <c r="BA557" s="2"/>
      <c r="BD557" s="2"/>
      <c r="BE557" s="2"/>
      <c r="BF557" s="2"/>
      <c r="BG557" s="2"/>
      <c r="BH557" s="2"/>
      <c r="BI557" s="2"/>
      <c r="BJ557" s="2"/>
      <c r="BK557" s="2"/>
      <c r="BM557" s="2"/>
      <c r="BN557" s="2"/>
      <c r="BO557" s="2"/>
      <c r="BP557" s="2"/>
      <c r="BQ557" s="2"/>
      <c r="BR557" s="6"/>
      <c r="BS557" s="6"/>
      <c r="BT557" s="2"/>
      <c r="BU557" s="2"/>
      <c r="BV557" s="2"/>
      <c r="BW557" s="2"/>
      <c r="BX557" s="2"/>
      <c r="BY557" s="2"/>
      <c r="BZ557" s="2"/>
      <c r="CA557" s="2"/>
      <c r="CB557" s="2"/>
      <c r="CC557" s="2"/>
      <c r="CD557" s="3"/>
      <c r="CE557" s="2"/>
      <c r="CF557" s="4"/>
      <c r="CG557" s="4"/>
      <c r="CI557" s="2"/>
    </row>
    <row r="558" spans="1:87" s="101" customFormat="1" x14ac:dyDescent="0.35">
      <c r="A558" s="1"/>
      <c r="C558" s="1"/>
      <c r="G558" s="2"/>
      <c r="H558" s="2"/>
      <c r="I558" s="2"/>
      <c r="J558" s="2"/>
      <c r="K558" s="81"/>
      <c r="L558" s="4"/>
      <c r="M558" s="4"/>
      <c r="N558" s="4"/>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3"/>
      <c r="AP558" s="2"/>
      <c r="AQ558" s="2"/>
      <c r="AR558" s="2"/>
      <c r="AS558" s="2"/>
      <c r="AT558" s="2"/>
      <c r="AU558" s="2"/>
      <c r="AV558" s="2"/>
      <c r="AW558" s="2"/>
      <c r="AX558" s="2"/>
      <c r="AY558" s="2"/>
      <c r="AZ558" s="5"/>
      <c r="BA558" s="2"/>
      <c r="BD558" s="2"/>
      <c r="BE558" s="2"/>
      <c r="BF558" s="2"/>
      <c r="BG558" s="2"/>
      <c r="BH558" s="2"/>
      <c r="BI558" s="2"/>
      <c r="BJ558" s="2"/>
      <c r="BK558" s="2"/>
      <c r="BM558" s="2"/>
      <c r="BN558" s="2"/>
      <c r="BO558" s="2"/>
      <c r="BP558" s="2"/>
      <c r="BQ558" s="2"/>
      <c r="BR558" s="6"/>
      <c r="BS558" s="6"/>
      <c r="BT558" s="2"/>
      <c r="BU558" s="2"/>
      <c r="BV558" s="2"/>
      <c r="BW558" s="2"/>
      <c r="BX558" s="2"/>
      <c r="BY558" s="2"/>
      <c r="BZ558" s="2"/>
      <c r="CA558" s="2"/>
      <c r="CB558" s="2"/>
      <c r="CC558" s="2"/>
      <c r="CD558" s="3"/>
      <c r="CE558" s="2"/>
      <c r="CF558" s="4"/>
      <c r="CG558" s="4"/>
      <c r="CI558" s="2"/>
    </row>
    <row r="559" spans="1:87" s="101" customFormat="1" x14ac:dyDescent="0.35">
      <c r="A559" s="1"/>
      <c r="C559" s="1"/>
      <c r="G559" s="2"/>
      <c r="H559" s="2"/>
      <c r="I559" s="2"/>
      <c r="J559" s="2"/>
      <c r="K559" s="81"/>
      <c r="L559" s="4"/>
      <c r="M559" s="4"/>
      <c r="N559" s="4"/>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3"/>
      <c r="AP559" s="2"/>
      <c r="AQ559" s="2"/>
      <c r="AR559" s="2"/>
      <c r="AS559" s="2"/>
      <c r="AT559" s="2"/>
      <c r="AU559" s="2"/>
      <c r="AV559" s="2"/>
      <c r="AW559" s="2"/>
      <c r="AX559" s="2"/>
      <c r="AY559" s="2"/>
      <c r="AZ559" s="5"/>
      <c r="BA559" s="2"/>
      <c r="BD559" s="2"/>
      <c r="BE559" s="2"/>
      <c r="BF559" s="2"/>
      <c r="BG559" s="2"/>
      <c r="BH559" s="2"/>
      <c r="BI559" s="2"/>
      <c r="BJ559" s="2"/>
      <c r="BK559" s="2"/>
      <c r="BM559" s="2"/>
      <c r="BN559" s="2"/>
      <c r="BO559" s="2"/>
      <c r="BP559" s="2"/>
      <c r="BQ559" s="2"/>
      <c r="BR559" s="6"/>
      <c r="BS559" s="6"/>
      <c r="BT559" s="2"/>
      <c r="BU559" s="2"/>
      <c r="BV559" s="2"/>
      <c r="BW559" s="2"/>
      <c r="BX559" s="2"/>
      <c r="BY559" s="2"/>
      <c r="BZ559" s="2"/>
      <c r="CA559" s="2"/>
      <c r="CB559" s="2"/>
      <c r="CC559" s="2"/>
      <c r="CD559" s="3"/>
      <c r="CE559" s="2"/>
      <c r="CF559" s="4"/>
      <c r="CG559" s="4"/>
      <c r="CI559" s="2"/>
    </row>
    <row r="560" spans="1:87" s="101" customFormat="1" x14ac:dyDescent="0.35">
      <c r="A560" s="1"/>
      <c r="C560" s="1"/>
      <c r="G560" s="2"/>
      <c r="H560" s="2"/>
      <c r="I560" s="2"/>
      <c r="J560" s="2"/>
      <c r="K560" s="81"/>
      <c r="L560" s="4"/>
      <c r="M560" s="4"/>
      <c r="N560" s="4"/>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3"/>
      <c r="AP560" s="2"/>
      <c r="AQ560" s="2"/>
      <c r="AR560" s="2"/>
      <c r="AS560" s="2"/>
      <c r="AT560" s="2"/>
      <c r="AU560" s="2"/>
      <c r="AV560" s="2"/>
      <c r="AW560" s="2"/>
      <c r="AX560" s="2"/>
      <c r="AY560" s="2"/>
      <c r="AZ560" s="5"/>
      <c r="BA560" s="2"/>
      <c r="BD560" s="2"/>
      <c r="BE560" s="2"/>
      <c r="BF560" s="2"/>
      <c r="BG560" s="2"/>
      <c r="BH560" s="2"/>
      <c r="BI560" s="2"/>
      <c r="BJ560" s="2"/>
      <c r="BK560" s="2"/>
      <c r="BM560" s="2"/>
      <c r="BN560" s="2"/>
      <c r="BO560" s="2"/>
      <c r="BP560" s="2"/>
      <c r="BQ560" s="2"/>
      <c r="BR560" s="6"/>
      <c r="BS560" s="6"/>
      <c r="BT560" s="2"/>
      <c r="BU560" s="2"/>
      <c r="BV560" s="2"/>
      <c r="BW560" s="2"/>
      <c r="BX560" s="2"/>
      <c r="BY560" s="2"/>
      <c r="BZ560" s="2"/>
      <c r="CA560" s="2"/>
      <c r="CB560" s="2"/>
      <c r="CC560" s="2"/>
      <c r="CD560" s="3"/>
      <c r="CE560" s="2"/>
      <c r="CF560" s="4"/>
      <c r="CG560" s="4"/>
      <c r="CI560" s="2"/>
    </row>
    <row r="561" spans="1:87" s="101" customFormat="1" x14ac:dyDescent="0.35">
      <c r="A561" s="1"/>
      <c r="C561" s="1"/>
      <c r="G561" s="2"/>
      <c r="H561" s="2"/>
      <c r="I561" s="2"/>
      <c r="J561" s="2"/>
      <c r="K561" s="81"/>
      <c r="L561" s="4"/>
      <c r="M561" s="4"/>
      <c r="N561" s="4"/>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3"/>
      <c r="AP561" s="2"/>
      <c r="AQ561" s="2"/>
      <c r="AR561" s="2"/>
      <c r="AS561" s="2"/>
      <c r="AT561" s="2"/>
      <c r="AU561" s="2"/>
      <c r="AV561" s="2"/>
      <c r="AW561" s="2"/>
      <c r="AX561" s="2"/>
      <c r="AY561" s="2"/>
      <c r="AZ561" s="5"/>
      <c r="BA561" s="2"/>
      <c r="BD561" s="2"/>
      <c r="BE561" s="2"/>
      <c r="BF561" s="2"/>
      <c r="BG561" s="2"/>
      <c r="BH561" s="2"/>
      <c r="BI561" s="2"/>
      <c r="BJ561" s="2"/>
      <c r="BK561" s="2"/>
      <c r="BM561" s="2"/>
      <c r="BN561" s="2"/>
      <c r="BO561" s="2"/>
      <c r="BP561" s="2"/>
      <c r="BQ561" s="2"/>
      <c r="BR561" s="6"/>
      <c r="BS561" s="6"/>
      <c r="BT561" s="2"/>
      <c r="BU561" s="2"/>
      <c r="BV561" s="2"/>
      <c r="BW561" s="2"/>
      <c r="BX561" s="2"/>
      <c r="BY561" s="2"/>
      <c r="BZ561" s="2"/>
      <c r="CA561" s="2"/>
      <c r="CB561" s="2"/>
      <c r="CC561" s="2"/>
      <c r="CD561" s="3"/>
      <c r="CE561" s="2"/>
      <c r="CF561" s="4"/>
      <c r="CG561" s="4"/>
      <c r="CI561" s="2"/>
    </row>
    <row r="562" spans="1:87" s="101" customFormat="1" x14ac:dyDescent="0.35">
      <c r="A562" s="1"/>
      <c r="C562" s="1"/>
      <c r="G562" s="2"/>
      <c r="H562" s="2"/>
      <c r="I562" s="2"/>
      <c r="J562" s="2"/>
      <c r="K562" s="81"/>
      <c r="L562" s="4"/>
      <c r="M562" s="4"/>
      <c r="N562" s="4"/>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3"/>
      <c r="AP562" s="2"/>
      <c r="AQ562" s="2"/>
      <c r="AR562" s="2"/>
      <c r="AS562" s="2"/>
      <c r="AT562" s="2"/>
      <c r="AU562" s="2"/>
      <c r="AV562" s="2"/>
      <c r="AW562" s="2"/>
      <c r="AX562" s="2"/>
      <c r="AY562" s="2"/>
      <c r="AZ562" s="5"/>
      <c r="BA562" s="2"/>
      <c r="BD562" s="2"/>
      <c r="BE562" s="2"/>
      <c r="BF562" s="2"/>
      <c r="BG562" s="2"/>
      <c r="BH562" s="2"/>
      <c r="BI562" s="2"/>
      <c r="BJ562" s="2"/>
      <c r="BK562" s="2"/>
      <c r="BM562" s="2"/>
      <c r="BN562" s="2"/>
      <c r="BO562" s="2"/>
      <c r="BP562" s="2"/>
      <c r="BQ562" s="2"/>
      <c r="BR562" s="6"/>
      <c r="BS562" s="6"/>
      <c r="BT562" s="2"/>
      <c r="BU562" s="2"/>
      <c r="BV562" s="2"/>
      <c r="BW562" s="2"/>
      <c r="BX562" s="2"/>
      <c r="BY562" s="2"/>
      <c r="BZ562" s="2"/>
      <c r="CA562" s="2"/>
      <c r="CB562" s="2"/>
      <c r="CC562" s="2"/>
      <c r="CD562" s="3"/>
      <c r="CE562" s="2"/>
      <c r="CF562" s="4"/>
      <c r="CG562" s="4"/>
      <c r="CI562" s="2"/>
    </row>
    <row r="563" spans="1:87" s="101" customFormat="1" x14ac:dyDescent="0.35">
      <c r="A563" s="1"/>
      <c r="C563" s="1"/>
      <c r="G563" s="2"/>
      <c r="H563" s="2"/>
      <c r="I563" s="2"/>
      <c r="J563" s="2"/>
      <c r="K563" s="81"/>
      <c r="L563" s="4"/>
      <c r="M563" s="4"/>
      <c r="N563" s="4"/>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3"/>
      <c r="AP563" s="2"/>
      <c r="AQ563" s="2"/>
      <c r="AR563" s="2"/>
      <c r="AS563" s="2"/>
      <c r="AT563" s="2"/>
      <c r="AU563" s="2"/>
      <c r="AV563" s="2"/>
      <c r="AW563" s="2"/>
      <c r="AX563" s="2"/>
      <c r="AY563" s="2"/>
      <c r="AZ563" s="5"/>
      <c r="BA563" s="2"/>
      <c r="BD563" s="2"/>
      <c r="BE563" s="2"/>
      <c r="BF563" s="2"/>
      <c r="BG563" s="2"/>
      <c r="BH563" s="2"/>
      <c r="BI563" s="2"/>
      <c r="BJ563" s="2"/>
      <c r="BK563" s="2"/>
      <c r="BM563" s="2"/>
      <c r="BN563" s="2"/>
      <c r="BO563" s="2"/>
      <c r="BP563" s="2"/>
      <c r="BQ563" s="2"/>
      <c r="BR563" s="6"/>
      <c r="BS563" s="6"/>
      <c r="BT563" s="2"/>
      <c r="BU563" s="2"/>
      <c r="BV563" s="2"/>
      <c r="BW563" s="2"/>
      <c r="BX563" s="2"/>
      <c r="BY563" s="2"/>
      <c r="BZ563" s="2"/>
      <c r="CA563" s="2"/>
      <c r="CB563" s="2"/>
      <c r="CC563" s="2"/>
      <c r="CD563" s="3"/>
      <c r="CE563" s="2"/>
      <c r="CF563" s="4"/>
      <c r="CG563" s="4"/>
      <c r="CI563" s="2"/>
    </row>
    <row r="564" spans="1:87" s="101" customFormat="1" x14ac:dyDescent="0.35">
      <c r="A564" s="1"/>
      <c r="C564" s="1"/>
      <c r="G564" s="2"/>
      <c r="H564" s="2"/>
      <c r="I564" s="2"/>
      <c r="J564" s="2"/>
      <c r="K564" s="81"/>
      <c r="L564" s="4"/>
      <c r="M564" s="4"/>
      <c r="N564" s="4"/>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3"/>
      <c r="AP564" s="2"/>
      <c r="AQ564" s="2"/>
      <c r="AR564" s="2"/>
      <c r="AS564" s="2"/>
      <c r="AT564" s="2"/>
      <c r="AU564" s="2"/>
      <c r="AV564" s="2"/>
      <c r="AW564" s="2"/>
      <c r="AX564" s="2"/>
      <c r="AY564" s="2"/>
      <c r="AZ564" s="5"/>
      <c r="BA564" s="2"/>
      <c r="BD564" s="2"/>
      <c r="BE564" s="2"/>
      <c r="BF564" s="2"/>
      <c r="BG564" s="2"/>
      <c r="BH564" s="2"/>
      <c r="BI564" s="2"/>
      <c r="BJ564" s="2"/>
      <c r="BK564" s="2"/>
      <c r="BM564" s="2"/>
      <c r="BN564" s="2"/>
      <c r="BO564" s="2"/>
      <c r="BP564" s="2"/>
      <c r="BQ564" s="2"/>
      <c r="BR564" s="6"/>
      <c r="BS564" s="6"/>
      <c r="BT564" s="2"/>
      <c r="BU564" s="2"/>
      <c r="BV564" s="2"/>
      <c r="BW564" s="2"/>
      <c r="BX564" s="2"/>
      <c r="BY564" s="2"/>
      <c r="BZ564" s="2"/>
      <c r="CA564" s="2"/>
      <c r="CB564" s="2"/>
      <c r="CC564" s="2"/>
      <c r="CD564" s="3"/>
      <c r="CE564" s="2"/>
      <c r="CF564" s="4"/>
      <c r="CG564" s="4"/>
      <c r="CI564" s="2"/>
    </row>
    <row r="565" spans="1:87" s="101" customFormat="1" x14ac:dyDescent="0.35">
      <c r="A565" s="1"/>
      <c r="C565" s="1"/>
      <c r="G565" s="2"/>
      <c r="H565" s="2"/>
      <c r="I565" s="2"/>
      <c r="J565" s="2"/>
      <c r="K565" s="81"/>
      <c r="L565" s="4"/>
      <c r="M565" s="4"/>
      <c r="N565" s="4"/>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3"/>
      <c r="AP565" s="2"/>
      <c r="AQ565" s="2"/>
      <c r="AR565" s="2"/>
      <c r="AS565" s="2"/>
      <c r="AT565" s="2"/>
      <c r="AU565" s="2"/>
      <c r="AV565" s="2"/>
      <c r="AW565" s="2"/>
      <c r="AX565" s="2"/>
      <c r="AY565" s="2"/>
      <c r="AZ565" s="5"/>
      <c r="BA565" s="2"/>
      <c r="BD565" s="2"/>
      <c r="BE565" s="2"/>
      <c r="BF565" s="2"/>
      <c r="BG565" s="2"/>
      <c r="BH565" s="2"/>
      <c r="BI565" s="2"/>
      <c r="BJ565" s="2"/>
      <c r="BK565" s="2"/>
      <c r="BM565" s="2"/>
      <c r="BN565" s="2"/>
      <c r="BO565" s="2"/>
      <c r="BP565" s="2"/>
      <c r="BQ565" s="2"/>
      <c r="BR565" s="6"/>
      <c r="BS565" s="6"/>
      <c r="BT565" s="2"/>
      <c r="BU565" s="2"/>
      <c r="BV565" s="2"/>
      <c r="BW565" s="2"/>
      <c r="BX565" s="2"/>
      <c r="BY565" s="2"/>
      <c r="BZ565" s="2"/>
      <c r="CA565" s="2"/>
      <c r="CB565" s="2"/>
      <c r="CC565" s="2"/>
      <c r="CD565" s="3"/>
      <c r="CE565" s="2"/>
      <c r="CF565" s="4"/>
      <c r="CG565" s="4"/>
      <c r="CI565" s="2"/>
    </row>
    <row r="566" spans="1:87" s="101" customFormat="1" x14ac:dyDescent="0.35">
      <c r="A566" s="1"/>
      <c r="C566" s="1"/>
      <c r="G566" s="2"/>
      <c r="H566" s="2"/>
      <c r="I566" s="2"/>
      <c r="J566" s="2"/>
      <c r="K566" s="81"/>
      <c r="L566" s="4"/>
      <c r="M566" s="4"/>
      <c r="N566" s="4"/>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3"/>
      <c r="AP566" s="2"/>
      <c r="AQ566" s="2"/>
      <c r="AR566" s="2"/>
      <c r="AS566" s="2"/>
      <c r="AT566" s="2"/>
      <c r="AU566" s="2"/>
      <c r="AV566" s="2"/>
      <c r="AW566" s="2"/>
      <c r="AX566" s="2"/>
      <c r="AY566" s="2"/>
      <c r="AZ566" s="5"/>
      <c r="BA566" s="2"/>
      <c r="BD566" s="2"/>
      <c r="BE566" s="2"/>
      <c r="BF566" s="2"/>
      <c r="BG566" s="2"/>
      <c r="BH566" s="2"/>
      <c r="BI566" s="2"/>
      <c r="BJ566" s="2"/>
      <c r="BK566" s="2"/>
      <c r="BM566" s="2"/>
      <c r="BN566" s="2"/>
      <c r="BO566" s="2"/>
      <c r="BP566" s="2"/>
      <c r="BQ566" s="2"/>
      <c r="BR566" s="6"/>
      <c r="BS566" s="6"/>
      <c r="BT566" s="2"/>
      <c r="BU566" s="2"/>
      <c r="BV566" s="2"/>
      <c r="BW566" s="2"/>
      <c r="BX566" s="2"/>
      <c r="BY566" s="2"/>
      <c r="BZ566" s="2"/>
      <c r="CA566" s="2"/>
      <c r="CB566" s="2"/>
      <c r="CC566" s="2"/>
      <c r="CD566" s="3"/>
      <c r="CE566" s="2"/>
      <c r="CF566" s="4"/>
      <c r="CG566" s="4"/>
      <c r="CI566" s="2"/>
    </row>
    <row r="567" spans="1:87" s="101" customFormat="1" x14ac:dyDescent="0.35">
      <c r="A567" s="1"/>
      <c r="C567" s="1"/>
      <c r="G567" s="2"/>
      <c r="H567" s="2"/>
      <c r="I567" s="2"/>
      <c r="J567" s="2"/>
      <c r="K567" s="81"/>
      <c r="L567" s="4"/>
      <c r="M567" s="4"/>
      <c r="N567" s="4"/>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3"/>
      <c r="AP567" s="2"/>
      <c r="AQ567" s="2"/>
      <c r="AR567" s="2"/>
      <c r="AS567" s="2"/>
      <c r="AT567" s="2"/>
      <c r="AU567" s="2"/>
      <c r="AV567" s="2"/>
      <c r="AW567" s="2"/>
      <c r="AX567" s="2"/>
      <c r="AY567" s="2"/>
      <c r="AZ567" s="5"/>
      <c r="BA567" s="2"/>
      <c r="BD567" s="2"/>
      <c r="BE567" s="2"/>
      <c r="BF567" s="2"/>
      <c r="BG567" s="2"/>
      <c r="BH567" s="2"/>
      <c r="BI567" s="2"/>
      <c r="BJ567" s="2"/>
      <c r="BK567" s="2"/>
      <c r="BM567" s="2"/>
      <c r="BN567" s="2"/>
      <c r="BO567" s="2"/>
      <c r="BP567" s="2"/>
      <c r="BQ567" s="2"/>
      <c r="BR567" s="6"/>
      <c r="BS567" s="6"/>
      <c r="BT567" s="2"/>
      <c r="BU567" s="2"/>
      <c r="BV567" s="2"/>
      <c r="BW567" s="2"/>
      <c r="BX567" s="2"/>
      <c r="BY567" s="2"/>
      <c r="BZ567" s="2"/>
      <c r="CA567" s="2"/>
      <c r="CB567" s="2"/>
      <c r="CC567" s="2"/>
      <c r="CD567" s="3"/>
      <c r="CE567" s="2"/>
      <c r="CF567" s="4"/>
      <c r="CG567" s="4"/>
      <c r="CI567" s="2"/>
    </row>
    <row r="568" spans="1:87" s="101" customFormat="1" x14ac:dyDescent="0.35">
      <c r="A568" s="1"/>
      <c r="C568" s="1"/>
      <c r="G568" s="2"/>
      <c r="H568" s="2"/>
      <c r="I568" s="2"/>
      <c r="J568" s="2"/>
      <c r="K568" s="81"/>
      <c r="L568" s="4"/>
      <c r="M568" s="4"/>
      <c r="N568" s="4"/>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3"/>
      <c r="AP568" s="2"/>
      <c r="AQ568" s="2"/>
      <c r="AR568" s="2"/>
      <c r="AS568" s="2"/>
      <c r="AT568" s="2"/>
      <c r="AU568" s="2"/>
      <c r="AV568" s="2"/>
      <c r="AW568" s="2"/>
      <c r="AX568" s="2"/>
      <c r="AY568" s="2"/>
      <c r="AZ568" s="5"/>
      <c r="BA568" s="2"/>
      <c r="BD568" s="2"/>
      <c r="BE568" s="2"/>
      <c r="BF568" s="2"/>
      <c r="BG568" s="2"/>
      <c r="BH568" s="2"/>
      <c r="BI568" s="2"/>
      <c r="BJ568" s="2"/>
      <c r="BK568" s="2"/>
      <c r="BM568" s="2"/>
      <c r="BN568" s="2"/>
      <c r="BO568" s="2"/>
      <c r="BP568" s="2"/>
      <c r="BQ568" s="2"/>
      <c r="BR568" s="6"/>
      <c r="BS568" s="6"/>
      <c r="BT568" s="2"/>
      <c r="BU568" s="2"/>
      <c r="BV568" s="2"/>
      <c r="BW568" s="2"/>
      <c r="BX568" s="2"/>
      <c r="BY568" s="2"/>
      <c r="BZ568" s="2"/>
      <c r="CA568" s="2"/>
      <c r="CB568" s="2"/>
      <c r="CC568" s="2"/>
      <c r="CD568" s="3"/>
      <c r="CE568" s="2"/>
      <c r="CF568" s="4"/>
      <c r="CG568" s="4"/>
      <c r="CI568" s="2"/>
    </row>
    <row r="569" spans="1:87" s="101" customFormat="1" x14ac:dyDescent="0.35">
      <c r="A569" s="1"/>
      <c r="C569" s="1"/>
      <c r="G569" s="2"/>
      <c r="H569" s="2"/>
      <c r="I569" s="2"/>
      <c r="J569" s="2"/>
      <c r="K569" s="81"/>
      <c r="L569" s="4"/>
      <c r="M569" s="4"/>
      <c r="N569" s="4"/>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3"/>
      <c r="AP569" s="2"/>
      <c r="AQ569" s="2"/>
      <c r="AR569" s="2"/>
      <c r="AS569" s="2"/>
      <c r="AT569" s="2"/>
      <c r="AU569" s="2"/>
      <c r="AV569" s="2"/>
      <c r="AW569" s="2"/>
      <c r="AX569" s="2"/>
      <c r="AY569" s="2"/>
      <c r="AZ569" s="5"/>
      <c r="BA569" s="2"/>
      <c r="BD569" s="2"/>
      <c r="BE569" s="2"/>
      <c r="BF569" s="2"/>
      <c r="BG569" s="2"/>
      <c r="BH569" s="2"/>
      <c r="BI569" s="2"/>
      <c r="BJ569" s="2"/>
      <c r="BK569" s="2"/>
      <c r="BM569" s="2"/>
      <c r="BN569" s="2"/>
      <c r="BO569" s="2"/>
      <c r="BP569" s="2"/>
      <c r="BQ569" s="2"/>
      <c r="BR569" s="6"/>
      <c r="BS569" s="6"/>
      <c r="BT569" s="2"/>
      <c r="BU569" s="2"/>
      <c r="BV569" s="2"/>
      <c r="BW569" s="2"/>
      <c r="BX569" s="2"/>
      <c r="BY569" s="2"/>
      <c r="BZ569" s="2"/>
      <c r="CA569" s="2"/>
      <c r="CB569" s="2"/>
      <c r="CC569" s="2"/>
      <c r="CD569" s="3"/>
      <c r="CE569" s="2"/>
      <c r="CF569" s="4"/>
      <c r="CG569" s="4"/>
      <c r="CI569" s="2"/>
    </row>
    <row r="570" spans="1:87" s="101" customFormat="1" x14ac:dyDescent="0.35">
      <c r="A570" s="1"/>
      <c r="C570" s="1"/>
      <c r="G570" s="2"/>
      <c r="H570" s="2"/>
      <c r="I570" s="2"/>
      <c r="J570" s="2"/>
      <c r="K570" s="81"/>
      <c r="L570" s="4"/>
      <c r="M570" s="4"/>
      <c r="N570" s="4"/>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3"/>
      <c r="AP570" s="2"/>
      <c r="AQ570" s="2"/>
      <c r="AR570" s="2"/>
      <c r="AS570" s="2"/>
      <c r="AT570" s="2"/>
      <c r="AU570" s="2"/>
      <c r="AV570" s="2"/>
      <c r="AW570" s="2"/>
      <c r="AX570" s="2"/>
      <c r="AY570" s="2"/>
      <c r="AZ570" s="5"/>
      <c r="BA570" s="2"/>
      <c r="BD570" s="2"/>
      <c r="BE570" s="2"/>
      <c r="BF570" s="2"/>
      <c r="BG570" s="2"/>
      <c r="BH570" s="2"/>
      <c r="BI570" s="2"/>
      <c r="BJ570" s="2"/>
      <c r="BK570" s="2"/>
      <c r="BM570" s="2"/>
      <c r="BN570" s="2"/>
      <c r="BO570" s="2"/>
      <c r="BP570" s="2"/>
      <c r="BQ570" s="2"/>
      <c r="BR570" s="6"/>
      <c r="BS570" s="6"/>
      <c r="BT570" s="2"/>
      <c r="BU570" s="2"/>
      <c r="BV570" s="2"/>
      <c r="BW570" s="2"/>
      <c r="BX570" s="2"/>
      <c r="BY570" s="2"/>
      <c r="BZ570" s="2"/>
      <c r="CA570" s="2"/>
      <c r="CB570" s="2"/>
      <c r="CC570" s="2"/>
      <c r="CD570" s="3"/>
      <c r="CE570" s="2"/>
      <c r="CF570" s="4"/>
      <c r="CG570" s="4"/>
      <c r="CI570" s="2"/>
    </row>
    <row r="571" spans="1:87" s="101" customFormat="1" x14ac:dyDescent="0.35">
      <c r="A571" s="1"/>
      <c r="C571" s="1"/>
      <c r="G571" s="2"/>
      <c r="H571" s="2"/>
      <c r="I571" s="2"/>
      <c r="J571" s="2"/>
      <c r="K571" s="81"/>
      <c r="L571" s="4"/>
      <c r="M571" s="4"/>
      <c r="N571" s="4"/>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3"/>
      <c r="AP571" s="2"/>
      <c r="AQ571" s="2"/>
      <c r="AR571" s="2"/>
      <c r="AS571" s="2"/>
      <c r="AT571" s="2"/>
      <c r="AU571" s="2"/>
      <c r="AV571" s="2"/>
      <c r="AW571" s="2"/>
      <c r="AX571" s="2"/>
      <c r="AY571" s="2"/>
      <c r="AZ571" s="5"/>
      <c r="BA571" s="2"/>
      <c r="BD571" s="2"/>
      <c r="BE571" s="2"/>
      <c r="BF571" s="2"/>
      <c r="BG571" s="2"/>
      <c r="BH571" s="2"/>
      <c r="BI571" s="2"/>
      <c r="BJ571" s="2"/>
      <c r="BK571" s="2"/>
      <c r="BM571" s="2"/>
      <c r="BN571" s="2"/>
      <c r="BO571" s="2"/>
      <c r="BP571" s="2"/>
      <c r="BQ571" s="2"/>
      <c r="BR571" s="6"/>
      <c r="BS571" s="6"/>
      <c r="BT571" s="2"/>
      <c r="BU571" s="2"/>
      <c r="BV571" s="2"/>
      <c r="BW571" s="2"/>
      <c r="BX571" s="2"/>
      <c r="BY571" s="2"/>
      <c r="BZ571" s="2"/>
      <c r="CA571" s="2"/>
      <c r="CB571" s="2"/>
      <c r="CC571" s="2"/>
      <c r="CD571" s="3"/>
      <c r="CE571" s="2"/>
      <c r="CF571" s="4"/>
      <c r="CG571" s="4"/>
      <c r="CI571" s="2"/>
    </row>
    <row r="572" spans="1:87" s="101" customFormat="1" x14ac:dyDescent="0.35">
      <c r="A572" s="1"/>
      <c r="C572" s="1"/>
      <c r="G572" s="2"/>
      <c r="H572" s="2"/>
      <c r="I572" s="2"/>
      <c r="J572" s="2"/>
      <c r="K572" s="81"/>
      <c r="L572" s="4"/>
      <c r="M572" s="4"/>
      <c r="N572" s="4"/>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3"/>
      <c r="AP572" s="2"/>
      <c r="AQ572" s="2"/>
      <c r="AR572" s="2"/>
      <c r="AS572" s="2"/>
      <c r="AT572" s="2"/>
      <c r="AU572" s="2"/>
      <c r="AV572" s="2"/>
      <c r="AW572" s="2"/>
      <c r="AX572" s="2"/>
      <c r="AY572" s="2"/>
      <c r="AZ572" s="5"/>
      <c r="BA572" s="2"/>
      <c r="BD572" s="2"/>
      <c r="BE572" s="2"/>
      <c r="BF572" s="2"/>
      <c r="BG572" s="2"/>
      <c r="BH572" s="2"/>
      <c r="BI572" s="2"/>
      <c r="BJ572" s="2"/>
      <c r="BK572" s="2"/>
      <c r="BM572" s="2"/>
      <c r="BN572" s="2"/>
      <c r="BO572" s="2"/>
      <c r="BP572" s="2"/>
      <c r="BQ572" s="2"/>
      <c r="BR572" s="6"/>
      <c r="BS572" s="6"/>
      <c r="BT572" s="2"/>
      <c r="BU572" s="2"/>
      <c r="BV572" s="2"/>
      <c r="BW572" s="2"/>
      <c r="BX572" s="2"/>
      <c r="BY572" s="2"/>
      <c r="BZ572" s="2"/>
      <c r="CA572" s="2"/>
      <c r="CB572" s="2"/>
      <c r="CC572" s="2"/>
      <c r="CD572" s="3"/>
      <c r="CE572" s="2"/>
      <c r="CF572" s="4"/>
      <c r="CG572" s="4"/>
      <c r="CI572" s="2"/>
    </row>
    <row r="573" spans="1:87" s="101" customFormat="1" x14ac:dyDescent="0.35">
      <c r="A573" s="1"/>
      <c r="C573" s="1"/>
      <c r="G573" s="2"/>
      <c r="H573" s="2"/>
      <c r="I573" s="2"/>
      <c r="J573" s="2"/>
      <c r="K573" s="81"/>
      <c r="L573" s="4"/>
      <c r="M573" s="4"/>
      <c r="N573" s="4"/>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3"/>
      <c r="AP573" s="2"/>
      <c r="AQ573" s="2"/>
      <c r="AR573" s="2"/>
      <c r="AS573" s="2"/>
      <c r="AT573" s="2"/>
      <c r="AU573" s="2"/>
      <c r="AV573" s="2"/>
      <c r="AW573" s="2"/>
      <c r="AX573" s="2"/>
      <c r="AY573" s="2"/>
      <c r="AZ573" s="5"/>
      <c r="BA573" s="2"/>
      <c r="BD573" s="2"/>
      <c r="BE573" s="2"/>
      <c r="BF573" s="2"/>
      <c r="BG573" s="2"/>
      <c r="BH573" s="2"/>
      <c r="BI573" s="2"/>
      <c r="BJ573" s="2"/>
      <c r="BK573" s="2"/>
      <c r="BM573" s="2"/>
      <c r="BN573" s="2"/>
      <c r="BO573" s="2"/>
      <c r="BP573" s="2"/>
      <c r="BQ573" s="2"/>
      <c r="BR573" s="6"/>
      <c r="BS573" s="6"/>
      <c r="BT573" s="2"/>
      <c r="BU573" s="2"/>
      <c r="BV573" s="2"/>
      <c r="BW573" s="2"/>
      <c r="BX573" s="2"/>
      <c r="BY573" s="2"/>
      <c r="BZ573" s="2"/>
      <c r="CA573" s="2"/>
      <c r="CB573" s="2"/>
      <c r="CC573" s="2"/>
      <c r="CD573" s="3"/>
      <c r="CE573" s="2"/>
      <c r="CF573" s="4"/>
      <c r="CG573" s="4"/>
      <c r="CI573" s="2"/>
    </row>
    <row r="574" spans="1:87" s="101" customFormat="1" x14ac:dyDescent="0.35">
      <c r="A574" s="1"/>
      <c r="C574" s="1"/>
      <c r="G574" s="2"/>
      <c r="H574" s="2"/>
      <c r="I574" s="2"/>
      <c r="J574" s="2"/>
      <c r="K574" s="81"/>
      <c r="L574" s="4"/>
      <c r="M574" s="4"/>
      <c r="N574" s="4"/>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3"/>
      <c r="AP574" s="2"/>
      <c r="AQ574" s="2"/>
      <c r="AR574" s="2"/>
      <c r="AS574" s="2"/>
      <c r="AT574" s="2"/>
      <c r="AU574" s="2"/>
      <c r="AV574" s="2"/>
      <c r="AW574" s="2"/>
      <c r="AX574" s="2"/>
      <c r="AY574" s="2"/>
      <c r="AZ574" s="5"/>
      <c r="BA574" s="2"/>
      <c r="BD574" s="2"/>
      <c r="BE574" s="2"/>
      <c r="BF574" s="2"/>
      <c r="BG574" s="2"/>
      <c r="BH574" s="2"/>
      <c r="BI574" s="2"/>
      <c r="BJ574" s="2"/>
      <c r="BK574" s="2"/>
      <c r="BM574" s="2"/>
      <c r="BN574" s="2"/>
      <c r="BO574" s="2"/>
      <c r="BP574" s="2"/>
      <c r="BQ574" s="2"/>
      <c r="BR574" s="6"/>
      <c r="BS574" s="6"/>
      <c r="BT574" s="2"/>
      <c r="BU574" s="2"/>
      <c r="BV574" s="2"/>
      <c r="BW574" s="2"/>
      <c r="BX574" s="2"/>
      <c r="BY574" s="2"/>
      <c r="BZ574" s="2"/>
      <c r="CA574" s="2"/>
      <c r="CB574" s="2"/>
      <c r="CC574" s="2"/>
      <c r="CD574" s="3"/>
      <c r="CE574" s="2"/>
      <c r="CF574" s="4"/>
      <c r="CG574" s="4"/>
      <c r="CI574" s="2"/>
    </row>
    <row r="575" spans="1:87" s="101" customFormat="1" x14ac:dyDescent="0.35">
      <c r="A575" s="1"/>
      <c r="C575" s="1"/>
      <c r="G575" s="2"/>
      <c r="H575" s="2"/>
      <c r="I575" s="2"/>
      <c r="J575" s="2"/>
      <c r="K575" s="81"/>
      <c r="L575" s="4"/>
      <c r="M575" s="4"/>
      <c r="N575" s="4"/>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3"/>
      <c r="AP575" s="2"/>
      <c r="AQ575" s="2"/>
      <c r="AR575" s="2"/>
      <c r="AS575" s="2"/>
      <c r="AT575" s="2"/>
      <c r="AU575" s="2"/>
      <c r="AV575" s="2"/>
      <c r="AW575" s="2"/>
      <c r="AX575" s="2"/>
      <c r="AY575" s="2"/>
      <c r="AZ575" s="5"/>
      <c r="BA575" s="2"/>
      <c r="BD575" s="2"/>
      <c r="BE575" s="2"/>
      <c r="BF575" s="2"/>
      <c r="BG575" s="2"/>
      <c r="BH575" s="2"/>
      <c r="BI575" s="2"/>
      <c r="BJ575" s="2"/>
      <c r="BK575" s="2"/>
      <c r="BM575" s="2"/>
      <c r="BN575" s="2"/>
      <c r="BO575" s="2"/>
      <c r="BP575" s="2"/>
      <c r="BQ575" s="2"/>
      <c r="BR575" s="6"/>
      <c r="BS575" s="6"/>
      <c r="BT575" s="2"/>
      <c r="BU575" s="2"/>
      <c r="BV575" s="2"/>
      <c r="BW575" s="2"/>
      <c r="BX575" s="2"/>
      <c r="BY575" s="2"/>
      <c r="BZ575" s="2"/>
      <c r="CA575" s="2"/>
      <c r="CB575" s="2"/>
      <c r="CC575" s="2"/>
      <c r="CD575" s="3"/>
      <c r="CE575" s="2"/>
      <c r="CF575" s="4"/>
      <c r="CG575" s="4"/>
      <c r="CI575" s="2"/>
    </row>
    <row r="576" spans="1:87" s="101" customFormat="1" x14ac:dyDescent="0.35">
      <c r="A576" s="1"/>
      <c r="C576" s="1"/>
      <c r="G576" s="2"/>
      <c r="H576" s="2"/>
      <c r="I576" s="2"/>
      <c r="J576" s="2"/>
      <c r="K576" s="81"/>
      <c r="L576" s="4"/>
      <c r="M576" s="4"/>
      <c r="N576" s="4"/>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3"/>
      <c r="AP576" s="2"/>
      <c r="AQ576" s="2"/>
      <c r="AR576" s="2"/>
      <c r="AS576" s="2"/>
      <c r="AT576" s="2"/>
      <c r="AU576" s="2"/>
      <c r="AV576" s="2"/>
      <c r="AW576" s="2"/>
      <c r="AX576" s="2"/>
      <c r="AY576" s="2"/>
      <c r="AZ576" s="5"/>
      <c r="BA576" s="2"/>
      <c r="BD576" s="2"/>
      <c r="BE576" s="2"/>
      <c r="BF576" s="2"/>
      <c r="BG576" s="2"/>
      <c r="BH576" s="2"/>
      <c r="BI576" s="2"/>
      <c r="BJ576" s="2"/>
      <c r="BK576" s="2"/>
      <c r="BM576" s="2"/>
      <c r="BN576" s="2"/>
      <c r="BO576" s="2"/>
      <c r="BP576" s="2"/>
      <c r="BQ576" s="2"/>
      <c r="BR576" s="6"/>
      <c r="BS576" s="6"/>
      <c r="BT576" s="2"/>
      <c r="BU576" s="2"/>
      <c r="BV576" s="2"/>
      <c r="BW576" s="2"/>
      <c r="BX576" s="2"/>
      <c r="BY576" s="2"/>
      <c r="BZ576" s="2"/>
      <c r="CA576" s="2"/>
      <c r="CB576" s="2"/>
      <c r="CC576" s="2"/>
      <c r="CD576" s="3"/>
      <c r="CE576" s="2"/>
      <c r="CF576" s="4"/>
      <c r="CG576" s="4"/>
      <c r="CI576" s="2"/>
    </row>
    <row r="577" spans="1:87" s="101" customFormat="1" x14ac:dyDescent="0.35">
      <c r="A577" s="1"/>
      <c r="C577" s="1"/>
      <c r="G577" s="2"/>
      <c r="H577" s="2"/>
      <c r="I577" s="2"/>
      <c r="J577" s="2"/>
      <c r="K577" s="81"/>
      <c r="L577" s="4"/>
      <c r="M577" s="4"/>
      <c r="N577" s="4"/>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3"/>
      <c r="AP577" s="2"/>
      <c r="AQ577" s="2"/>
      <c r="AR577" s="2"/>
      <c r="AS577" s="2"/>
      <c r="AT577" s="2"/>
      <c r="AU577" s="2"/>
      <c r="AV577" s="2"/>
      <c r="AW577" s="2"/>
      <c r="AX577" s="2"/>
      <c r="AY577" s="2"/>
      <c r="AZ577" s="5"/>
      <c r="BA577" s="2"/>
      <c r="BD577" s="2"/>
      <c r="BE577" s="2"/>
      <c r="BF577" s="2"/>
      <c r="BG577" s="2"/>
      <c r="BH577" s="2"/>
      <c r="BI577" s="2"/>
      <c r="BJ577" s="2"/>
      <c r="BK577" s="2"/>
      <c r="BM577" s="2"/>
      <c r="BN577" s="2"/>
      <c r="BO577" s="2"/>
      <c r="BP577" s="2"/>
      <c r="BQ577" s="2"/>
      <c r="BR577" s="6"/>
      <c r="BS577" s="6"/>
      <c r="BT577" s="2"/>
      <c r="BU577" s="2"/>
      <c r="BV577" s="2"/>
      <c r="BW577" s="2"/>
      <c r="BX577" s="2"/>
      <c r="BY577" s="2"/>
      <c r="BZ577" s="2"/>
      <c r="CA577" s="2"/>
      <c r="CB577" s="2"/>
      <c r="CC577" s="2"/>
      <c r="CD577" s="3"/>
      <c r="CE577" s="2"/>
      <c r="CF577" s="4"/>
      <c r="CG577" s="4"/>
      <c r="CI577" s="2"/>
    </row>
    <row r="578" spans="1:87" s="101" customFormat="1" x14ac:dyDescent="0.35">
      <c r="A578" s="1"/>
      <c r="C578" s="1"/>
      <c r="G578" s="2"/>
      <c r="H578" s="2"/>
      <c r="I578" s="2"/>
      <c r="J578" s="2"/>
      <c r="K578" s="81"/>
      <c r="L578" s="4"/>
      <c r="M578" s="4"/>
      <c r="N578" s="4"/>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3"/>
      <c r="AP578" s="2"/>
      <c r="AQ578" s="2"/>
      <c r="AR578" s="2"/>
      <c r="AS578" s="2"/>
      <c r="AT578" s="2"/>
      <c r="AU578" s="2"/>
      <c r="AV578" s="2"/>
      <c r="AW578" s="2"/>
      <c r="AX578" s="2"/>
      <c r="AY578" s="2"/>
      <c r="AZ578" s="5"/>
      <c r="BA578" s="2"/>
      <c r="BD578" s="2"/>
      <c r="BE578" s="2"/>
      <c r="BF578" s="2"/>
      <c r="BG578" s="2"/>
      <c r="BH578" s="2"/>
      <c r="BI578" s="2"/>
      <c r="BJ578" s="2"/>
      <c r="BK578" s="2"/>
      <c r="BM578" s="2"/>
      <c r="BN578" s="2"/>
      <c r="BO578" s="2"/>
      <c r="BP578" s="2"/>
      <c r="BQ578" s="2"/>
      <c r="BR578" s="6"/>
      <c r="BS578" s="6"/>
      <c r="BT578" s="2"/>
      <c r="BU578" s="2"/>
      <c r="BV578" s="2"/>
      <c r="BW578" s="2"/>
      <c r="BX578" s="2"/>
      <c r="BY578" s="2"/>
      <c r="BZ578" s="2"/>
      <c r="CA578" s="2"/>
      <c r="CB578" s="2"/>
      <c r="CC578" s="2"/>
      <c r="CD578" s="3"/>
      <c r="CE578" s="2"/>
      <c r="CF578" s="4"/>
      <c r="CG578" s="4"/>
      <c r="CI578" s="2"/>
    </row>
    <row r="579" spans="1:87" s="101" customFormat="1" x14ac:dyDescent="0.35">
      <c r="A579" s="1"/>
      <c r="C579" s="1"/>
      <c r="G579" s="2"/>
      <c r="H579" s="2"/>
      <c r="I579" s="2"/>
      <c r="J579" s="2"/>
      <c r="K579" s="81"/>
      <c r="L579" s="4"/>
      <c r="M579" s="4"/>
      <c r="N579" s="4"/>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3"/>
      <c r="AP579" s="2"/>
      <c r="AQ579" s="2"/>
      <c r="AR579" s="2"/>
      <c r="AS579" s="2"/>
      <c r="AT579" s="2"/>
      <c r="AU579" s="2"/>
      <c r="AV579" s="2"/>
      <c r="AW579" s="2"/>
      <c r="AX579" s="2"/>
      <c r="AY579" s="2"/>
      <c r="AZ579" s="5"/>
      <c r="BA579" s="2"/>
      <c r="BD579" s="2"/>
      <c r="BE579" s="2"/>
      <c r="BF579" s="2"/>
      <c r="BG579" s="2"/>
      <c r="BH579" s="2"/>
      <c r="BI579" s="2"/>
      <c r="BJ579" s="2"/>
      <c r="BK579" s="2"/>
      <c r="BM579" s="2"/>
      <c r="BN579" s="2"/>
      <c r="BO579" s="2"/>
      <c r="BP579" s="2"/>
      <c r="BQ579" s="2"/>
      <c r="BR579" s="6"/>
      <c r="BS579" s="6"/>
      <c r="BT579" s="2"/>
      <c r="BU579" s="2"/>
      <c r="BV579" s="2"/>
      <c r="BW579" s="2"/>
      <c r="BX579" s="2"/>
      <c r="BY579" s="2"/>
      <c r="BZ579" s="2"/>
      <c r="CA579" s="2"/>
      <c r="CB579" s="2"/>
      <c r="CC579" s="2"/>
      <c r="CD579" s="3"/>
      <c r="CE579" s="2"/>
      <c r="CF579" s="4"/>
      <c r="CG579" s="4"/>
      <c r="CI579" s="2"/>
    </row>
    <row r="580" spans="1:87" s="101" customFormat="1" x14ac:dyDescent="0.35">
      <c r="A580" s="1"/>
      <c r="C580" s="1"/>
      <c r="G580" s="2"/>
      <c r="H580" s="2"/>
      <c r="I580" s="2"/>
      <c r="J580" s="2"/>
      <c r="K580" s="81"/>
      <c r="L580" s="4"/>
      <c r="M580" s="4"/>
      <c r="N580" s="4"/>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3"/>
      <c r="AP580" s="2"/>
      <c r="AQ580" s="2"/>
      <c r="AR580" s="2"/>
      <c r="AS580" s="2"/>
      <c r="AT580" s="2"/>
      <c r="AU580" s="2"/>
      <c r="AV580" s="2"/>
      <c r="AW580" s="2"/>
      <c r="AX580" s="2"/>
      <c r="AY580" s="2"/>
      <c r="AZ580" s="5"/>
      <c r="BA580" s="2"/>
      <c r="BD580" s="2"/>
      <c r="BE580" s="2"/>
      <c r="BF580" s="2"/>
      <c r="BG580" s="2"/>
      <c r="BH580" s="2"/>
      <c r="BI580" s="2"/>
      <c r="BJ580" s="2"/>
      <c r="BK580" s="2"/>
      <c r="BM580" s="2"/>
      <c r="BN580" s="2"/>
      <c r="BO580" s="2"/>
      <c r="BP580" s="2"/>
      <c r="BQ580" s="2"/>
      <c r="BR580" s="6"/>
      <c r="BS580" s="6"/>
      <c r="BT580" s="2"/>
      <c r="BU580" s="2"/>
      <c r="BV580" s="2"/>
      <c r="BW580" s="2"/>
      <c r="BX580" s="2"/>
      <c r="BY580" s="2"/>
      <c r="BZ580" s="2"/>
      <c r="CA580" s="2"/>
      <c r="CB580" s="2"/>
      <c r="CC580" s="2"/>
      <c r="CD580" s="3"/>
      <c r="CE580" s="2"/>
      <c r="CF580" s="4"/>
      <c r="CG580" s="4"/>
      <c r="CI580" s="2"/>
    </row>
    <row r="581" spans="1:87" s="101" customFormat="1" x14ac:dyDescent="0.35">
      <c r="A581" s="1"/>
      <c r="C581" s="1"/>
      <c r="G581" s="2"/>
      <c r="H581" s="2"/>
      <c r="I581" s="2"/>
      <c r="J581" s="2"/>
      <c r="K581" s="81"/>
      <c r="L581" s="4"/>
      <c r="M581" s="4"/>
      <c r="N581" s="4"/>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3"/>
      <c r="AP581" s="2"/>
      <c r="AQ581" s="2"/>
      <c r="AR581" s="2"/>
      <c r="AS581" s="2"/>
      <c r="AT581" s="2"/>
      <c r="AU581" s="2"/>
      <c r="AV581" s="2"/>
      <c r="AW581" s="2"/>
      <c r="AX581" s="2"/>
      <c r="AY581" s="2"/>
      <c r="AZ581" s="5"/>
      <c r="BA581" s="2"/>
      <c r="BD581" s="2"/>
      <c r="BE581" s="2"/>
      <c r="BF581" s="2"/>
      <c r="BG581" s="2"/>
      <c r="BH581" s="2"/>
      <c r="BI581" s="2"/>
      <c r="BJ581" s="2"/>
      <c r="BK581" s="2"/>
      <c r="BM581" s="2"/>
      <c r="BN581" s="2"/>
      <c r="BO581" s="2"/>
      <c r="BP581" s="2"/>
      <c r="BQ581" s="2"/>
      <c r="BR581" s="6"/>
      <c r="BS581" s="6"/>
      <c r="BT581" s="2"/>
      <c r="BU581" s="2"/>
      <c r="BV581" s="2"/>
      <c r="BW581" s="2"/>
      <c r="BX581" s="2"/>
      <c r="BY581" s="2"/>
      <c r="BZ581" s="2"/>
      <c r="CA581" s="2"/>
      <c r="CB581" s="2"/>
      <c r="CC581" s="2"/>
      <c r="CD581" s="3"/>
      <c r="CE581" s="2"/>
      <c r="CF581" s="4"/>
      <c r="CG581" s="4"/>
      <c r="CI581" s="2"/>
    </row>
    <row r="582" spans="1:87" s="101" customFormat="1" x14ac:dyDescent="0.35">
      <c r="A582" s="1"/>
      <c r="C582" s="1"/>
      <c r="G582" s="2"/>
      <c r="H582" s="2"/>
      <c r="I582" s="2"/>
      <c r="J582" s="2"/>
      <c r="K582" s="81"/>
      <c r="L582" s="4"/>
      <c r="M582" s="4"/>
      <c r="N582" s="4"/>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3"/>
      <c r="AP582" s="2"/>
      <c r="AQ582" s="2"/>
      <c r="AR582" s="2"/>
      <c r="AS582" s="2"/>
      <c r="AT582" s="2"/>
      <c r="AU582" s="2"/>
      <c r="AV582" s="2"/>
      <c r="AW582" s="2"/>
      <c r="AX582" s="2"/>
      <c r="AY582" s="2"/>
      <c r="AZ582" s="5"/>
      <c r="BA582" s="2"/>
      <c r="BD582" s="2"/>
      <c r="BE582" s="2"/>
      <c r="BF582" s="2"/>
      <c r="BG582" s="2"/>
      <c r="BH582" s="2"/>
      <c r="BI582" s="2"/>
      <c r="BJ582" s="2"/>
      <c r="BK582" s="2"/>
      <c r="BM582" s="2"/>
      <c r="BN582" s="2"/>
      <c r="BO582" s="2"/>
      <c r="BP582" s="2"/>
      <c r="BQ582" s="2"/>
      <c r="BR582" s="6"/>
      <c r="BS582" s="6"/>
      <c r="BT582" s="2"/>
      <c r="BU582" s="2"/>
      <c r="BV582" s="2"/>
      <c r="BW582" s="2"/>
      <c r="BX582" s="2"/>
      <c r="BY582" s="2"/>
      <c r="BZ582" s="2"/>
      <c r="CA582" s="2"/>
      <c r="CB582" s="2"/>
      <c r="CC582" s="2"/>
      <c r="CD582" s="3"/>
      <c r="CE582" s="2"/>
      <c r="CF582" s="4"/>
      <c r="CG582" s="4"/>
      <c r="CI582" s="2"/>
    </row>
    <row r="583" spans="1:87" s="101" customFormat="1" x14ac:dyDescent="0.35">
      <c r="A583" s="1"/>
      <c r="C583" s="1"/>
      <c r="G583" s="2"/>
      <c r="H583" s="2"/>
      <c r="I583" s="2"/>
      <c r="J583" s="2"/>
      <c r="K583" s="81"/>
      <c r="L583" s="4"/>
      <c r="M583" s="4"/>
      <c r="N583" s="4"/>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3"/>
      <c r="AP583" s="2"/>
      <c r="AQ583" s="2"/>
      <c r="AR583" s="2"/>
      <c r="AS583" s="2"/>
      <c r="AT583" s="2"/>
      <c r="AU583" s="2"/>
      <c r="AV583" s="2"/>
      <c r="AW583" s="2"/>
      <c r="AX583" s="2"/>
      <c r="AY583" s="2"/>
      <c r="AZ583" s="5"/>
      <c r="BA583" s="2"/>
      <c r="BD583" s="2"/>
      <c r="BE583" s="2"/>
      <c r="BF583" s="2"/>
      <c r="BG583" s="2"/>
      <c r="BH583" s="2"/>
      <c r="BI583" s="2"/>
      <c r="BJ583" s="2"/>
      <c r="BK583" s="2"/>
      <c r="BM583" s="2"/>
      <c r="BN583" s="2"/>
      <c r="BO583" s="2"/>
      <c r="BP583" s="2"/>
      <c r="BQ583" s="2"/>
      <c r="BR583" s="6"/>
      <c r="BS583" s="6"/>
      <c r="BT583" s="2"/>
      <c r="BU583" s="2"/>
      <c r="BV583" s="2"/>
      <c r="BW583" s="2"/>
      <c r="BX583" s="2"/>
      <c r="BY583" s="2"/>
      <c r="BZ583" s="2"/>
      <c r="CA583" s="2"/>
      <c r="CB583" s="2"/>
      <c r="CC583" s="2"/>
      <c r="CD583" s="3"/>
      <c r="CE583" s="2"/>
      <c r="CF583" s="4"/>
      <c r="CG583" s="4"/>
      <c r="CI583" s="2"/>
    </row>
    <row r="584" spans="1:87" s="101" customFormat="1" x14ac:dyDescent="0.35">
      <c r="A584" s="1"/>
      <c r="C584" s="1"/>
      <c r="G584" s="2"/>
      <c r="H584" s="2"/>
      <c r="I584" s="2"/>
      <c r="J584" s="2"/>
      <c r="K584" s="81"/>
      <c r="L584" s="4"/>
      <c r="M584" s="4"/>
      <c r="N584" s="4"/>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3"/>
      <c r="AP584" s="2"/>
      <c r="AQ584" s="2"/>
      <c r="AR584" s="2"/>
      <c r="AS584" s="2"/>
      <c r="AT584" s="2"/>
      <c r="AU584" s="2"/>
      <c r="AV584" s="2"/>
      <c r="AW584" s="2"/>
      <c r="AX584" s="2"/>
      <c r="AY584" s="2"/>
      <c r="AZ584" s="5"/>
      <c r="BA584" s="2"/>
      <c r="BD584" s="2"/>
      <c r="BE584" s="2"/>
      <c r="BF584" s="2"/>
      <c r="BG584" s="2"/>
      <c r="BH584" s="2"/>
      <c r="BI584" s="2"/>
      <c r="BJ584" s="2"/>
      <c r="BK584" s="2"/>
      <c r="BM584" s="2"/>
      <c r="BN584" s="2"/>
      <c r="BO584" s="2"/>
      <c r="BP584" s="2"/>
      <c r="BQ584" s="2"/>
      <c r="BR584" s="6"/>
      <c r="BS584" s="6"/>
      <c r="BT584" s="2"/>
      <c r="BU584" s="2"/>
      <c r="BV584" s="2"/>
      <c r="BW584" s="2"/>
      <c r="BX584" s="2"/>
      <c r="BY584" s="2"/>
      <c r="BZ584" s="2"/>
      <c r="CA584" s="2"/>
      <c r="CB584" s="2"/>
      <c r="CC584" s="2"/>
      <c r="CD584" s="3"/>
      <c r="CE584" s="2"/>
      <c r="CF584" s="4"/>
      <c r="CG584" s="4"/>
      <c r="CI584" s="2"/>
    </row>
    <row r="585" spans="1:87" s="101" customFormat="1" x14ac:dyDescent="0.35">
      <c r="A585" s="1"/>
      <c r="C585" s="1"/>
      <c r="G585" s="2"/>
      <c r="H585" s="2"/>
      <c r="I585" s="2"/>
      <c r="J585" s="2"/>
      <c r="K585" s="81"/>
      <c r="L585" s="4"/>
      <c r="M585" s="4"/>
      <c r="N585" s="4"/>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3"/>
      <c r="AP585" s="2"/>
      <c r="AQ585" s="2"/>
      <c r="AR585" s="2"/>
      <c r="AS585" s="2"/>
      <c r="AT585" s="2"/>
      <c r="AU585" s="2"/>
      <c r="AV585" s="2"/>
      <c r="AW585" s="2"/>
      <c r="AX585" s="2"/>
      <c r="AY585" s="2"/>
      <c r="AZ585" s="5"/>
      <c r="BA585" s="2"/>
      <c r="BD585" s="2"/>
      <c r="BE585" s="2"/>
      <c r="BF585" s="2"/>
      <c r="BG585" s="2"/>
      <c r="BH585" s="2"/>
      <c r="BI585" s="2"/>
      <c r="BJ585" s="2"/>
      <c r="BK585" s="2"/>
      <c r="BM585" s="2"/>
      <c r="BN585" s="2"/>
      <c r="BO585" s="2"/>
      <c r="BP585" s="2"/>
      <c r="BQ585" s="2"/>
      <c r="BR585" s="6"/>
      <c r="BS585" s="6"/>
      <c r="BT585" s="2"/>
      <c r="BU585" s="2"/>
      <c r="BV585" s="2"/>
      <c r="BW585" s="2"/>
      <c r="BX585" s="2"/>
      <c r="BY585" s="2"/>
      <c r="BZ585" s="2"/>
      <c r="CA585" s="2"/>
      <c r="CB585" s="2"/>
      <c r="CC585" s="2"/>
      <c r="CD585" s="3"/>
      <c r="CE585" s="2"/>
      <c r="CF585" s="4"/>
      <c r="CG585" s="4"/>
      <c r="CI585" s="2"/>
    </row>
    <row r="586" spans="1:87" s="101" customFormat="1" x14ac:dyDescent="0.35">
      <c r="A586" s="1"/>
      <c r="C586" s="1"/>
      <c r="G586" s="2"/>
      <c r="H586" s="2"/>
      <c r="I586" s="2"/>
      <c r="J586" s="2"/>
      <c r="K586" s="81"/>
      <c r="L586" s="4"/>
      <c r="M586" s="4"/>
      <c r="N586" s="4"/>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3"/>
      <c r="AP586" s="2"/>
      <c r="AQ586" s="2"/>
      <c r="AR586" s="2"/>
      <c r="AS586" s="2"/>
      <c r="AT586" s="2"/>
      <c r="AU586" s="2"/>
      <c r="AV586" s="2"/>
      <c r="AW586" s="2"/>
      <c r="AX586" s="2"/>
      <c r="AY586" s="2"/>
      <c r="AZ586" s="5"/>
      <c r="BA586" s="2"/>
      <c r="BD586" s="2"/>
      <c r="BE586" s="2"/>
      <c r="BF586" s="2"/>
      <c r="BG586" s="2"/>
      <c r="BH586" s="2"/>
      <c r="BI586" s="2"/>
      <c r="BJ586" s="2"/>
      <c r="BK586" s="2"/>
      <c r="BM586" s="2"/>
      <c r="BN586" s="2"/>
      <c r="BO586" s="2"/>
      <c r="BP586" s="2"/>
      <c r="BQ586" s="2"/>
      <c r="BR586" s="6"/>
      <c r="BS586" s="6"/>
      <c r="BT586" s="2"/>
      <c r="BU586" s="2"/>
      <c r="BV586" s="2"/>
      <c r="BW586" s="2"/>
      <c r="BX586" s="2"/>
      <c r="BY586" s="2"/>
      <c r="BZ586" s="2"/>
      <c r="CA586" s="2"/>
      <c r="CB586" s="2"/>
      <c r="CC586" s="2"/>
      <c r="CD586" s="3"/>
      <c r="CE586" s="2"/>
      <c r="CF586" s="4"/>
      <c r="CG586" s="4"/>
      <c r="CI586" s="2"/>
    </row>
    <row r="587" spans="1:87" s="101" customFormat="1" x14ac:dyDescent="0.35">
      <c r="A587" s="1"/>
      <c r="C587" s="1"/>
      <c r="G587" s="2"/>
      <c r="H587" s="2"/>
      <c r="I587" s="2"/>
      <c r="J587" s="2"/>
      <c r="K587" s="81"/>
      <c r="L587" s="4"/>
      <c r="M587" s="4"/>
      <c r="N587" s="4"/>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3"/>
      <c r="AP587" s="2"/>
      <c r="AQ587" s="2"/>
      <c r="AR587" s="2"/>
      <c r="AS587" s="2"/>
      <c r="AT587" s="2"/>
      <c r="AU587" s="2"/>
      <c r="AV587" s="2"/>
      <c r="AW587" s="2"/>
      <c r="AX587" s="2"/>
      <c r="AY587" s="2"/>
      <c r="AZ587" s="5"/>
      <c r="BA587" s="2"/>
      <c r="BD587" s="2"/>
      <c r="BE587" s="2"/>
      <c r="BF587" s="2"/>
      <c r="BG587" s="2"/>
      <c r="BH587" s="2"/>
      <c r="BI587" s="2"/>
      <c r="BJ587" s="2"/>
      <c r="BK587" s="2"/>
      <c r="BM587" s="2"/>
      <c r="BN587" s="2"/>
      <c r="BO587" s="2"/>
      <c r="BP587" s="2"/>
      <c r="BQ587" s="2"/>
      <c r="BR587" s="6"/>
      <c r="BS587" s="6"/>
      <c r="BT587" s="2"/>
      <c r="BU587" s="2"/>
      <c r="BV587" s="2"/>
      <c r="BW587" s="2"/>
      <c r="BX587" s="2"/>
      <c r="BY587" s="2"/>
      <c r="BZ587" s="2"/>
      <c r="CA587" s="2"/>
      <c r="CB587" s="2"/>
      <c r="CC587" s="2"/>
      <c r="CD587" s="3"/>
      <c r="CE587" s="2"/>
      <c r="CF587" s="4"/>
      <c r="CG587" s="4"/>
      <c r="CI587" s="2"/>
    </row>
    <row r="588" spans="1:87" s="101" customFormat="1" x14ac:dyDescent="0.35">
      <c r="A588" s="1"/>
      <c r="C588" s="1"/>
      <c r="G588" s="2"/>
      <c r="H588" s="2"/>
      <c r="I588" s="2"/>
      <c r="J588" s="2"/>
      <c r="K588" s="81"/>
      <c r="L588" s="4"/>
      <c r="M588" s="4"/>
      <c r="N588" s="4"/>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3"/>
      <c r="AP588" s="2"/>
      <c r="AQ588" s="2"/>
      <c r="AR588" s="2"/>
      <c r="AS588" s="2"/>
      <c r="AT588" s="2"/>
      <c r="AU588" s="2"/>
      <c r="AV588" s="2"/>
      <c r="AW588" s="2"/>
      <c r="AX588" s="2"/>
      <c r="AY588" s="2"/>
      <c r="AZ588" s="5"/>
      <c r="BA588" s="2"/>
      <c r="BD588" s="2"/>
      <c r="BE588" s="2"/>
      <c r="BF588" s="2"/>
      <c r="BG588" s="2"/>
      <c r="BH588" s="2"/>
      <c r="BI588" s="2"/>
      <c r="BJ588" s="2"/>
      <c r="BK588" s="2"/>
      <c r="BM588" s="2"/>
      <c r="BN588" s="2"/>
      <c r="BO588" s="2"/>
      <c r="BP588" s="2"/>
      <c r="BQ588" s="2"/>
      <c r="BR588" s="6"/>
      <c r="BS588" s="6"/>
      <c r="BT588" s="2"/>
      <c r="BU588" s="2"/>
      <c r="BV588" s="2"/>
      <c r="BW588" s="2"/>
      <c r="BX588" s="2"/>
      <c r="BY588" s="2"/>
      <c r="BZ588" s="2"/>
      <c r="CA588" s="2"/>
      <c r="CB588" s="2"/>
      <c r="CC588" s="2"/>
      <c r="CD588" s="3"/>
      <c r="CE588" s="2"/>
      <c r="CF588" s="4"/>
      <c r="CG588" s="4"/>
      <c r="CI588" s="2"/>
    </row>
    <row r="589" spans="1:87" s="101" customFormat="1" x14ac:dyDescent="0.35">
      <c r="A589" s="1"/>
      <c r="C589" s="1"/>
      <c r="G589" s="2"/>
      <c r="H589" s="2"/>
      <c r="I589" s="2"/>
      <c r="J589" s="2"/>
      <c r="K589" s="81"/>
      <c r="L589" s="4"/>
      <c r="M589" s="4"/>
      <c r="N589" s="4"/>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3"/>
      <c r="AP589" s="2"/>
      <c r="AQ589" s="2"/>
      <c r="AR589" s="2"/>
      <c r="AS589" s="2"/>
      <c r="AT589" s="2"/>
      <c r="AU589" s="2"/>
      <c r="AV589" s="2"/>
      <c r="AW589" s="2"/>
      <c r="AX589" s="2"/>
      <c r="AY589" s="2"/>
      <c r="AZ589" s="5"/>
      <c r="BA589" s="2"/>
      <c r="BD589" s="2"/>
      <c r="BE589" s="2"/>
      <c r="BF589" s="2"/>
      <c r="BG589" s="2"/>
      <c r="BH589" s="2"/>
      <c r="BI589" s="2"/>
      <c r="BJ589" s="2"/>
      <c r="BK589" s="2"/>
      <c r="BM589" s="2"/>
      <c r="BN589" s="2"/>
      <c r="BO589" s="2"/>
      <c r="BP589" s="2"/>
      <c r="BQ589" s="2"/>
      <c r="BR589" s="6"/>
      <c r="BS589" s="6"/>
      <c r="BT589" s="2"/>
      <c r="BU589" s="2"/>
      <c r="BV589" s="2"/>
      <c r="BW589" s="2"/>
      <c r="BX589" s="2"/>
      <c r="BY589" s="2"/>
      <c r="BZ589" s="2"/>
      <c r="CA589" s="2"/>
      <c r="CB589" s="2"/>
      <c r="CC589" s="2"/>
      <c r="CD589" s="3"/>
      <c r="CE589" s="2"/>
      <c r="CF589" s="4"/>
      <c r="CG589" s="4"/>
      <c r="CI589" s="2"/>
    </row>
    <row r="590" spans="1:87" s="101" customFormat="1" x14ac:dyDescent="0.35">
      <c r="A590" s="1"/>
      <c r="C590" s="1"/>
      <c r="G590" s="2"/>
      <c r="H590" s="2"/>
      <c r="I590" s="2"/>
      <c r="J590" s="2"/>
      <c r="K590" s="81"/>
      <c r="L590" s="4"/>
      <c r="M590" s="4"/>
      <c r="N590" s="4"/>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3"/>
      <c r="AP590" s="2"/>
      <c r="AQ590" s="2"/>
      <c r="AR590" s="2"/>
      <c r="AS590" s="2"/>
      <c r="AT590" s="2"/>
      <c r="AU590" s="2"/>
      <c r="AV590" s="2"/>
      <c r="AW590" s="2"/>
      <c r="AX590" s="2"/>
      <c r="AY590" s="2"/>
      <c r="AZ590" s="5"/>
      <c r="BA590" s="2"/>
      <c r="BD590" s="2"/>
      <c r="BE590" s="2"/>
      <c r="BF590" s="2"/>
      <c r="BG590" s="2"/>
      <c r="BH590" s="2"/>
      <c r="BI590" s="2"/>
      <c r="BJ590" s="2"/>
      <c r="BK590" s="2"/>
      <c r="BM590" s="2"/>
      <c r="BN590" s="2"/>
      <c r="BO590" s="2"/>
      <c r="BP590" s="2"/>
      <c r="BQ590" s="2"/>
      <c r="BR590" s="6"/>
      <c r="BS590" s="6"/>
      <c r="BT590" s="2"/>
      <c r="BU590" s="2"/>
      <c r="BV590" s="2"/>
      <c r="BW590" s="2"/>
      <c r="BX590" s="2"/>
      <c r="BY590" s="2"/>
      <c r="BZ590" s="2"/>
      <c r="CA590" s="2"/>
      <c r="CB590" s="2"/>
      <c r="CC590" s="2"/>
      <c r="CD590" s="3"/>
      <c r="CE590" s="2"/>
      <c r="CF590" s="4"/>
      <c r="CG590" s="4"/>
      <c r="CI590" s="2"/>
    </row>
    <row r="591" spans="1:87" s="101" customFormat="1" x14ac:dyDescent="0.35">
      <c r="A591" s="1"/>
      <c r="C591" s="1"/>
      <c r="G591" s="2"/>
      <c r="H591" s="2"/>
      <c r="I591" s="2"/>
      <c r="J591" s="2"/>
      <c r="K591" s="81"/>
      <c r="L591" s="4"/>
      <c r="M591" s="4"/>
      <c r="N591" s="4"/>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3"/>
      <c r="AP591" s="2"/>
      <c r="AQ591" s="2"/>
      <c r="AR591" s="2"/>
      <c r="AS591" s="2"/>
      <c r="AT591" s="2"/>
      <c r="AU591" s="2"/>
      <c r="AV591" s="2"/>
      <c r="AW591" s="2"/>
      <c r="AX591" s="2"/>
      <c r="AY591" s="2"/>
      <c r="AZ591" s="5"/>
      <c r="BA591" s="2"/>
      <c r="BD591" s="2"/>
      <c r="BE591" s="2"/>
      <c r="BF591" s="2"/>
      <c r="BG591" s="2"/>
      <c r="BH591" s="2"/>
      <c r="BI591" s="2"/>
      <c r="BJ591" s="2"/>
      <c r="BK591" s="2"/>
      <c r="BM591" s="2"/>
      <c r="BN591" s="2"/>
      <c r="BO591" s="2"/>
      <c r="BP591" s="2"/>
      <c r="BQ591" s="2"/>
      <c r="BR591" s="6"/>
      <c r="BS591" s="6"/>
      <c r="BT591" s="2"/>
      <c r="BU591" s="2"/>
      <c r="BV591" s="2"/>
      <c r="BW591" s="2"/>
      <c r="BX591" s="2"/>
      <c r="BY591" s="2"/>
      <c r="BZ591" s="2"/>
      <c r="CA591" s="2"/>
      <c r="CB591" s="2"/>
      <c r="CC591" s="2"/>
      <c r="CD591" s="3"/>
      <c r="CE591" s="2"/>
      <c r="CF591" s="4"/>
      <c r="CG591" s="4"/>
      <c r="CI591" s="2"/>
    </row>
    <row r="592" spans="1:87" s="101" customFormat="1" x14ac:dyDescent="0.35">
      <c r="A592" s="1"/>
      <c r="C592" s="1"/>
      <c r="G592" s="2"/>
      <c r="H592" s="2"/>
      <c r="I592" s="2"/>
      <c r="J592" s="2"/>
      <c r="K592" s="81"/>
      <c r="L592" s="4"/>
      <c r="M592" s="4"/>
      <c r="N592" s="4"/>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3"/>
      <c r="AP592" s="2"/>
      <c r="AQ592" s="2"/>
      <c r="AR592" s="2"/>
      <c r="AS592" s="2"/>
      <c r="AT592" s="2"/>
      <c r="AU592" s="2"/>
      <c r="AV592" s="2"/>
      <c r="AW592" s="2"/>
      <c r="AX592" s="2"/>
      <c r="AY592" s="2"/>
      <c r="AZ592" s="5"/>
      <c r="BA592" s="2"/>
      <c r="BD592" s="2"/>
      <c r="BE592" s="2"/>
      <c r="BF592" s="2"/>
      <c r="BG592" s="2"/>
      <c r="BH592" s="2"/>
      <c r="BI592" s="2"/>
      <c r="BJ592" s="2"/>
      <c r="BK592" s="2"/>
      <c r="BM592" s="2"/>
      <c r="BN592" s="2"/>
      <c r="BO592" s="2"/>
      <c r="BP592" s="2"/>
      <c r="BQ592" s="2"/>
      <c r="BR592" s="6"/>
      <c r="BS592" s="6"/>
      <c r="BT592" s="2"/>
      <c r="BU592" s="2"/>
      <c r="BV592" s="2"/>
      <c r="BW592" s="2"/>
      <c r="BX592" s="2"/>
      <c r="BY592" s="2"/>
      <c r="BZ592" s="2"/>
      <c r="CA592" s="2"/>
      <c r="CB592" s="2"/>
      <c r="CC592" s="2"/>
      <c r="CD592" s="3"/>
      <c r="CE592" s="2"/>
      <c r="CF592" s="4"/>
      <c r="CG592" s="4"/>
      <c r="CI592" s="2"/>
    </row>
    <row r="593" spans="1:87" s="101" customFormat="1" x14ac:dyDescent="0.35">
      <c r="A593" s="1"/>
      <c r="C593" s="1"/>
      <c r="G593" s="2"/>
      <c r="H593" s="2"/>
      <c r="I593" s="2"/>
      <c r="J593" s="2"/>
      <c r="K593" s="81"/>
      <c r="L593" s="4"/>
      <c r="M593" s="4"/>
      <c r="N593" s="4"/>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3"/>
      <c r="AP593" s="2"/>
      <c r="AQ593" s="2"/>
      <c r="AR593" s="2"/>
      <c r="AS593" s="2"/>
      <c r="AT593" s="2"/>
      <c r="AU593" s="2"/>
      <c r="AV593" s="2"/>
      <c r="AW593" s="2"/>
      <c r="AX593" s="2"/>
      <c r="AY593" s="2"/>
      <c r="AZ593" s="5"/>
      <c r="BA593" s="2"/>
      <c r="BD593" s="2"/>
      <c r="BE593" s="2"/>
      <c r="BF593" s="2"/>
      <c r="BG593" s="2"/>
      <c r="BH593" s="2"/>
      <c r="BI593" s="2"/>
      <c r="BJ593" s="2"/>
      <c r="BK593" s="2"/>
      <c r="BM593" s="2"/>
      <c r="BN593" s="2"/>
      <c r="BO593" s="2"/>
      <c r="BP593" s="2"/>
      <c r="BQ593" s="2"/>
      <c r="BR593" s="6"/>
      <c r="BS593" s="6"/>
      <c r="BT593" s="2"/>
      <c r="BU593" s="2"/>
      <c r="BV593" s="2"/>
      <c r="BW593" s="2"/>
      <c r="BX593" s="2"/>
      <c r="BY593" s="2"/>
      <c r="BZ593" s="2"/>
      <c r="CA593" s="2"/>
      <c r="CB593" s="2"/>
      <c r="CC593" s="2"/>
      <c r="CD593" s="3"/>
      <c r="CE593" s="2"/>
      <c r="CF593" s="4"/>
      <c r="CG593" s="4"/>
      <c r="CI593" s="2"/>
    </row>
    <row r="594" spans="1:87" s="101" customFormat="1" x14ac:dyDescent="0.35">
      <c r="A594" s="1"/>
      <c r="C594" s="1"/>
      <c r="G594" s="2"/>
      <c r="H594" s="2"/>
      <c r="I594" s="2"/>
      <c r="J594" s="2"/>
      <c r="K594" s="81"/>
      <c r="L594" s="4"/>
      <c r="M594" s="4"/>
      <c r="N594" s="4"/>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3"/>
      <c r="AP594" s="2"/>
      <c r="AQ594" s="2"/>
      <c r="AR594" s="2"/>
      <c r="AS594" s="2"/>
      <c r="AT594" s="2"/>
      <c r="AU594" s="2"/>
      <c r="AV594" s="2"/>
      <c r="AW594" s="2"/>
      <c r="AX594" s="2"/>
      <c r="AY594" s="2"/>
      <c r="AZ594" s="5"/>
      <c r="BA594" s="2"/>
      <c r="BD594" s="2"/>
      <c r="BE594" s="2"/>
      <c r="BF594" s="2"/>
      <c r="BG594" s="2"/>
      <c r="BH594" s="2"/>
      <c r="BI594" s="2"/>
      <c r="BJ594" s="2"/>
      <c r="BK594" s="2"/>
      <c r="BM594" s="2"/>
      <c r="BN594" s="2"/>
      <c r="BO594" s="2"/>
      <c r="BP594" s="2"/>
      <c r="BQ594" s="2"/>
      <c r="BR594" s="6"/>
      <c r="BS594" s="6"/>
      <c r="BT594" s="2"/>
      <c r="BU594" s="2"/>
      <c r="BV594" s="2"/>
      <c r="BW594" s="2"/>
      <c r="BX594" s="2"/>
      <c r="BY594" s="2"/>
      <c r="BZ594" s="2"/>
      <c r="CA594" s="2"/>
      <c r="CB594" s="2"/>
      <c r="CC594" s="2"/>
      <c r="CD594" s="3"/>
      <c r="CE594" s="2"/>
      <c r="CF594" s="4"/>
      <c r="CG594" s="4"/>
      <c r="CI594" s="2"/>
    </row>
    <row r="595" spans="1:87" s="101" customFormat="1" x14ac:dyDescent="0.35">
      <c r="A595" s="1"/>
      <c r="C595" s="1"/>
      <c r="G595" s="2"/>
      <c r="H595" s="2"/>
      <c r="I595" s="2"/>
      <c r="J595" s="2"/>
      <c r="K595" s="81"/>
      <c r="L595" s="4"/>
      <c r="M595" s="4"/>
      <c r="N595" s="4"/>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3"/>
      <c r="AP595" s="2"/>
      <c r="AQ595" s="2"/>
      <c r="AR595" s="2"/>
      <c r="AS595" s="2"/>
      <c r="AT595" s="2"/>
      <c r="AU595" s="2"/>
      <c r="AV595" s="2"/>
      <c r="AW595" s="2"/>
      <c r="AX595" s="2"/>
      <c r="AY595" s="2"/>
      <c r="AZ595" s="5"/>
      <c r="BA595" s="2"/>
      <c r="BD595" s="2"/>
      <c r="BE595" s="2"/>
      <c r="BF595" s="2"/>
      <c r="BG595" s="2"/>
      <c r="BH595" s="2"/>
      <c r="BI595" s="2"/>
      <c r="BJ595" s="2"/>
      <c r="BK595" s="2"/>
      <c r="BM595" s="2"/>
      <c r="BN595" s="2"/>
      <c r="BO595" s="2"/>
      <c r="BP595" s="2"/>
      <c r="BQ595" s="2"/>
      <c r="BR595" s="6"/>
      <c r="BS595" s="6"/>
      <c r="BT595" s="2"/>
      <c r="BU595" s="2"/>
      <c r="BV595" s="2"/>
      <c r="BW595" s="2"/>
      <c r="BX595" s="2"/>
      <c r="BY595" s="2"/>
      <c r="BZ595" s="2"/>
      <c r="CA595" s="2"/>
      <c r="CB595" s="2"/>
      <c r="CC595" s="2"/>
      <c r="CD595" s="3"/>
      <c r="CE595" s="2"/>
      <c r="CF595" s="4"/>
      <c r="CG595" s="4"/>
      <c r="CI595" s="2"/>
    </row>
    <row r="596" spans="1:87" s="101" customFormat="1" x14ac:dyDescent="0.35">
      <c r="A596" s="1"/>
      <c r="C596" s="1"/>
      <c r="G596" s="2"/>
      <c r="H596" s="2"/>
      <c r="I596" s="2"/>
      <c r="J596" s="2"/>
      <c r="K596" s="81"/>
      <c r="L596" s="4"/>
      <c r="M596" s="4"/>
      <c r="N596" s="4"/>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3"/>
      <c r="AP596" s="2"/>
      <c r="AQ596" s="2"/>
      <c r="AR596" s="2"/>
      <c r="AS596" s="2"/>
      <c r="AT596" s="2"/>
      <c r="AU596" s="2"/>
      <c r="AV596" s="2"/>
      <c r="AW596" s="2"/>
      <c r="AX596" s="2"/>
      <c r="AY596" s="2"/>
      <c r="AZ596" s="5"/>
      <c r="BA596" s="2"/>
      <c r="BD596" s="2"/>
      <c r="BE596" s="2"/>
      <c r="BF596" s="2"/>
      <c r="BG596" s="2"/>
      <c r="BH596" s="2"/>
      <c r="BI596" s="2"/>
      <c r="BJ596" s="2"/>
      <c r="BK596" s="2"/>
      <c r="BM596" s="2"/>
      <c r="BN596" s="2"/>
      <c r="BO596" s="2"/>
      <c r="BP596" s="2"/>
      <c r="BQ596" s="2"/>
      <c r="BR596" s="6"/>
      <c r="BS596" s="6"/>
      <c r="BT596" s="2"/>
      <c r="BU596" s="2"/>
      <c r="BV596" s="2"/>
      <c r="BW596" s="2"/>
      <c r="BX596" s="2"/>
      <c r="BY596" s="2"/>
      <c r="BZ596" s="2"/>
      <c r="CA596" s="2"/>
      <c r="CB596" s="2"/>
      <c r="CC596" s="2"/>
      <c r="CD596" s="3"/>
      <c r="CE596" s="2"/>
      <c r="CF596" s="4"/>
      <c r="CG596" s="4"/>
      <c r="CI596" s="2"/>
    </row>
    <row r="597" spans="1:87" s="101" customFormat="1" x14ac:dyDescent="0.35">
      <c r="A597" s="1"/>
      <c r="C597" s="1"/>
      <c r="G597" s="2"/>
      <c r="H597" s="2"/>
      <c r="I597" s="2"/>
      <c r="J597" s="2"/>
      <c r="K597" s="81"/>
      <c r="L597" s="4"/>
      <c r="M597" s="4"/>
      <c r="N597" s="4"/>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3"/>
      <c r="AP597" s="2"/>
      <c r="AQ597" s="2"/>
      <c r="AR597" s="2"/>
      <c r="AS597" s="2"/>
      <c r="AT597" s="2"/>
      <c r="AU597" s="2"/>
      <c r="AV597" s="2"/>
      <c r="AW597" s="2"/>
      <c r="AX597" s="2"/>
      <c r="AY597" s="2"/>
      <c r="AZ597" s="5"/>
      <c r="BA597" s="2"/>
      <c r="BD597" s="2"/>
      <c r="BE597" s="2"/>
      <c r="BF597" s="2"/>
      <c r="BG597" s="2"/>
      <c r="BH597" s="2"/>
      <c r="BI597" s="2"/>
      <c r="BJ597" s="2"/>
      <c r="BK597" s="2"/>
      <c r="BM597" s="2"/>
      <c r="BN597" s="2"/>
      <c r="BO597" s="2"/>
      <c r="BP597" s="2"/>
      <c r="BQ597" s="2"/>
      <c r="BR597" s="6"/>
      <c r="BS597" s="6"/>
      <c r="BT597" s="2"/>
      <c r="BU597" s="2"/>
      <c r="BV597" s="2"/>
      <c r="BW597" s="2"/>
      <c r="BX597" s="2"/>
      <c r="BY597" s="2"/>
      <c r="BZ597" s="2"/>
      <c r="CA597" s="2"/>
      <c r="CB597" s="2"/>
      <c r="CC597" s="2"/>
      <c r="CD597" s="3"/>
      <c r="CE597" s="2"/>
      <c r="CF597" s="4"/>
      <c r="CG597" s="4"/>
      <c r="CI597" s="2"/>
    </row>
    <row r="598" spans="1:87" s="101" customFormat="1" x14ac:dyDescent="0.35">
      <c r="A598" s="1"/>
      <c r="C598" s="1"/>
      <c r="G598" s="2"/>
      <c r="H598" s="2"/>
      <c r="I598" s="2"/>
      <c r="J598" s="2"/>
      <c r="K598" s="81"/>
      <c r="L598" s="4"/>
      <c r="M598" s="4"/>
      <c r="N598" s="4"/>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3"/>
      <c r="AP598" s="2"/>
      <c r="AQ598" s="2"/>
      <c r="AR598" s="2"/>
      <c r="AS598" s="2"/>
      <c r="AT598" s="2"/>
      <c r="AU598" s="2"/>
      <c r="AV598" s="2"/>
      <c r="AW598" s="2"/>
      <c r="AX598" s="2"/>
      <c r="AY598" s="2"/>
      <c r="AZ598" s="5"/>
      <c r="BA598" s="2"/>
      <c r="BD598" s="2"/>
      <c r="BE598" s="2"/>
      <c r="BF598" s="2"/>
      <c r="BG598" s="2"/>
      <c r="BH598" s="2"/>
      <c r="BI598" s="2"/>
      <c r="BJ598" s="2"/>
      <c r="BK598" s="2"/>
      <c r="BM598" s="2"/>
      <c r="BN598" s="2"/>
      <c r="BO598" s="2"/>
      <c r="BP598" s="2"/>
      <c r="BQ598" s="2"/>
      <c r="BR598" s="6"/>
      <c r="BS598" s="6"/>
      <c r="BT598" s="2"/>
      <c r="BU598" s="2"/>
      <c r="BV598" s="2"/>
      <c r="BW598" s="2"/>
      <c r="BX598" s="2"/>
      <c r="BY598" s="2"/>
      <c r="BZ598" s="2"/>
      <c r="CA598" s="2"/>
      <c r="CB598" s="2"/>
      <c r="CC598" s="2"/>
      <c r="CD598" s="3"/>
      <c r="CE598" s="2"/>
      <c r="CF598" s="4"/>
      <c r="CG598" s="4"/>
      <c r="CI598" s="2"/>
    </row>
    <row r="599" spans="1:87" s="101" customFormat="1" x14ac:dyDescent="0.35">
      <c r="A599" s="1"/>
      <c r="C599" s="1"/>
      <c r="G599" s="2"/>
      <c r="H599" s="2"/>
      <c r="I599" s="2"/>
      <c r="J599" s="2"/>
      <c r="K599" s="81"/>
      <c r="L599" s="4"/>
      <c r="M599" s="4"/>
      <c r="N599" s="4"/>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3"/>
      <c r="AP599" s="2"/>
      <c r="AQ599" s="2"/>
      <c r="AR599" s="2"/>
      <c r="AS599" s="2"/>
      <c r="AT599" s="2"/>
      <c r="AU599" s="2"/>
      <c r="AV599" s="2"/>
      <c r="AW599" s="2"/>
      <c r="AX599" s="2"/>
      <c r="AY599" s="2"/>
      <c r="AZ599" s="5"/>
      <c r="BA599" s="2"/>
      <c r="BD599" s="2"/>
      <c r="BE599" s="2"/>
      <c r="BF599" s="2"/>
      <c r="BG599" s="2"/>
      <c r="BH599" s="2"/>
      <c r="BI599" s="2"/>
      <c r="BJ599" s="2"/>
      <c r="BK599" s="2"/>
      <c r="BM599" s="2"/>
      <c r="BN599" s="2"/>
      <c r="BO599" s="2"/>
      <c r="BP599" s="2"/>
      <c r="BQ599" s="2"/>
      <c r="BR599" s="6"/>
      <c r="BS599" s="6"/>
      <c r="BT599" s="2"/>
      <c r="BU599" s="2"/>
      <c r="BV599" s="2"/>
      <c r="BW599" s="2"/>
      <c r="BX599" s="2"/>
      <c r="BY599" s="2"/>
      <c r="BZ599" s="2"/>
      <c r="CA599" s="2"/>
      <c r="CB599" s="2"/>
      <c r="CC599" s="2"/>
      <c r="CD599" s="3"/>
      <c r="CE599" s="2"/>
      <c r="CF599" s="4"/>
      <c r="CG599" s="4"/>
      <c r="CI599" s="2"/>
    </row>
    <row r="600" spans="1:87" s="101" customFormat="1" x14ac:dyDescent="0.35">
      <c r="A600" s="1"/>
      <c r="C600" s="1"/>
      <c r="G600" s="2"/>
      <c r="H600" s="2"/>
      <c r="I600" s="2"/>
      <c r="J600" s="2"/>
      <c r="K600" s="81"/>
      <c r="L600" s="4"/>
      <c r="M600" s="4"/>
      <c r="N600" s="4"/>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3"/>
      <c r="AP600" s="2"/>
      <c r="AQ600" s="2"/>
      <c r="AR600" s="2"/>
      <c r="AS600" s="2"/>
      <c r="AT600" s="2"/>
      <c r="AU600" s="2"/>
      <c r="AV600" s="2"/>
      <c r="AW600" s="2"/>
      <c r="AX600" s="2"/>
      <c r="AY600" s="2"/>
      <c r="AZ600" s="5"/>
      <c r="BA600" s="2"/>
      <c r="BD600" s="2"/>
      <c r="BE600" s="2"/>
      <c r="BF600" s="2"/>
      <c r="BG600" s="2"/>
      <c r="BH600" s="2"/>
      <c r="BI600" s="2"/>
      <c r="BJ600" s="2"/>
      <c r="BK600" s="2"/>
      <c r="BM600" s="2"/>
      <c r="BN600" s="2"/>
      <c r="BO600" s="2"/>
      <c r="BP600" s="2"/>
      <c r="BQ600" s="2"/>
      <c r="BR600" s="6"/>
      <c r="BS600" s="6"/>
      <c r="BT600" s="2"/>
      <c r="BU600" s="2"/>
      <c r="BV600" s="2"/>
      <c r="BW600" s="2"/>
      <c r="BX600" s="2"/>
      <c r="BY600" s="2"/>
      <c r="BZ600" s="2"/>
      <c r="CA600" s="2"/>
      <c r="CB600" s="2"/>
      <c r="CC600" s="2"/>
      <c r="CD600" s="3"/>
      <c r="CE600" s="2"/>
      <c r="CF600" s="4"/>
      <c r="CG600" s="4"/>
      <c r="CI600" s="2"/>
    </row>
    <row r="601" spans="1:87" s="101" customFormat="1" x14ac:dyDescent="0.35">
      <c r="A601" s="1"/>
      <c r="C601" s="1"/>
      <c r="G601" s="2"/>
      <c r="H601" s="2"/>
      <c r="I601" s="2"/>
      <c r="J601" s="2"/>
      <c r="K601" s="81"/>
      <c r="L601" s="4"/>
      <c r="M601" s="4"/>
      <c r="N601" s="4"/>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3"/>
      <c r="AP601" s="2"/>
      <c r="AQ601" s="2"/>
      <c r="AR601" s="2"/>
      <c r="AS601" s="2"/>
      <c r="AT601" s="2"/>
      <c r="AU601" s="2"/>
      <c r="AV601" s="2"/>
      <c r="AW601" s="2"/>
      <c r="AX601" s="2"/>
      <c r="AY601" s="2"/>
      <c r="AZ601" s="5"/>
      <c r="BA601" s="2"/>
      <c r="BD601" s="2"/>
      <c r="BE601" s="2"/>
      <c r="BF601" s="2"/>
      <c r="BG601" s="2"/>
      <c r="BH601" s="2"/>
      <c r="BI601" s="2"/>
      <c r="BJ601" s="2"/>
      <c r="BK601" s="2"/>
      <c r="BM601" s="2"/>
      <c r="BN601" s="2"/>
      <c r="BO601" s="2"/>
      <c r="BP601" s="2"/>
      <c r="BQ601" s="2"/>
      <c r="BR601" s="6"/>
      <c r="BS601" s="6"/>
      <c r="BT601" s="2"/>
      <c r="BU601" s="2"/>
      <c r="BV601" s="2"/>
      <c r="BW601" s="2"/>
      <c r="BX601" s="2"/>
      <c r="BY601" s="2"/>
      <c r="BZ601" s="2"/>
      <c r="CA601" s="2"/>
      <c r="CB601" s="2"/>
      <c r="CC601" s="2"/>
      <c r="CD601" s="3"/>
      <c r="CE601" s="2"/>
      <c r="CF601" s="4"/>
      <c r="CG601" s="4"/>
      <c r="CI601" s="2"/>
    </row>
    <row r="602" spans="1:87" s="101" customFormat="1" x14ac:dyDescent="0.35">
      <c r="A602" s="1"/>
      <c r="C602" s="1"/>
      <c r="G602" s="2"/>
      <c r="H602" s="2"/>
      <c r="I602" s="2"/>
      <c r="J602" s="2"/>
      <c r="K602" s="81"/>
      <c r="L602" s="4"/>
      <c r="M602" s="4"/>
      <c r="N602" s="4"/>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3"/>
      <c r="AP602" s="2"/>
      <c r="AQ602" s="2"/>
      <c r="AR602" s="2"/>
      <c r="AS602" s="2"/>
      <c r="AT602" s="2"/>
      <c r="AU602" s="2"/>
      <c r="AV602" s="2"/>
      <c r="AW602" s="2"/>
      <c r="AX602" s="2"/>
      <c r="AY602" s="2"/>
      <c r="AZ602" s="5"/>
      <c r="BA602" s="2"/>
      <c r="BD602" s="2"/>
      <c r="BE602" s="2"/>
      <c r="BF602" s="2"/>
      <c r="BG602" s="2"/>
      <c r="BH602" s="2"/>
      <c r="BI602" s="2"/>
      <c r="BJ602" s="2"/>
      <c r="BK602" s="2"/>
      <c r="BM602" s="2"/>
      <c r="BN602" s="2"/>
      <c r="BO602" s="2"/>
      <c r="BP602" s="2"/>
      <c r="BQ602" s="2"/>
      <c r="BR602" s="6"/>
      <c r="BS602" s="6"/>
      <c r="BT602" s="2"/>
      <c r="BU602" s="2"/>
      <c r="BV602" s="2"/>
      <c r="BW602" s="2"/>
      <c r="BX602" s="2"/>
      <c r="BY602" s="2"/>
      <c r="BZ602" s="2"/>
      <c r="CA602" s="2"/>
      <c r="CB602" s="2"/>
      <c r="CC602" s="2"/>
      <c r="CD602" s="3"/>
      <c r="CE602" s="2"/>
      <c r="CF602" s="4"/>
      <c r="CG602" s="4"/>
      <c r="CI602" s="2"/>
    </row>
    <row r="603" spans="1:87" s="101" customFormat="1" x14ac:dyDescent="0.35">
      <c r="A603" s="1"/>
      <c r="C603" s="1"/>
      <c r="G603" s="2"/>
      <c r="H603" s="2"/>
      <c r="I603" s="2"/>
      <c r="J603" s="2"/>
      <c r="K603" s="81"/>
      <c r="L603" s="4"/>
      <c r="M603" s="4"/>
      <c r="N603" s="4"/>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3"/>
      <c r="AP603" s="2"/>
      <c r="AQ603" s="2"/>
      <c r="AR603" s="2"/>
      <c r="AS603" s="2"/>
      <c r="AT603" s="2"/>
      <c r="AU603" s="2"/>
      <c r="AV603" s="2"/>
      <c r="AW603" s="2"/>
      <c r="AX603" s="2"/>
      <c r="AY603" s="2"/>
      <c r="AZ603" s="5"/>
      <c r="BA603" s="2"/>
      <c r="BD603" s="2"/>
      <c r="BE603" s="2"/>
      <c r="BF603" s="2"/>
      <c r="BG603" s="2"/>
      <c r="BH603" s="2"/>
      <c r="BI603" s="2"/>
      <c r="BJ603" s="2"/>
      <c r="BK603" s="2"/>
      <c r="BM603" s="2"/>
      <c r="BN603" s="2"/>
      <c r="BO603" s="2"/>
      <c r="BP603" s="2"/>
      <c r="BQ603" s="2"/>
      <c r="BR603" s="6"/>
      <c r="BS603" s="6"/>
      <c r="BT603" s="2"/>
      <c r="BU603" s="2"/>
      <c r="BV603" s="2"/>
      <c r="BW603" s="2"/>
      <c r="BX603" s="2"/>
      <c r="BY603" s="2"/>
      <c r="BZ603" s="2"/>
      <c r="CA603" s="2"/>
      <c r="CB603" s="2"/>
      <c r="CC603" s="2"/>
      <c r="CD603" s="3"/>
      <c r="CE603" s="2"/>
      <c r="CF603" s="4"/>
      <c r="CG603" s="4"/>
      <c r="CI603" s="2"/>
    </row>
    <row r="604" spans="1:87" s="101" customFormat="1" x14ac:dyDescent="0.35">
      <c r="A604" s="1"/>
      <c r="C604" s="1"/>
      <c r="G604" s="2"/>
      <c r="H604" s="2"/>
      <c r="I604" s="2"/>
      <c r="J604" s="2"/>
      <c r="K604" s="81"/>
      <c r="L604" s="4"/>
      <c r="M604" s="4"/>
      <c r="N604" s="4"/>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3"/>
      <c r="AP604" s="2"/>
      <c r="AQ604" s="2"/>
      <c r="AR604" s="2"/>
      <c r="AS604" s="2"/>
      <c r="AT604" s="2"/>
      <c r="AU604" s="2"/>
      <c r="AV604" s="2"/>
      <c r="AW604" s="2"/>
      <c r="AX604" s="2"/>
      <c r="AY604" s="2"/>
      <c r="AZ604" s="5"/>
      <c r="BA604" s="2"/>
      <c r="BD604" s="2"/>
      <c r="BE604" s="2"/>
      <c r="BF604" s="2"/>
      <c r="BG604" s="2"/>
      <c r="BH604" s="2"/>
      <c r="BI604" s="2"/>
      <c r="BJ604" s="2"/>
      <c r="BK604" s="2"/>
      <c r="BM604" s="2"/>
      <c r="BN604" s="2"/>
      <c r="BO604" s="2"/>
      <c r="BP604" s="2"/>
      <c r="BQ604" s="2"/>
      <c r="BR604" s="6"/>
      <c r="BS604" s="6"/>
      <c r="BT604" s="2"/>
      <c r="BU604" s="2"/>
      <c r="BV604" s="2"/>
      <c r="BW604" s="2"/>
      <c r="BX604" s="2"/>
      <c r="BY604" s="2"/>
      <c r="BZ604" s="2"/>
      <c r="CA604" s="2"/>
      <c r="CB604" s="2"/>
      <c r="CC604" s="2"/>
      <c r="CD604" s="3"/>
      <c r="CE604" s="2"/>
      <c r="CF604" s="4"/>
      <c r="CG604" s="4"/>
      <c r="CI604" s="2"/>
    </row>
    <row r="605" spans="1:87" s="101" customFormat="1" x14ac:dyDescent="0.35">
      <c r="A605" s="1"/>
      <c r="C605" s="1"/>
      <c r="G605" s="2"/>
      <c r="H605" s="2"/>
      <c r="I605" s="2"/>
      <c r="J605" s="2"/>
      <c r="K605" s="81"/>
      <c r="L605" s="4"/>
      <c r="M605" s="4"/>
      <c r="N605" s="4"/>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3"/>
      <c r="AP605" s="2"/>
      <c r="AQ605" s="2"/>
      <c r="AR605" s="2"/>
      <c r="AS605" s="2"/>
      <c r="AT605" s="2"/>
      <c r="AU605" s="2"/>
      <c r="AV605" s="2"/>
      <c r="AW605" s="2"/>
      <c r="AX605" s="2"/>
      <c r="AY605" s="2"/>
      <c r="AZ605" s="5"/>
      <c r="BA605" s="2"/>
      <c r="BD605" s="2"/>
      <c r="BE605" s="2"/>
      <c r="BF605" s="2"/>
      <c r="BG605" s="2"/>
      <c r="BH605" s="2"/>
      <c r="BI605" s="2"/>
      <c r="BJ605" s="2"/>
      <c r="BK605" s="2"/>
      <c r="BM605" s="2"/>
      <c r="BN605" s="2"/>
      <c r="BO605" s="2"/>
      <c r="BP605" s="2"/>
      <c r="BQ605" s="2"/>
      <c r="BR605" s="6"/>
      <c r="BS605" s="6"/>
      <c r="BT605" s="2"/>
      <c r="BU605" s="2"/>
      <c r="BV605" s="2"/>
      <c r="BW605" s="2"/>
      <c r="BX605" s="2"/>
      <c r="BY605" s="2"/>
      <c r="BZ605" s="2"/>
      <c r="CA605" s="2"/>
      <c r="CB605" s="2"/>
      <c r="CC605" s="2"/>
      <c r="CD605" s="3"/>
      <c r="CE605" s="2"/>
      <c r="CF605" s="4"/>
      <c r="CG605" s="4"/>
      <c r="CI605" s="2"/>
    </row>
    <row r="606" spans="1:87" s="101" customFormat="1" x14ac:dyDescent="0.35">
      <c r="A606" s="1"/>
      <c r="C606" s="1"/>
      <c r="G606" s="2"/>
      <c r="H606" s="2"/>
      <c r="I606" s="2"/>
      <c r="J606" s="2"/>
      <c r="K606" s="81"/>
      <c r="L606" s="4"/>
      <c r="M606" s="4"/>
      <c r="N606" s="4"/>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3"/>
      <c r="AP606" s="2"/>
      <c r="AQ606" s="2"/>
      <c r="AR606" s="2"/>
      <c r="AS606" s="2"/>
      <c r="AT606" s="2"/>
      <c r="AU606" s="2"/>
      <c r="AV606" s="2"/>
      <c r="AW606" s="2"/>
      <c r="AX606" s="2"/>
      <c r="AY606" s="2"/>
      <c r="AZ606" s="5"/>
      <c r="BA606" s="2"/>
      <c r="BD606" s="2"/>
      <c r="BE606" s="2"/>
      <c r="BF606" s="2"/>
      <c r="BG606" s="2"/>
      <c r="BH606" s="2"/>
      <c r="BI606" s="2"/>
      <c r="BJ606" s="2"/>
      <c r="BK606" s="2"/>
      <c r="BM606" s="2"/>
      <c r="BN606" s="2"/>
      <c r="BO606" s="2"/>
      <c r="BP606" s="2"/>
      <c r="BQ606" s="2"/>
      <c r="BR606" s="6"/>
      <c r="BS606" s="6"/>
      <c r="BT606" s="2"/>
      <c r="BU606" s="2"/>
      <c r="BV606" s="2"/>
      <c r="BW606" s="2"/>
      <c r="BX606" s="2"/>
      <c r="BY606" s="2"/>
      <c r="BZ606" s="2"/>
      <c r="CA606" s="2"/>
      <c r="CB606" s="2"/>
      <c r="CC606" s="2"/>
      <c r="CD606" s="3"/>
      <c r="CE606" s="2"/>
      <c r="CF606" s="4"/>
      <c r="CG606" s="4"/>
      <c r="CI606" s="2"/>
    </row>
    <row r="607" spans="1:87" s="101" customFormat="1" x14ac:dyDescent="0.35">
      <c r="A607" s="1"/>
      <c r="C607" s="1"/>
      <c r="G607" s="2"/>
      <c r="H607" s="2"/>
      <c r="I607" s="2"/>
      <c r="J607" s="2"/>
      <c r="K607" s="81"/>
      <c r="L607" s="4"/>
      <c r="M607" s="4"/>
      <c r="N607" s="4"/>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3"/>
      <c r="AP607" s="2"/>
      <c r="AQ607" s="2"/>
      <c r="AR607" s="2"/>
      <c r="AS607" s="2"/>
      <c r="AT607" s="2"/>
      <c r="AU607" s="2"/>
      <c r="AV607" s="2"/>
      <c r="AW607" s="2"/>
      <c r="AX607" s="2"/>
      <c r="AY607" s="2"/>
      <c r="AZ607" s="5"/>
      <c r="BA607" s="2"/>
      <c r="BD607" s="2"/>
      <c r="BE607" s="2"/>
      <c r="BF607" s="2"/>
      <c r="BG607" s="2"/>
      <c r="BH607" s="2"/>
      <c r="BI607" s="2"/>
      <c r="BJ607" s="2"/>
      <c r="BK607" s="2"/>
      <c r="BM607" s="2"/>
      <c r="BN607" s="2"/>
      <c r="BO607" s="2"/>
      <c r="BP607" s="2"/>
      <c r="BQ607" s="2"/>
      <c r="BR607" s="6"/>
      <c r="BS607" s="6"/>
      <c r="BT607" s="2"/>
      <c r="BU607" s="2"/>
      <c r="BV607" s="2"/>
      <c r="BW607" s="2"/>
      <c r="BX607" s="2"/>
      <c r="BY607" s="2"/>
      <c r="BZ607" s="2"/>
      <c r="CA607" s="2"/>
      <c r="CB607" s="2"/>
      <c r="CC607" s="2"/>
      <c r="CD607" s="3"/>
      <c r="CE607" s="2"/>
      <c r="CF607" s="4"/>
      <c r="CG607" s="4"/>
      <c r="CI607" s="2"/>
    </row>
    <row r="608" spans="1:87" s="101" customFormat="1" x14ac:dyDescent="0.35">
      <c r="A608" s="1"/>
      <c r="C608" s="1"/>
      <c r="G608" s="2"/>
      <c r="H608" s="2"/>
      <c r="I608" s="2"/>
      <c r="J608" s="2"/>
      <c r="K608" s="81"/>
      <c r="L608" s="4"/>
      <c r="M608" s="4"/>
      <c r="N608" s="4"/>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3"/>
      <c r="AP608" s="2"/>
      <c r="AQ608" s="2"/>
      <c r="AR608" s="2"/>
      <c r="AS608" s="2"/>
      <c r="AT608" s="2"/>
      <c r="AU608" s="2"/>
      <c r="AV608" s="2"/>
      <c r="AW608" s="2"/>
      <c r="AX608" s="2"/>
      <c r="AY608" s="2"/>
      <c r="AZ608" s="5"/>
      <c r="BA608" s="2"/>
      <c r="BD608" s="2"/>
      <c r="BE608" s="2"/>
      <c r="BF608" s="2"/>
      <c r="BG608" s="2"/>
      <c r="BH608" s="2"/>
      <c r="BI608" s="2"/>
      <c r="BJ608" s="2"/>
      <c r="BK608" s="2"/>
      <c r="BM608" s="2"/>
      <c r="BN608" s="2"/>
      <c r="BO608" s="2"/>
      <c r="BP608" s="2"/>
      <c r="BQ608" s="2"/>
      <c r="BR608" s="6"/>
      <c r="BS608" s="6"/>
      <c r="BT608" s="2"/>
      <c r="BU608" s="2"/>
      <c r="BV608" s="2"/>
      <c r="BW608" s="2"/>
      <c r="BX608" s="2"/>
      <c r="BY608" s="2"/>
      <c r="BZ608" s="2"/>
      <c r="CA608" s="2"/>
      <c r="CB608" s="2"/>
      <c r="CC608" s="2"/>
      <c r="CD608" s="3"/>
      <c r="CE608" s="2"/>
      <c r="CF608" s="4"/>
      <c r="CG608" s="4"/>
      <c r="CI608" s="2"/>
    </row>
    <row r="609" spans="1:87" s="101" customFormat="1" x14ac:dyDescent="0.35">
      <c r="A609" s="1"/>
      <c r="C609" s="1"/>
      <c r="G609" s="2"/>
      <c r="H609" s="2"/>
      <c r="I609" s="2"/>
      <c r="J609" s="2"/>
      <c r="K609" s="81"/>
      <c r="L609" s="4"/>
      <c r="M609" s="4"/>
      <c r="N609" s="4"/>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3"/>
      <c r="AP609" s="2"/>
      <c r="AQ609" s="2"/>
      <c r="AR609" s="2"/>
      <c r="AS609" s="2"/>
      <c r="AT609" s="2"/>
      <c r="AU609" s="2"/>
      <c r="AV609" s="2"/>
      <c r="AW609" s="2"/>
      <c r="AX609" s="2"/>
      <c r="AY609" s="2"/>
      <c r="AZ609" s="5"/>
      <c r="BA609" s="2"/>
      <c r="BD609" s="2"/>
      <c r="BE609" s="2"/>
      <c r="BF609" s="2"/>
      <c r="BG609" s="2"/>
      <c r="BH609" s="2"/>
      <c r="BI609" s="2"/>
      <c r="BJ609" s="2"/>
      <c r="BK609" s="2"/>
      <c r="BM609" s="2"/>
      <c r="BN609" s="2"/>
      <c r="BO609" s="2"/>
      <c r="BP609" s="2"/>
      <c r="BQ609" s="2"/>
      <c r="BR609" s="6"/>
      <c r="BS609" s="6"/>
      <c r="BT609" s="2"/>
      <c r="BU609" s="2"/>
      <c r="BV609" s="2"/>
      <c r="BW609" s="2"/>
      <c r="BX609" s="2"/>
      <c r="BY609" s="2"/>
      <c r="BZ609" s="2"/>
      <c r="CA609" s="2"/>
      <c r="CB609" s="2"/>
      <c r="CC609" s="2"/>
      <c r="CD609" s="3"/>
      <c r="CE609" s="2"/>
      <c r="CF609" s="4"/>
      <c r="CG609" s="4"/>
      <c r="CI609" s="2"/>
    </row>
    <row r="610" spans="1:87" s="101" customFormat="1" x14ac:dyDescent="0.35">
      <c r="A610" s="1"/>
      <c r="C610" s="1"/>
      <c r="G610" s="2"/>
      <c r="H610" s="2"/>
      <c r="I610" s="2"/>
      <c r="J610" s="2"/>
      <c r="K610" s="81"/>
      <c r="L610" s="4"/>
      <c r="M610" s="4"/>
      <c r="N610" s="4"/>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3"/>
      <c r="AP610" s="2"/>
      <c r="AQ610" s="2"/>
      <c r="AR610" s="2"/>
      <c r="AS610" s="2"/>
      <c r="AT610" s="2"/>
      <c r="AU610" s="2"/>
      <c r="AV610" s="2"/>
      <c r="AW610" s="2"/>
      <c r="AX610" s="2"/>
      <c r="AY610" s="2"/>
      <c r="AZ610" s="5"/>
      <c r="BA610" s="2"/>
      <c r="BD610" s="2"/>
      <c r="BE610" s="2"/>
      <c r="BF610" s="2"/>
      <c r="BG610" s="2"/>
      <c r="BH610" s="2"/>
      <c r="BI610" s="2"/>
      <c r="BJ610" s="2"/>
      <c r="BK610" s="2"/>
      <c r="BM610" s="2"/>
      <c r="BN610" s="2"/>
      <c r="BO610" s="2"/>
      <c r="BP610" s="2"/>
      <c r="BQ610" s="2"/>
      <c r="BR610" s="6"/>
      <c r="BS610" s="6"/>
      <c r="BT610" s="2"/>
      <c r="BU610" s="2"/>
      <c r="BV610" s="2"/>
      <c r="BW610" s="2"/>
      <c r="BX610" s="2"/>
      <c r="BY610" s="2"/>
      <c r="BZ610" s="2"/>
      <c r="CA610" s="2"/>
      <c r="CB610" s="2"/>
      <c r="CC610" s="2"/>
      <c r="CD610" s="3"/>
      <c r="CE610" s="2"/>
      <c r="CF610" s="4"/>
      <c r="CG610" s="4"/>
      <c r="CI610" s="2"/>
    </row>
    <row r="611" spans="1:87" s="101" customFormat="1" x14ac:dyDescent="0.35">
      <c r="A611" s="1"/>
      <c r="C611" s="1"/>
      <c r="G611" s="2"/>
      <c r="H611" s="2"/>
      <c r="I611" s="2"/>
      <c r="J611" s="2"/>
      <c r="K611" s="81"/>
      <c r="L611" s="4"/>
      <c r="M611" s="4"/>
      <c r="N611" s="4"/>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3"/>
      <c r="AP611" s="2"/>
      <c r="AQ611" s="2"/>
      <c r="AR611" s="2"/>
      <c r="AS611" s="2"/>
      <c r="AT611" s="2"/>
      <c r="AU611" s="2"/>
      <c r="AV611" s="2"/>
      <c r="AW611" s="2"/>
      <c r="AX611" s="2"/>
      <c r="AY611" s="2"/>
      <c r="AZ611" s="5"/>
      <c r="BA611" s="2"/>
      <c r="BD611" s="2"/>
      <c r="BE611" s="2"/>
      <c r="BF611" s="2"/>
      <c r="BG611" s="2"/>
      <c r="BH611" s="2"/>
      <c r="BI611" s="2"/>
      <c r="BJ611" s="2"/>
      <c r="BK611" s="2"/>
      <c r="BM611" s="2"/>
      <c r="BN611" s="2"/>
      <c r="BO611" s="2"/>
      <c r="BP611" s="2"/>
      <c r="BQ611" s="2"/>
      <c r="BR611" s="6"/>
      <c r="BS611" s="6"/>
      <c r="BT611" s="2"/>
      <c r="BU611" s="2"/>
      <c r="BV611" s="2"/>
      <c r="BW611" s="2"/>
      <c r="BX611" s="2"/>
      <c r="BY611" s="2"/>
      <c r="BZ611" s="2"/>
      <c r="CA611" s="2"/>
      <c r="CB611" s="2"/>
      <c r="CC611" s="2"/>
      <c r="CD611" s="3"/>
      <c r="CE611" s="2"/>
      <c r="CF611" s="4"/>
      <c r="CG611" s="4"/>
      <c r="CI611" s="2"/>
    </row>
    <row r="612" spans="1:87" s="101" customFormat="1" x14ac:dyDescent="0.35">
      <c r="A612" s="1"/>
      <c r="C612" s="1"/>
      <c r="G612" s="2"/>
      <c r="H612" s="2"/>
      <c r="I612" s="2"/>
      <c r="J612" s="2"/>
      <c r="K612" s="81"/>
      <c r="L612" s="4"/>
      <c r="M612" s="4"/>
      <c r="N612" s="4"/>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3"/>
      <c r="AP612" s="2"/>
      <c r="AQ612" s="2"/>
      <c r="AR612" s="2"/>
      <c r="AS612" s="2"/>
      <c r="AT612" s="2"/>
      <c r="AU612" s="2"/>
      <c r="AV612" s="2"/>
      <c r="AW612" s="2"/>
      <c r="AX612" s="2"/>
      <c r="AY612" s="2"/>
      <c r="AZ612" s="5"/>
      <c r="BA612" s="2"/>
      <c r="BD612" s="2"/>
      <c r="BE612" s="2"/>
      <c r="BF612" s="2"/>
      <c r="BG612" s="2"/>
      <c r="BH612" s="2"/>
      <c r="BI612" s="2"/>
      <c r="BJ612" s="2"/>
      <c r="BK612" s="2"/>
      <c r="BM612" s="2"/>
      <c r="BN612" s="2"/>
      <c r="BO612" s="2"/>
      <c r="BP612" s="2"/>
      <c r="BQ612" s="2"/>
      <c r="BR612" s="6"/>
      <c r="BS612" s="6"/>
      <c r="BT612" s="2"/>
      <c r="BU612" s="2"/>
      <c r="BV612" s="2"/>
      <c r="BW612" s="2"/>
      <c r="BX612" s="2"/>
      <c r="BY612" s="2"/>
      <c r="BZ612" s="2"/>
      <c r="CA612" s="2"/>
      <c r="CB612" s="2"/>
      <c r="CC612" s="2"/>
      <c r="CD612" s="3"/>
      <c r="CE612" s="2"/>
      <c r="CF612" s="4"/>
      <c r="CG612" s="4"/>
      <c r="CI612" s="2"/>
    </row>
    <row r="613" spans="1:87" s="101" customFormat="1" x14ac:dyDescent="0.35">
      <c r="A613" s="1"/>
      <c r="C613" s="1"/>
      <c r="G613" s="2"/>
      <c r="H613" s="2"/>
      <c r="I613" s="2"/>
      <c r="J613" s="2"/>
      <c r="K613" s="81"/>
      <c r="L613" s="4"/>
      <c r="M613" s="4"/>
      <c r="N613" s="4"/>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3"/>
      <c r="AP613" s="2"/>
      <c r="AQ613" s="2"/>
      <c r="AR613" s="2"/>
      <c r="AS613" s="2"/>
      <c r="AT613" s="2"/>
      <c r="AU613" s="2"/>
      <c r="AV613" s="2"/>
      <c r="AW613" s="2"/>
      <c r="AX613" s="2"/>
      <c r="AY613" s="2"/>
      <c r="AZ613" s="5"/>
      <c r="BA613" s="2"/>
      <c r="BD613" s="2"/>
      <c r="BE613" s="2"/>
      <c r="BF613" s="2"/>
      <c r="BG613" s="2"/>
      <c r="BH613" s="2"/>
      <c r="BI613" s="2"/>
      <c r="BJ613" s="2"/>
      <c r="BK613" s="2"/>
      <c r="BM613" s="2"/>
      <c r="BN613" s="2"/>
      <c r="BO613" s="2"/>
      <c r="BP613" s="2"/>
      <c r="BQ613" s="2"/>
      <c r="BR613" s="6"/>
      <c r="BS613" s="6"/>
      <c r="BT613" s="2"/>
      <c r="BU613" s="2"/>
      <c r="BV613" s="2"/>
      <c r="BW613" s="2"/>
      <c r="BX613" s="2"/>
      <c r="BY613" s="2"/>
      <c r="BZ613" s="2"/>
      <c r="CA613" s="2"/>
      <c r="CB613" s="2"/>
      <c r="CC613" s="2"/>
      <c r="CD613" s="3"/>
      <c r="CE613" s="2"/>
      <c r="CF613" s="4"/>
      <c r="CG613" s="4"/>
      <c r="CI613" s="2"/>
    </row>
    <row r="614" spans="1:87" s="101" customFormat="1" x14ac:dyDescent="0.35">
      <c r="A614" s="1"/>
      <c r="C614" s="1"/>
      <c r="G614" s="2"/>
      <c r="H614" s="2"/>
      <c r="I614" s="2"/>
      <c r="J614" s="2"/>
      <c r="K614" s="81"/>
      <c r="L614" s="4"/>
      <c r="M614" s="4"/>
      <c r="N614" s="4"/>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3"/>
      <c r="AP614" s="2"/>
      <c r="AQ614" s="2"/>
      <c r="AR614" s="2"/>
      <c r="AS614" s="2"/>
      <c r="AT614" s="2"/>
      <c r="AU614" s="2"/>
      <c r="AV614" s="2"/>
      <c r="AW614" s="2"/>
      <c r="AX614" s="2"/>
      <c r="AY614" s="2"/>
      <c r="AZ614" s="5"/>
      <c r="BA614" s="2"/>
      <c r="BD614" s="2"/>
      <c r="BE614" s="2"/>
      <c r="BF614" s="2"/>
      <c r="BG614" s="2"/>
      <c r="BH614" s="2"/>
      <c r="BI614" s="2"/>
      <c r="BJ614" s="2"/>
      <c r="BK614" s="2"/>
      <c r="BM614" s="2"/>
      <c r="BN614" s="2"/>
      <c r="BO614" s="2"/>
      <c r="BP614" s="2"/>
      <c r="BQ614" s="2"/>
      <c r="BR614" s="6"/>
      <c r="BS614" s="6"/>
      <c r="BT614" s="2"/>
      <c r="BU614" s="2"/>
      <c r="BV614" s="2"/>
      <c r="BW614" s="2"/>
      <c r="BX614" s="2"/>
      <c r="BY614" s="2"/>
      <c r="BZ614" s="2"/>
      <c r="CA614" s="2"/>
      <c r="CB614" s="2"/>
      <c r="CC614" s="2"/>
      <c r="CD614" s="3"/>
      <c r="CE614" s="2"/>
      <c r="CF614" s="4"/>
      <c r="CG614" s="4"/>
      <c r="CI614" s="2"/>
    </row>
    <row r="615" spans="1:87" s="101" customFormat="1" x14ac:dyDescent="0.35">
      <c r="A615" s="1"/>
      <c r="C615" s="1"/>
      <c r="G615" s="2"/>
      <c r="H615" s="2"/>
      <c r="I615" s="2"/>
      <c r="J615" s="2"/>
      <c r="K615" s="81"/>
      <c r="L615" s="4"/>
      <c r="M615" s="4"/>
      <c r="N615" s="4"/>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3"/>
      <c r="AP615" s="2"/>
      <c r="AQ615" s="2"/>
      <c r="AR615" s="2"/>
      <c r="AS615" s="2"/>
      <c r="AT615" s="2"/>
      <c r="AU615" s="2"/>
      <c r="AV615" s="2"/>
      <c r="AW615" s="2"/>
      <c r="AX615" s="2"/>
      <c r="AY615" s="2"/>
      <c r="AZ615" s="5"/>
      <c r="BA615" s="2"/>
      <c r="BD615" s="2"/>
      <c r="BE615" s="2"/>
      <c r="BF615" s="2"/>
      <c r="BG615" s="2"/>
      <c r="BH615" s="2"/>
      <c r="BI615" s="2"/>
      <c r="BJ615" s="2"/>
      <c r="BK615" s="2"/>
      <c r="BM615" s="2"/>
      <c r="BN615" s="2"/>
      <c r="BO615" s="2"/>
      <c r="BP615" s="2"/>
      <c r="BQ615" s="2"/>
      <c r="BR615" s="6"/>
      <c r="BS615" s="6"/>
      <c r="BT615" s="2"/>
      <c r="BU615" s="2"/>
      <c r="BV615" s="2"/>
      <c r="BW615" s="2"/>
      <c r="BX615" s="2"/>
      <c r="BY615" s="2"/>
      <c r="BZ615" s="2"/>
      <c r="CA615" s="2"/>
      <c r="CB615" s="2"/>
      <c r="CC615" s="2"/>
      <c r="CD615" s="3"/>
      <c r="CE615" s="2"/>
      <c r="CF615" s="4"/>
      <c r="CG615" s="4"/>
      <c r="CI615" s="2"/>
    </row>
    <row r="616" spans="1:87" s="101" customFormat="1" x14ac:dyDescent="0.35">
      <c r="A616" s="1"/>
      <c r="C616" s="1"/>
      <c r="G616" s="2"/>
      <c r="H616" s="2"/>
      <c r="I616" s="2"/>
      <c r="J616" s="2"/>
      <c r="K616" s="81"/>
      <c r="L616" s="4"/>
      <c r="M616" s="4"/>
      <c r="N616" s="4"/>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3"/>
      <c r="AP616" s="2"/>
      <c r="AQ616" s="2"/>
      <c r="AR616" s="2"/>
      <c r="AS616" s="2"/>
      <c r="AT616" s="2"/>
      <c r="AU616" s="2"/>
      <c r="AV616" s="2"/>
      <c r="AW616" s="2"/>
      <c r="AX616" s="2"/>
      <c r="AY616" s="2"/>
      <c r="AZ616" s="5"/>
      <c r="BA616" s="2"/>
      <c r="BD616" s="2"/>
      <c r="BE616" s="2"/>
      <c r="BF616" s="2"/>
      <c r="BG616" s="2"/>
      <c r="BH616" s="2"/>
      <c r="BI616" s="2"/>
      <c r="BJ616" s="2"/>
      <c r="BK616" s="2"/>
      <c r="BM616" s="2"/>
      <c r="BN616" s="2"/>
      <c r="BO616" s="2"/>
      <c r="BP616" s="2"/>
      <c r="BQ616" s="2"/>
      <c r="BR616" s="6"/>
      <c r="BS616" s="6"/>
      <c r="BT616" s="2"/>
      <c r="BU616" s="2"/>
      <c r="BV616" s="2"/>
      <c r="BW616" s="2"/>
      <c r="BX616" s="2"/>
      <c r="BY616" s="2"/>
      <c r="BZ616" s="2"/>
      <c r="CA616" s="2"/>
      <c r="CB616" s="2"/>
      <c r="CC616" s="2"/>
      <c r="CD616" s="3"/>
      <c r="CE616" s="2"/>
      <c r="CF616" s="4"/>
      <c r="CG616" s="4"/>
      <c r="CI616" s="2"/>
    </row>
    <row r="617" spans="1:87" s="101" customFormat="1" x14ac:dyDescent="0.35">
      <c r="A617" s="1"/>
      <c r="C617" s="1"/>
      <c r="G617" s="2"/>
      <c r="H617" s="2"/>
      <c r="I617" s="2"/>
      <c r="J617" s="2"/>
      <c r="K617" s="81"/>
      <c r="L617" s="4"/>
      <c r="M617" s="4"/>
      <c r="N617" s="4"/>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3"/>
      <c r="AP617" s="2"/>
      <c r="AQ617" s="2"/>
      <c r="AR617" s="2"/>
      <c r="AS617" s="2"/>
      <c r="AT617" s="2"/>
      <c r="AU617" s="2"/>
      <c r="AV617" s="2"/>
      <c r="AW617" s="2"/>
      <c r="AX617" s="2"/>
      <c r="AY617" s="2"/>
      <c r="AZ617" s="5"/>
      <c r="BA617" s="2"/>
      <c r="BD617" s="2"/>
      <c r="BE617" s="2"/>
      <c r="BF617" s="2"/>
      <c r="BG617" s="2"/>
      <c r="BH617" s="2"/>
      <c r="BI617" s="2"/>
      <c r="BJ617" s="2"/>
      <c r="BK617" s="2"/>
      <c r="BM617" s="2"/>
      <c r="BN617" s="2"/>
      <c r="BO617" s="2"/>
      <c r="BP617" s="2"/>
      <c r="BQ617" s="2"/>
      <c r="BR617" s="6"/>
      <c r="BS617" s="6"/>
      <c r="BT617" s="2"/>
      <c r="BU617" s="2"/>
      <c r="BV617" s="2"/>
      <c r="BW617" s="2"/>
      <c r="BX617" s="2"/>
      <c r="BY617" s="2"/>
      <c r="BZ617" s="2"/>
      <c r="CA617" s="2"/>
      <c r="CB617" s="2"/>
      <c r="CC617" s="2"/>
      <c r="CD617" s="3"/>
      <c r="CE617" s="2"/>
      <c r="CF617" s="4"/>
      <c r="CG617" s="4"/>
      <c r="CI617" s="2"/>
    </row>
    <row r="618" spans="1:87" s="101" customFormat="1" x14ac:dyDescent="0.35">
      <c r="A618" s="1"/>
      <c r="C618" s="1"/>
      <c r="G618" s="2"/>
      <c r="H618" s="2"/>
      <c r="I618" s="2"/>
      <c r="J618" s="2"/>
      <c r="K618" s="81"/>
      <c r="L618" s="4"/>
      <c r="M618" s="4"/>
      <c r="N618" s="4"/>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3"/>
      <c r="AP618" s="2"/>
      <c r="AQ618" s="2"/>
      <c r="AR618" s="2"/>
      <c r="AS618" s="2"/>
      <c r="AT618" s="2"/>
      <c r="AU618" s="2"/>
      <c r="AV618" s="2"/>
      <c r="AW618" s="2"/>
      <c r="AX618" s="2"/>
      <c r="AY618" s="2"/>
      <c r="AZ618" s="5"/>
      <c r="BA618" s="2"/>
      <c r="BD618" s="2"/>
      <c r="BE618" s="2"/>
      <c r="BF618" s="2"/>
      <c r="BG618" s="2"/>
      <c r="BH618" s="2"/>
      <c r="BI618" s="2"/>
      <c r="BJ618" s="2"/>
      <c r="BK618" s="2"/>
      <c r="BM618" s="2"/>
      <c r="BN618" s="2"/>
      <c r="BO618" s="2"/>
      <c r="BP618" s="2"/>
      <c r="BQ618" s="2"/>
      <c r="BR618" s="6"/>
      <c r="BS618" s="6"/>
      <c r="BT618" s="2"/>
      <c r="BU618" s="2"/>
      <c r="BV618" s="2"/>
      <c r="BW618" s="2"/>
      <c r="BX618" s="2"/>
      <c r="BY618" s="2"/>
      <c r="BZ618" s="2"/>
      <c r="CA618" s="2"/>
      <c r="CB618" s="2"/>
      <c r="CC618" s="2"/>
      <c r="CD618" s="3"/>
      <c r="CE618" s="2"/>
      <c r="CF618" s="4"/>
      <c r="CG618" s="4"/>
      <c r="CI618" s="2"/>
    </row>
    <row r="619" spans="1:87" s="101" customFormat="1" x14ac:dyDescent="0.35">
      <c r="A619" s="1"/>
      <c r="C619" s="1"/>
      <c r="G619" s="2"/>
      <c r="H619" s="2"/>
      <c r="I619" s="2"/>
      <c r="J619" s="2"/>
      <c r="K619" s="81"/>
      <c r="L619" s="4"/>
      <c r="M619" s="4"/>
      <c r="N619" s="4"/>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3"/>
      <c r="AP619" s="2"/>
      <c r="AQ619" s="2"/>
      <c r="AR619" s="2"/>
      <c r="AS619" s="2"/>
      <c r="AT619" s="2"/>
      <c r="AU619" s="2"/>
      <c r="AV619" s="2"/>
      <c r="AW619" s="2"/>
      <c r="AX619" s="2"/>
      <c r="AY619" s="2"/>
      <c r="AZ619" s="5"/>
      <c r="BA619" s="2"/>
      <c r="BD619" s="2"/>
      <c r="BE619" s="2"/>
      <c r="BF619" s="2"/>
      <c r="BG619" s="2"/>
      <c r="BH619" s="2"/>
      <c r="BI619" s="2"/>
      <c r="BJ619" s="2"/>
      <c r="BK619" s="2"/>
      <c r="BM619" s="2"/>
      <c r="BN619" s="2"/>
      <c r="BO619" s="2"/>
      <c r="BP619" s="2"/>
      <c r="BQ619" s="2"/>
      <c r="BR619" s="6"/>
      <c r="BS619" s="6"/>
      <c r="BT619" s="2"/>
      <c r="BU619" s="2"/>
      <c r="BV619" s="2"/>
      <c r="BW619" s="2"/>
      <c r="BX619" s="2"/>
      <c r="BY619" s="2"/>
      <c r="BZ619" s="2"/>
      <c r="CA619" s="2"/>
      <c r="CB619" s="2"/>
      <c r="CC619" s="2"/>
      <c r="CD619" s="3"/>
      <c r="CE619" s="2"/>
      <c r="CF619" s="4"/>
      <c r="CG619" s="4"/>
      <c r="CI619" s="2"/>
    </row>
    <row r="620" spans="1:87" s="101" customFormat="1" x14ac:dyDescent="0.35">
      <c r="A620" s="1"/>
      <c r="C620" s="1"/>
      <c r="G620" s="2"/>
      <c r="H620" s="2"/>
      <c r="I620" s="2"/>
      <c r="J620" s="2"/>
      <c r="K620" s="81"/>
      <c r="L620" s="4"/>
      <c r="M620" s="4"/>
      <c r="N620" s="4"/>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3"/>
      <c r="AP620" s="2"/>
      <c r="AQ620" s="2"/>
      <c r="AR620" s="2"/>
      <c r="AS620" s="2"/>
      <c r="AT620" s="2"/>
      <c r="AU620" s="2"/>
      <c r="AV620" s="2"/>
      <c r="AW620" s="2"/>
      <c r="AX620" s="2"/>
      <c r="AY620" s="2"/>
      <c r="AZ620" s="5"/>
      <c r="BA620" s="2"/>
      <c r="BD620" s="2"/>
      <c r="BE620" s="2"/>
      <c r="BF620" s="2"/>
      <c r="BG620" s="2"/>
      <c r="BH620" s="2"/>
      <c r="BI620" s="2"/>
      <c r="BJ620" s="2"/>
      <c r="BK620" s="2"/>
      <c r="BM620" s="2"/>
      <c r="BN620" s="2"/>
      <c r="BO620" s="2"/>
      <c r="BP620" s="2"/>
      <c r="BQ620" s="2"/>
      <c r="BR620" s="6"/>
      <c r="BS620" s="6"/>
      <c r="BT620" s="2"/>
      <c r="BU620" s="2"/>
      <c r="BV620" s="2"/>
      <c r="BW620" s="2"/>
      <c r="BX620" s="2"/>
      <c r="BY620" s="2"/>
      <c r="BZ620" s="2"/>
      <c r="CA620" s="2"/>
      <c r="CB620" s="2"/>
      <c r="CC620" s="2"/>
      <c r="CD620" s="3"/>
      <c r="CE620" s="2"/>
      <c r="CF620" s="4"/>
      <c r="CG620" s="4"/>
      <c r="CI620" s="2"/>
    </row>
    <row r="621" spans="1:87" s="101" customFormat="1" x14ac:dyDescent="0.35">
      <c r="A621" s="1"/>
      <c r="C621" s="1"/>
      <c r="G621" s="2"/>
      <c r="H621" s="2"/>
      <c r="I621" s="2"/>
      <c r="J621" s="2"/>
      <c r="K621" s="81"/>
      <c r="L621" s="4"/>
      <c r="M621" s="4"/>
      <c r="N621" s="4"/>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3"/>
      <c r="AP621" s="2"/>
      <c r="AQ621" s="2"/>
      <c r="AR621" s="2"/>
      <c r="AS621" s="2"/>
      <c r="AT621" s="2"/>
      <c r="AU621" s="2"/>
      <c r="AV621" s="2"/>
      <c r="AW621" s="2"/>
      <c r="AX621" s="2"/>
      <c r="AY621" s="2"/>
      <c r="AZ621" s="5"/>
      <c r="BA621" s="2"/>
      <c r="BD621" s="2"/>
      <c r="BE621" s="2"/>
      <c r="BF621" s="2"/>
      <c r="BG621" s="2"/>
      <c r="BH621" s="2"/>
      <c r="BI621" s="2"/>
      <c r="BJ621" s="2"/>
      <c r="BK621" s="2"/>
      <c r="BM621" s="2"/>
      <c r="BN621" s="2"/>
      <c r="BO621" s="2"/>
      <c r="BP621" s="2"/>
      <c r="BQ621" s="2"/>
      <c r="BR621" s="6"/>
      <c r="BS621" s="6"/>
      <c r="BT621" s="2"/>
      <c r="BU621" s="2"/>
      <c r="BV621" s="2"/>
      <c r="BW621" s="2"/>
      <c r="BX621" s="2"/>
      <c r="BY621" s="2"/>
      <c r="BZ621" s="2"/>
      <c r="CA621" s="2"/>
      <c r="CB621" s="2"/>
      <c r="CC621" s="2"/>
      <c r="CD621" s="3"/>
      <c r="CE621" s="2"/>
      <c r="CF621" s="4"/>
      <c r="CG621" s="4"/>
      <c r="CI621" s="2"/>
    </row>
    <row r="622" spans="1:87" s="101" customFormat="1" x14ac:dyDescent="0.35">
      <c r="A622" s="1"/>
      <c r="C622" s="1"/>
      <c r="G622" s="2"/>
      <c r="H622" s="2"/>
      <c r="I622" s="2"/>
      <c r="J622" s="2"/>
      <c r="K622" s="81"/>
      <c r="L622" s="4"/>
      <c r="M622" s="4"/>
      <c r="N622" s="4"/>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3"/>
      <c r="AP622" s="2"/>
      <c r="AQ622" s="2"/>
      <c r="AR622" s="2"/>
      <c r="AS622" s="2"/>
      <c r="AT622" s="2"/>
      <c r="AU622" s="2"/>
      <c r="AV622" s="2"/>
      <c r="AW622" s="2"/>
      <c r="AX622" s="2"/>
      <c r="AY622" s="2"/>
      <c r="AZ622" s="5"/>
      <c r="BA622" s="2"/>
      <c r="BD622" s="2"/>
      <c r="BE622" s="2"/>
      <c r="BF622" s="2"/>
      <c r="BG622" s="2"/>
      <c r="BH622" s="2"/>
      <c r="BI622" s="2"/>
      <c r="BJ622" s="2"/>
      <c r="BK622" s="2"/>
      <c r="BM622" s="2"/>
      <c r="BN622" s="2"/>
      <c r="BO622" s="2"/>
      <c r="BP622" s="2"/>
      <c r="BQ622" s="2"/>
      <c r="BR622" s="6"/>
      <c r="BS622" s="6"/>
      <c r="BT622" s="2"/>
      <c r="BU622" s="2"/>
      <c r="BV622" s="2"/>
      <c r="BW622" s="2"/>
      <c r="BX622" s="2"/>
      <c r="BY622" s="2"/>
      <c r="BZ622" s="2"/>
      <c r="CA622" s="2"/>
      <c r="CB622" s="2"/>
      <c r="CC622" s="2"/>
      <c r="CD622" s="3"/>
      <c r="CE622" s="2"/>
      <c r="CF622" s="4"/>
      <c r="CG622" s="4"/>
      <c r="CI622" s="2"/>
    </row>
    <row r="623" spans="1:87" s="101" customFormat="1" x14ac:dyDescent="0.35">
      <c r="A623" s="1"/>
      <c r="C623" s="1"/>
      <c r="G623" s="2"/>
      <c r="H623" s="2"/>
      <c r="I623" s="2"/>
      <c r="J623" s="2"/>
      <c r="K623" s="81"/>
      <c r="L623" s="4"/>
      <c r="M623" s="4"/>
      <c r="N623" s="4"/>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3"/>
      <c r="AP623" s="2"/>
      <c r="AQ623" s="2"/>
      <c r="AR623" s="2"/>
      <c r="AS623" s="2"/>
      <c r="AT623" s="2"/>
      <c r="AU623" s="2"/>
      <c r="AV623" s="2"/>
      <c r="AW623" s="2"/>
      <c r="AX623" s="2"/>
      <c r="AY623" s="2"/>
      <c r="AZ623" s="5"/>
      <c r="BA623" s="2"/>
      <c r="BD623" s="2"/>
      <c r="BE623" s="2"/>
      <c r="BF623" s="2"/>
      <c r="BG623" s="2"/>
      <c r="BH623" s="2"/>
      <c r="BI623" s="2"/>
      <c r="BJ623" s="2"/>
      <c r="BK623" s="2"/>
      <c r="BM623" s="2"/>
      <c r="BN623" s="2"/>
      <c r="BO623" s="2"/>
      <c r="BP623" s="2"/>
      <c r="BQ623" s="2"/>
      <c r="BR623" s="6"/>
      <c r="BS623" s="6"/>
      <c r="BT623" s="2"/>
      <c r="BU623" s="2"/>
      <c r="BV623" s="2"/>
      <c r="BW623" s="2"/>
      <c r="BX623" s="2"/>
      <c r="BY623" s="2"/>
      <c r="BZ623" s="2"/>
      <c r="CA623" s="2"/>
      <c r="CB623" s="2"/>
      <c r="CC623" s="2"/>
      <c r="CD623" s="3"/>
      <c r="CE623" s="2"/>
      <c r="CF623" s="4"/>
      <c r="CG623" s="4"/>
      <c r="CI623" s="2"/>
    </row>
    <row r="624" spans="1:87" s="101" customFormat="1" x14ac:dyDescent="0.35">
      <c r="A624" s="1"/>
      <c r="C624" s="1"/>
      <c r="G624" s="2"/>
      <c r="H624" s="2"/>
      <c r="I624" s="2"/>
      <c r="J624" s="2"/>
      <c r="K624" s="81"/>
      <c r="L624" s="4"/>
      <c r="M624" s="4"/>
      <c r="N624" s="4"/>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3"/>
      <c r="AP624" s="2"/>
      <c r="AQ624" s="2"/>
      <c r="AR624" s="2"/>
      <c r="AS624" s="2"/>
      <c r="AT624" s="2"/>
      <c r="AU624" s="2"/>
      <c r="AV624" s="2"/>
      <c r="AW624" s="2"/>
      <c r="AX624" s="2"/>
      <c r="AY624" s="2"/>
      <c r="AZ624" s="5"/>
      <c r="BA624" s="2"/>
      <c r="BD624" s="2"/>
      <c r="BE624" s="2"/>
      <c r="BF624" s="2"/>
      <c r="BG624" s="2"/>
      <c r="BH624" s="2"/>
      <c r="BI624" s="2"/>
      <c r="BJ624" s="2"/>
      <c r="BK624" s="2"/>
      <c r="BM624" s="2"/>
      <c r="BN624" s="2"/>
      <c r="BO624" s="2"/>
      <c r="BP624" s="2"/>
      <c r="BQ624" s="2"/>
      <c r="BR624" s="6"/>
      <c r="BS624" s="6"/>
      <c r="BT624" s="2"/>
      <c r="BU624" s="2"/>
      <c r="BV624" s="2"/>
      <c r="BW624" s="2"/>
      <c r="BX624" s="2"/>
      <c r="BY624" s="2"/>
      <c r="BZ624" s="2"/>
      <c r="CA624" s="2"/>
      <c r="CB624" s="2"/>
      <c r="CC624" s="2"/>
      <c r="CD624" s="3"/>
      <c r="CE624" s="2"/>
      <c r="CF624" s="4"/>
      <c r="CG624" s="4"/>
      <c r="CI624" s="2"/>
    </row>
    <row r="625" spans="1:87" s="101" customFormat="1" x14ac:dyDescent="0.35">
      <c r="A625" s="1"/>
      <c r="C625" s="1"/>
      <c r="G625" s="2"/>
      <c r="H625" s="2"/>
      <c r="I625" s="2"/>
      <c r="J625" s="2"/>
      <c r="K625" s="81"/>
      <c r="L625" s="4"/>
      <c r="M625" s="4"/>
      <c r="N625" s="4"/>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3"/>
      <c r="AP625" s="2"/>
      <c r="AQ625" s="2"/>
      <c r="AR625" s="2"/>
      <c r="AS625" s="2"/>
      <c r="AT625" s="2"/>
      <c r="AU625" s="2"/>
      <c r="AV625" s="2"/>
      <c r="AW625" s="2"/>
      <c r="AX625" s="2"/>
      <c r="AY625" s="2"/>
      <c r="AZ625" s="5"/>
      <c r="BA625" s="2"/>
      <c r="BD625" s="2"/>
      <c r="BE625" s="2"/>
      <c r="BF625" s="2"/>
      <c r="BG625" s="2"/>
      <c r="BH625" s="2"/>
      <c r="BI625" s="2"/>
      <c r="BJ625" s="2"/>
      <c r="BK625" s="2"/>
      <c r="BM625" s="2"/>
      <c r="BN625" s="2"/>
      <c r="BO625" s="2"/>
      <c r="BP625" s="2"/>
      <c r="BQ625" s="2"/>
      <c r="BR625" s="6"/>
      <c r="BS625" s="6"/>
      <c r="BT625" s="2"/>
      <c r="BU625" s="2"/>
      <c r="BV625" s="2"/>
      <c r="BW625" s="2"/>
      <c r="BX625" s="2"/>
      <c r="BY625" s="2"/>
      <c r="BZ625" s="2"/>
      <c r="CA625" s="2"/>
      <c r="CB625" s="2"/>
      <c r="CC625" s="2"/>
      <c r="CD625" s="3"/>
      <c r="CE625" s="2"/>
      <c r="CF625" s="4"/>
      <c r="CG625" s="4"/>
      <c r="CI625" s="2"/>
    </row>
    <row r="626" spans="1:87" s="101" customFormat="1" x14ac:dyDescent="0.35">
      <c r="A626" s="1"/>
      <c r="C626" s="1"/>
      <c r="G626" s="2"/>
      <c r="H626" s="2"/>
      <c r="I626" s="2"/>
      <c r="J626" s="2"/>
      <c r="K626" s="81"/>
      <c r="L626" s="4"/>
      <c r="M626" s="4"/>
      <c r="N626" s="4"/>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3"/>
      <c r="AP626" s="2"/>
      <c r="AQ626" s="2"/>
      <c r="AR626" s="2"/>
      <c r="AS626" s="2"/>
      <c r="AT626" s="2"/>
      <c r="AU626" s="2"/>
      <c r="AV626" s="2"/>
      <c r="AW626" s="2"/>
      <c r="AX626" s="2"/>
      <c r="AY626" s="2"/>
      <c r="AZ626" s="5"/>
      <c r="BA626" s="2"/>
      <c r="BD626" s="2"/>
      <c r="BE626" s="2"/>
      <c r="BF626" s="2"/>
      <c r="BG626" s="2"/>
      <c r="BH626" s="2"/>
      <c r="BI626" s="2"/>
      <c r="BJ626" s="2"/>
      <c r="BK626" s="2"/>
      <c r="BM626" s="2"/>
      <c r="BN626" s="2"/>
      <c r="BO626" s="2"/>
      <c r="BP626" s="2"/>
      <c r="BQ626" s="2"/>
      <c r="BR626" s="6"/>
      <c r="BS626" s="6"/>
      <c r="BT626" s="2"/>
      <c r="BU626" s="2"/>
      <c r="BV626" s="2"/>
      <c r="BW626" s="2"/>
      <c r="BX626" s="2"/>
      <c r="BY626" s="2"/>
      <c r="BZ626" s="2"/>
      <c r="CA626" s="2"/>
      <c r="CB626" s="2"/>
      <c r="CC626" s="2"/>
      <c r="CD626" s="3"/>
      <c r="CE626" s="2"/>
      <c r="CF626" s="4"/>
      <c r="CG626" s="4"/>
      <c r="CI626" s="2"/>
    </row>
    <row r="627" spans="1:87" s="101" customFormat="1" x14ac:dyDescent="0.35">
      <c r="A627" s="1"/>
      <c r="C627" s="1"/>
      <c r="G627" s="2"/>
      <c r="H627" s="2"/>
      <c r="I627" s="2"/>
      <c r="J627" s="2"/>
      <c r="K627" s="81"/>
      <c r="L627" s="4"/>
      <c r="M627" s="4"/>
      <c r="N627" s="4"/>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3"/>
      <c r="AP627" s="2"/>
      <c r="AQ627" s="2"/>
      <c r="AR627" s="2"/>
      <c r="AS627" s="2"/>
      <c r="AT627" s="2"/>
      <c r="AU627" s="2"/>
      <c r="AV627" s="2"/>
      <c r="AW627" s="2"/>
      <c r="AX627" s="2"/>
      <c r="AY627" s="2"/>
      <c r="AZ627" s="5"/>
      <c r="BA627" s="2"/>
      <c r="BD627" s="2"/>
      <c r="BE627" s="2"/>
      <c r="BF627" s="2"/>
      <c r="BG627" s="2"/>
      <c r="BH627" s="2"/>
      <c r="BI627" s="2"/>
      <c r="BJ627" s="2"/>
      <c r="BK627" s="2"/>
      <c r="BM627" s="2"/>
      <c r="BN627" s="2"/>
      <c r="BO627" s="2"/>
      <c r="BP627" s="2"/>
      <c r="BQ627" s="2"/>
      <c r="BR627" s="6"/>
      <c r="BS627" s="6"/>
      <c r="BT627" s="2"/>
      <c r="BU627" s="2"/>
      <c r="BV627" s="2"/>
      <c r="BW627" s="2"/>
      <c r="BX627" s="2"/>
      <c r="BY627" s="2"/>
      <c r="BZ627" s="2"/>
      <c r="CA627" s="2"/>
      <c r="CB627" s="2"/>
      <c r="CC627" s="2"/>
      <c r="CD627" s="3"/>
      <c r="CE627" s="2"/>
      <c r="CF627" s="4"/>
      <c r="CG627" s="4"/>
      <c r="CI627" s="2"/>
    </row>
    <row r="628" spans="1:87" s="101" customFormat="1" x14ac:dyDescent="0.35">
      <c r="A628" s="1"/>
      <c r="C628" s="1"/>
      <c r="G628" s="2"/>
      <c r="H628" s="2"/>
      <c r="I628" s="2"/>
      <c r="J628" s="2"/>
      <c r="K628" s="81"/>
      <c r="L628" s="4"/>
      <c r="M628" s="4"/>
      <c r="N628" s="4"/>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3"/>
      <c r="AP628" s="2"/>
      <c r="AQ628" s="2"/>
      <c r="AR628" s="2"/>
      <c r="AS628" s="2"/>
      <c r="AT628" s="2"/>
      <c r="AU628" s="2"/>
      <c r="AV628" s="2"/>
      <c r="AW628" s="2"/>
      <c r="AX628" s="2"/>
      <c r="AY628" s="2"/>
      <c r="AZ628" s="5"/>
      <c r="BA628" s="2"/>
      <c r="BD628" s="2"/>
      <c r="BE628" s="2"/>
      <c r="BF628" s="2"/>
      <c r="BG628" s="2"/>
      <c r="BH628" s="2"/>
      <c r="BI628" s="2"/>
      <c r="BJ628" s="2"/>
      <c r="BK628" s="2"/>
      <c r="BM628" s="2"/>
      <c r="BN628" s="2"/>
      <c r="BO628" s="2"/>
      <c r="BP628" s="2"/>
      <c r="BQ628" s="2"/>
      <c r="BR628" s="6"/>
      <c r="BS628" s="6"/>
      <c r="BT628" s="2"/>
      <c r="BU628" s="2"/>
      <c r="BV628" s="2"/>
      <c r="BW628" s="2"/>
      <c r="BX628" s="2"/>
      <c r="BY628" s="2"/>
      <c r="BZ628" s="2"/>
      <c r="CA628" s="2"/>
      <c r="CB628" s="2"/>
      <c r="CC628" s="2"/>
      <c r="CD628" s="3"/>
      <c r="CE628" s="2"/>
      <c r="CF628" s="4"/>
      <c r="CG628" s="4"/>
      <c r="CI628" s="2"/>
    </row>
    <row r="629" spans="1:87" s="101" customFormat="1" x14ac:dyDescent="0.35">
      <c r="A629" s="1"/>
      <c r="C629" s="1"/>
      <c r="G629" s="2"/>
      <c r="H629" s="2"/>
      <c r="I629" s="2"/>
      <c r="J629" s="2"/>
      <c r="K629" s="81"/>
      <c r="L629" s="4"/>
      <c r="M629" s="4"/>
      <c r="N629" s="4"/>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3"/>
      <c r="AP629" s="2"/>
      <c r="AQ629" s="2"/>
      <c r="AR629" s="2"/>
      <c r="AS629" s="2"/>
      <c r="AT629" s="2"/>
      <c r="AU629" s="2"/>
      <c r="AV629" s="2"/>
      <c r="AW629" s="2"/>
      <c r="AX629" s="2"/>
      <c r="AY629" s="2"/>
      <c r="AZ629" s="5"/>
      <c r="BA629" s="2"/>
      <c r="BD629" s="2"/>
      <c r="BE629" s="2"/>
      <c r="BF629" s="2"/>
      <c r="BG629" s="2"/>
      <c r="BH629" s="2"/>
      <c r="BI629" s="2"/>
      <c r="BJ629" s="2"/>
      <c r="BK629" s="2"/>
      <c r="BM629" s="2"/>
      <c r="BN629" s="2"/>
      <c r="BO629" s="2"/>
      <c r="BP629" s="2"/>
      <c r="BQ629" s="2"/>
      <c r="BR629" s="6"/>
      <c r="BS629" s="6"/>
      <c r="BT629" s="2"/>
      <c r="BU629" s="2"/>
      <c r="BV629" s="2"/>
      <c r="BW629" s="2"/>
      <c r="BX629" s="2"/>
      <c r="BY629" s="2"/>
      <c r="BZ629" s="2"/>
      <c r="CA629" s="2"/>
      <c r="CB629" s="2"/>
      <c r="CC629" s="2"/>
      <c r="CD629" s="3"/>
      <c r="CE629" s="2"/>
      <c r="CF629" s="4"/>
      <c r="CG629" s="4"/>
      <c r="CI629" s="2"/>
    </row>
    <row r="630" spans="1:87" s="101" customFormat="1" x14ac:dyDescent="0.35">
      <c r="A630" s="1"/>
      <c r="C630" s="1"/>
      <c r="G630" s="2"/>
      <c r="H630" s="2"/>
      <c r="I630" s="2"/>
      <c r="J630" s="2"/>
      <c r="K630" s="81"/>
      <c r="L630" s="4"/>
      <c r="M630" s="4"/>
      <c r="N630" s="4"/>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3"/>
      <c r="AP630" s="2"/>
      <c r="AQ630" s="2"/>
      <c r="AR630" s="2"/>
      <c r="AS630" s="2"/>
      <c r="AT630" s="2"/>
      <c r="AU630" s="2"/>
      <c r="AV630" s="2"/>
      <c r="AW630" s="2"/>
      <c r="AX630" s="2"/>
      <c r="AY630" s="2"/>
      <c r="AZ630" s="5"/>
      <c r="BA630" s="2"/>
      <c r="BD630" s="2"/>
      <c r="BE630" s="2"/>
      <c r="BF630" s="2"/>
      <c r="BG630" s="2"/>
      <c r="BH630" s="2"/>
      <c r="BI630" s="2"/>
      <c r="BJ630" s="2"/>
      <c r="BK630" s="2"/>
      <c r="BM630" s="2"/>
      <c r="BN630" s="2"/>
      <c r="BO630" s="2"/>
      <c r="BP630" s="2"/>
      <c r="BQ630" s="2"/>
      <c r="BR630" s="6"/>
      <c r="BS630" s="6"/>
      <c r="BT630" s="2"/>
      <c r="BU630" s="2"/>
      <c r="BV630" s="2"/>
      <c r="BW630" s="2"/>
      <c r="BX630" s="2"/>
      <c r="BY630" s="2"/>
      <c r="BZ630" s="2"/>
      <c r="CA630" s="2"/>
      <c r="CB630" s="2"/>
      <c r="CC630" s="2"/>
      <c r="CD630" s="3"/>
      <c r="CE630" s="2"/>
      <c r="CF630" s="4"/>
      <c r="CG630" s="4"/>
      <c r="CI630" s="2"/>
    </row>
    <row r="631" spans="1:87" s="101" customFormat="1" x14ac:dyDescent="0.35">
      <c r="A631" s="1"/>
      <c r="C631" s="1"/>
      <c r="G631" s="2"/>
      <c r="H631" s="2"/>
      <c r="I631" s="2"/>
      <c r="J631" s="2"/>
      <c r="K631" s="81"/>
      <c r="L631" s="4"/>
      <c r="M631" s="4"/>
      <c r="N631" s="4"/>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3"/>
      <c r="AP631" s="2"/>
      <c r="AQ631" s="2"/>
      <c r="AR631" s="2"/>
      <c r="AS631" s="2"/>
      <c r="AT631" s="2"/>
      <c r="AU631" s="2"/>
      <c r="AV631" s="2"/>
      <c r="AW631" s="2"/>
      <c r="AX631" s="2"/>
      <c r="AY631" s="2"/>
      <c r="AZ631" s="5"/>
      <c r="BA631" s="2"/>
      <c r="BD631" s="2"/>
      <c r="BE631" s="2"/>
      <c r="BF631" s="2"/>
      <c r="BG631" s="2"/>
      <c r="BH631" s="2"/>
      <c r="BI631" s="2"/>
      <c r="BJ631" s="2"/>
      <c r="BK631" s="2"/>
      <c r="BM631" s="2"/>
      <c r="BN631" s="2"/>
      <c r="BO631" s="2"/>
      <c r="BP631" s="2"/>
      <c r="BQ631" s="2"/>
      <c r="BR631" s="6"/>
      <c r="BS631" s="6"/>
      <c r="BT631" s="2"/>
      <c r="BU631" s="2"/>
      <c r="BV631" s="2"/>
      <c r="BW631" s="2"/>
      <c r="BX631" s="2"/>
      <c r="BY631" s="2"/>
      <c r="BZ631" s="2"/>
      <c r="CA631" s="2"/>
      <c r="CB631" s="2"/>
      <c r="CC631" s="2"/>
      <c r="CD631" s="3"/>
      <c r="CE631" s="2"/>
      <c r="CF631" s="4"/>
      <c r="CG631" s="4"/>
      <c r="CI631" s="2"/>
    </row>
    <row r="632" spans="1:87" s="101" customFormat="1" x14ac:dyDescent="0.35">
      <c r="A632" s="1"/>
      <c r="C632" s="1"/>
      <c r="G632" s="2"/>
      <c r="H632" s="2"/>
      <c r="I632" s="2"/>
      <c r="J632" s="2"/>
      <c r="K632" s="81"/>
      <c r="L632" s="4"/>
      <c r="M632" s="4"/>
      <c r="N632" s="4"/>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3"/>
      <c r="AP632" s="2"/>
      <c r="AQ632" s="2"/>
      <c r="AR632" s="2"/>
      <c r="AS632" s="2"/>
      <c r="AT632" s="2"/>
      <c r="AU632" s="2"/>
      <c r="AV632" s="2"/>
      <c r="AW632" s="2"/>
      <c r="AX632" s="2"/>
      <c r="AY632" s="2"/>
      <c r="AZ632" s="5"/>
      <c r="BA632" s="2"/>
      <c r="BD632" s="2"/>
      <c r="BE632" s="2"/>
      <c r="BF632" s="2"/>
      <c r="BG632" s="2"/>
      <c r="BH632" s="2"/>
      <c r="BI632" s="2"/>
      <c r="BJ632" s="2"/>
      <c r="BK632" s="2"/>
      <c r="BM632" s="2"/>
      <c r="BN632" s="2"/>
      <c r="BO632" s="2"/>
      <c r="BP632" s="2"/>
      <c r="BQ632" s="2"/>
      <c r="BR632" s="6"/>
      <c r="BS632" s="6"/>
      <c r="BT632" s="2"/>
      <c r="BU632" s="2"/>
      <c r="BV632" s="2"/>
      <c r="BW632" s="2"/>
      <c r="BX632" s="2"/>
      <c r="BY632" s="2"/>
      <c r="BZ632" s="2"/>
      <c r="CA632" s="2"/>
      <c r="CB632" s="2"/>
      <c r="CC632" s="2"/>
      <c r="CD632" s="3"/>
      <c r="CE632" s="2"/>
      <c r="CF632" s="4"/>
      <c r="CG632" s="4"/>
      <c r="CI632" s="2"/>
    </row>
    <row r="633" spans="1:87" s="101" customFormat="1" x14ac:dyDescent="0.35">
      <c r="A633" s="1"/>
      <c r="C633" s="1"/>
      <c r="G633" s="2"/>
      <c r="H633" s="2"/>
      <c r="I633" s="2"/>
      <c r="J633" s="2"/>
      <c r="K633" s="81"/>
      <c r="L633" s="4"/>
      <c r="M633" s="4"/>
      <c r="N633" s="4"/>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3"/>
      <c r="AP633" s="2"/>
      <c r="AQ633" s="2"/>
      <c r="AR633" s="2"/>
      <c r="AS633" s="2"/>
      <c r="AT633" s="2"/>
      <c r="AU633" s="2"/>
      <c r="AV633" s="2"/>
      <c r="AW633" s="2"/>
      <c r="AX633" s="2"/>
      <c r="AY633" s="2"/>
      <c r="AZ633" s="5"/>
      <c r="BA633" s="2"/>
      <c r="BD633" s="2"/>
      <c r="BE633" s="2"/>
      <c r="BF633" s="2"/>
      <c r="BG633" s="2"/>
      <c r="BH633" s="2"/>
      <c r="BI633" s="2"/>
      <c r="BJ633" s="2"/>
      <c r="BK633" s="2"/>
      <c r="BM633" s="2"/>
      <c r="BN633" s="2"/>
      <c r="BO633" s="2"/>
      <c r="BP633" s="2"/>
      <c r="BQ633" s="2"/>
      <c r="BR633" s="6"/>
      <c r="BS633" s="6"/>
      <c r="BT633" s="2"/>
      <c r="BU633" s="2"/>
      <c r="BV633" s="2"/>
      <c r="BW633" s="2"/>
      <c r="BX633" s="2"/>
      <c r="BY633" s="2"/>
      <c r="BZ633" s="2"/>
      <c r="CA633" s="2"/>
      <c r="CB633" s="2"/>
      <c r="CC633" s="2"/>
      <c r="CD633" s="3"/>
      <c r="CE633" s="2"/>
      <c r="CF633" s="4"/>
      <c r="CG633" s="4"/>
      <c r="CI633" s="2"/>
    </row>
    <row r="634" spans="1:87" s="101" customFormat="1" x14ac:dyDescent="0.35">
      <c r="A634" s="1"/>
      <c r="C634" s="1"/>
      <c r="G634" s="2"/>
      <c r="H634" s="2"/>
      <c r="I634" s="2"/>
      <c r="J634" s="2"/>
      <c r="K634" s="81"/>
      <c r="L634" s="4"/>
      <c r="M634" s="4"/>
      <c r="N634" s="4"/>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3"/>
      <c r="AP634" s="2"/>
      <c r="AQ634" s="2"/>
      <c r="AR634" s="2"/>
      <c r="AS634" s="2"/>
      <c r="AT634" s="2"/>
      <c r="AU634" s="2"/>
      <c r="AV634" s="2"/>
      <c r="AW634" s="2"/>
      <c r="AX634" s="2"/>
      <c r="AY634" s="2"/>
      <c r="AZ634" s="5"/>
      <c r="BA634" s="2"/>
      <c r="BD634" s="2"/>
      <c r="BE634" s="2"/>
      <c r="BF634" s="2"/>
      <c r="BG634" s="2"/>
      <c r="BH634" s="2"/>
      <c r="BI634" s="2"/>
      <c r="BJ634" s="2"/>
      <c r="BK634" s="2"/>
      <c r="BM634" s="2"/>
      <c r="BN634" s="2"/>
      <c r="BO634" s="2"/>
      <c r="BP634" s="2"/>
      <c r="BQ634" s="2"/>
      <c r="BR634" s="6"/>
      <c r="BS634" s="6"/>
      <c r="BT634" s="2"/>
      <c r="BU634" s="2"/>
      <c r="BV634" s="2"/>
      <c r="BW634" s="2"/>
      <c r="BX634" s="2"/>
      <c r="BY634" s="2"/>
      <c r="BZ634" s="2"/>
      <c r="CA634" s="2"/>
      <c r="CB634" s="2"/>
      <c r="CC634" s="2"/>
      <c r="CD634" s="3"/>
      <c r="CE634" s="2"/>
      <c r="CF634" s="4"/>
      <c r="CG634" s="4"/>
      <c r="CI634" s="2"/>
    </row>
    <row r="635" spans="1:87" s="101" customFormat="1" x14ac:dyDescent="0.35">
      <c r="A635" s="1"/>
      <c r="C635" s="1"/>
      <c r="G635" s="2"/>
      <c r="H635" s="2"/>
      <c r="I635" s="2"/>
      <c r="J635" s="2"/>
      <c r="K635" s="81"/>
      <c r="L635" s="4"/>
      <c r="M635" s="4"/>
      <c r="N635" s="4"/>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3"/>
      <c r="AP635" s="2"/>
      <c r="AQ635" s="2"/>
      <c r="AR635" s="2"/>
      <c r="AS635" s="2"/>
      <c r="AT635" s="2"/>
      <c r="AU635" s="2"/>
      <c r="AV635" s="2"/>
      <c r="AW635" s="2"/>
      <c r="AX635" s="2"/>
      <c r="AY635" s="2"/>
      <c r="AZ635" s="5"/>
      <c r="BA635" s="2"/>
      <c r="BD635" s="2"/>
      <c r="BE635" s="2"/>
      <c r="BF635" s="2"/>
      <c r="BG635" s="2"/>
      <c r="BH635" s="2"/>
      <c r="BI635" s="2"/>
      <c r="BJ635" s="2"/>
      <c r="BK635" s="2"/>
      <c r="BM635" s="2"/>
      <c r="BN635" s="2"/>
      <c r="BO635" s="2"/>
      <c r="BP635" s="2"/>
      <c r="BQ635" s="2"/>
      <c r="BR635" s="6"/>
      <c r="BS635" s="6"/>
      <c r="BT635" s="2"/>
      <c r="BU635" s="2"/>
      <c r="BV635" s="2"/>
      <c r="BW635" s="2"/>
      <c r="BX635" s="2"/>
      <c r="BY635" s="2"/>
      <c r="BZ635" s="2"/>
      <c r="CA635" s="2"/>
      <c r="CB635" s="2"/>
      <c r="CC635" s="2"/>
      <c r="CD635" s="3"/>
      <c r="CE635" s="2"/>
      <c r="CF635" s="4"/>
      <c r="CG635" s="4"/>
      <c r="CI635" s="2"/>
    </row>
    <row r="636" spans="1:87" s="101" customFormat="1" x14ac:dyDescent="0.35">
      <c r="A636" s="1"/>
      <c r="C636" s="1"/>
      <c r="G636" s="2"/>
      <c r="H636" s="2"/>
      <c r="I636" s="2"/>
      <c r="J636" s="2"/>
      <c r="K636" s="81"/>
      <c r="L636" s="4"/>
      <c r="M636" s="4"/>
      <c r="N636" s="4"/>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3"/>
      <c r="AP636" s="2"/>
      <c r="AQ636" s="2"/>
      <c r="AR636" s="2"/>
      <c r="AS636" s="2"/>
      <c r="AT636" s="2"/>
      <c r="AU636" s="2"/>
      <c r="AV636" s="2"/>
      <c r="AW636" s="2"/>
      <c r="AX636" s="2"/>
      <c r="AY636" s="2"/>
      <c r="AZ636" s="5"/>
      <c r="BA636" s="2"/>
      <c r="BD636" s="2"/>
      <c r="BE636" s="2"/>
      <c r="BF636" s="2"/>
      <c r="BG636" s="2"/>
      <c r="BH636" s="2"/>
      <c r="BI636" s="2"/>
      <c r="BJ636" s="2"/>
      <c r="BK636" s="2"/>
      <c r="BM636" s="2"/>
      <c r="BN636" s="2"/>
      <c r="BO636" s="2"/>
      <c r="BP636" s="2"/>
      <c r="BQ636" s="2"/>
      <c r="BR636" s="6"/>
      <c r="BS636" s="6"/>
      <c r="BT636" s="2"/>
      <c r="BU636" s="2"/>
      <c r="BV636" s="2"/>
      <c r="BW636" s="2"/>
      <c r="BX636" s="2"/>
      <c r="BY636" s="2"/>
      <c r="BZ636" s="2"/>
      <c r="CA636" s="2"/>
      <c r="CB636" s="2"/>
      <c r="CC636" s="2"/>
      <c r="CD636" s="3"/>
      <c r="CE636" s="2"/>
      <c r="CF636" s="4"/>
      <c r="CG636" s="4"/>
      <c r="CI636" s="2"/>
    </row>
    <row r="637" spans="1:87" s="101" customFormat="1" x14ac:dyDescent="0.35">
      <c r="A637" s="1"/>
      <c r="C637" s="1"/>
      <c r="G637" s="2"/>
      <c r="H637" s="2"/>
      <c r="I637" s="2"/>
      <c r="J637" s="2"/>
      <c r="K637" s="81"/>
      <c r="L637" s="4"/>
      <c r="M637" s="4"/>
      <c r="N637" s="4"/>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3"/>
      <c r="AP637" s="2"/>
      <c r="AQ637" s="2"/>
      <c r="AR637" s="2"/>
      <c r="AS637" s="2"/>
      <c r="AT637" s="2"/>
      <c r="AU637" s="2"/>
      <c r="AV637" s="2"/>
      <c r="AW637" s="2"/>
      <c r="AX637" s="2"/>
      <c r="AY637" s="2"/>
      <c r="AZ637" s="5"/>
      <c r="BA637" s="2"/>
      <c r="BD637" s="2"/>
      <c r="BE637" s="2"/>
      <c r="BF637" s="2"/>
      <c r="BG637" s="2"/>
      <c r="BH637" s="2"/>
      <c r="BI637" s="2"/>
      <c r="BJ637" s="2"/>
      <c r="BK637" s="2"/>
      <c r="BM637" s="2"/>
      <c r="BN637" s="2"/>
      <c r="BO637" s="2"/>
      <c r="BP637" s="2"/>
      <c r="BQ637" s="2"/>
      <c r="BR637" s="6"/>
      <c r="BS637" s="6"/>
      <c r="BT637" s="2"/>
      <c r="BU637" s="2"/>
      <c r="BV637" s="2"/>
      <c r="BW637" s="2"/>
      <c r="BX637" s="2"/>
      <c r="BY637" s="2"/>
      <c r="BZ637" s="2"/>
      <c r="CA637" s="2"/>
      <c r="CB637" s="2"/>
      <c r="CC637" s="2"/>
      <c r="CD637" s="3"/>
      <c r="CE637" s="2"/>
      <c r="CF637" s="4"/>
      <c r="CG637" s="4"/>
      <c r="CI637" s="2"/>
    </row>
    <row r="638" spans="1:87" s="101" customFormat="1" x14ac:dyDescent="0.35">
      <c r="A638" s="1"/>
      <c r="C638" s="1"/>
      <c r="G638" s="2"/>
      <c r="H638" s="2"/>
      <c r="I638" s="2"/>
      <c r="J638" s="2"/>
      <c r="K638" s="81"/>
      <c r="L638" s="4"/>
      <c r="M638" s="4"/>
      <c r="N638" s="4"/>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3"/>
      <c r="AP638" s="2"/>
      <c r="AQ638" s="2"/>
      <c r="AR638" s="2"/>
      <c r="AS638" s="2"/>
      <c r="AT638" s="2"/>
      <c r="AU638" s="2"/>
      <c r="AV638" s="2"/>
      <c r="AW638" s="2"/>
      <c r="AX638" s="2"/>
      <c r="AY638" s="2"/>
      <c r="AZ638" s="5"/>
      <c r="BA638" s="2"/>
      <c r="BD638" s="2"/>
      <c r="BE638" s="2"/>
      <c r="BF638" s="2"/>
      <c r="BG638" s="2"/>
      <c r="BH638" s="2"/>
      <c r="BI638" s="2"/>
      <c r="BJ638" s="2"/>
      <c r="BK638" s="2"/>
      <c r="BM638" s="2"/>
      <c r="BN638" s="2"/>
      <c r="BO638" s="2"/>
      <c r="BP638" s="2"/>
      <c r="BQ638" s="2"/>
      <c r="BR638" s="6"/>
      <c r="BS638" s="6"/>
      <c r="BT638" s="2"/>
      <c r="BU638" s="2"/>
      <c r="BV638" s="2"/>
      <c r="BW638" s="2"/>
      <c r="BX638" s="2"/>
      <c r="BY638" s="2"/>
      <c r="BZ638" s="2"/>
      <c r="CA638" s="2"/>
      <c r="CB638" s="2"/>
      <c r="CC638" s="2"/>
      <c r="CD638" s="3"/>
      <c r="CE638" s="2"/>
      <c r="CF638" s="4"/>
      <c r="CG638" s="4"/>
      <c r="CI638" s="2"/>
    </row>
    <row r="639" spans="1:87" s="101" customFormat="1" x14ac:dyDescent="0.35">
      <c r="A639" s="1"/>
      <c r="C639" s="1"/>
      <c r="G639" s="2"/>
      <c r="H639" s="2"/>
      <c r="I639" s="2"/>
      <c r="J639" s="2"/>
      <c r="K639" s="81"/>
      <c r="L639" s="4"/>
      <c r="M639" s="4"/>
      <c r="N639" s="4"/>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3"/>
      <c r="AP639" s="2"/>
      <c r="AQ639" s="2"/>
      <c r="AR639" s="2"/>
      <c r="AS639" s="2"/>
      <c r="AT639" s="2"/>
      <c r="AU639" s="2"/>
      <c r="AV639" s="2"/>
      <c r="AW639" s="2"/>
      <c r="AX639" s="2"/>
      <c r="AY639" s="2"/>
      <c r="AZ639" s="5"/>
      <c r="BA639" s="2"/>
      <c r="BD639" s="2"/>
      <c r="BE639" s="2"/>
      <c r="BF639" s="2"/>
      <c r="BG639" s="2"/>
      <c r="BH639" s="2"/>
      <c r="BI639" s="2"/>
      <c r="BJ639" s="2"/>
      <c r="BK639" s="2"/>
      <c r="BM639" s="2"/>
      <c r="BN639" s="2"/>
      <c r="BO639" s="2"/>
      <c r="BP639" s="2"/>
      <c r="BQ639" s="2"/>
      <c r="BR639" s="6"/>
      <c r="BS639" s="6"/>
      <c r="BT639" s="2"/>
      <c r="BU639" s="2"/>
      <c r="BV639" s="2"/>
      <c r="BW639" s="2"/>
      <c r="BX639" s="2"/>
      <c r="BY639" s="2"/>
      <c r="BZ639" s="2"/>
      <c r="CA639" s="2"/>
      <c r="CB639" s="2"/>
      <c r="CC639" s="2"/>
      <c r="CD639" s="3"/>
      <c r="CE639" s="2"/>
      <c r="CF639" s="4"/>
      <c r="CG639" s="4"/>
      <c r="CI639" s="2"/>
    </row>
    <row r="640" spans="1:87" s="101" customFormat="1" x14ac:dyDescent="0.35">
      <c r="A640" s="1"/>
      <c r="C640" s="1"/>
      <c r="G640" s="2"/>
      <c r="H640" s="2"/>
      <c r="I640" s="2"/>
      <c r="J640" s="2"/>
      <c r="K640" s="81"/>
      <c r="L640" s="4"/>
      <c r="M640" s="4"/>
      <c r="N640" s="4"/>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3"/>
      <c r="AP640" s="2"/>
      <c r="AQ640" s="2"/>
      <c r="AR640" s="2"/>
      <c r="AS640" s="2"/>
      <c r="AT640" s="2"/>
      <c r="AU640" s="2"/>
      <c r="AV640" s="2"/>
      <c r="AW640" s="2"/>
      <c r="AX640" s="2"/>
      <c r="AY640" s="2"/>
      <c r="AZ640" s="5"/>
      <c r="BA640" s="2"/>
      <c r="BD640" s="2"/>
      <c r="BE640" s="2"/>
      <c r="BF640" s="2"/>
      <c r="BG640" s="2"/>
      <c r="BH640" s="2"/>
      <c r="BI640" s="2"/>
      <c r="BJ640" s="2"/>
      <c r="BK640" s="2"/>
      <c r="BM640" s="2"/>
      <c r="BN640" s="2"/>
      <c r="BO640" s="2"/>
      <c r="BP640" s="2"/>
      <c r="BQ640" s="2"/>
      <c r="BR640" s="6"/>
      <c r="BS640" s="6"/>
      <c r="BT640" s="2"/>
      <c r="BU640" s="2"/>
      <c r="BV640" s="2"/>
      <c r="BW640" s="2"/>
      <c r="BX640" s="2"/>
      <c r="BY640" s="2"/>
      <c r="BZ640" s="2"/>
      <c r="CA640" s="2"/>
      <c r="CB640" s="2"/>
      <c r="CC640" s="2"/>
      <c r="CD640" s="3"/>
      <c r="CE640" s="2"/>
      <c r="CF640" s="4"/>
      <c r="CG640" s="4"/>
      <c r="CI640" s="2"/>
    </row>
    <row r="641" spans="1:87" s="101" customFormat="1" x14ac:dyDescent="0.35">
      <c r="A641" s="1"/>
      <c r="C641" s="1"/>
      <c r="G641" s="2"/>
      <c r="H641" s="2"/>
      <c r="I641" s="2"/>
      <c r="J641" s="2"/>
      <c r="K641" s="81"/>
      <c r="L641" s="4"/>
      <c r="M641" s="4"/>
      <c r="N641" s="4"/>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3"/>
      <c r="AP641" s="2"/>
      <c r="AQ641" s="2"/>
      <c r="AR641" s="2"/>
      <c r="AS641" s="2"/>
      <c r="AT641" s="2"/>
      <c r="AU641" s="2"/>
      <c r="AV641" s="2"/>
      <c r="AW641" s="2"/>
      <c r="AX641" s="2"/>
      <c r="AY641" s="2"/>
      <c r="AZ641" s="5"/>
      <c r="BA641" s="2"/>
      <c r="BD641" s="2"/>
      <c r="BE641" s="2"/>
      <c r="BF641" s="2"/>
      <c r="BG641" s="2"/>
      <c r="BH641" s="2"/>
      <c r="BI641" s="2"/>
      <c r="BJ641" s="2"/>
      <c r="BK641" s="2"/>
      <c r="BM641" s="2"/>
      <c r="BN641" s="2"/>
      <c r="BO641" s="2"/>
      <c r="BP641" s="2"/>
      <c r="BQ641" s="2"/>
      <c r="BR641" s="6"/>
      <c r="BS641" s="6"/>
      <c r="BT641" s="2"/>
      <c r="BU641" s="2"/>
      <c r="BV641" s="2"/>
      <c r="BW641" s="2"/>
      <c r="BX641" s="2"/>
      <c r="BY641" s="2"/>
      <c r="BZ641" s="2"/>
      <c r="CA641" s="2"/>
      <c r="CB641" s="2"/>
      <c r="CC641" s="2"/>
      <c r="CD641" s="3"/>
      <c r="CE641" s="2"/>
      <c r="CF641" s="4"/>
      <c r="CG641" s="4"/>
      <c r="CI641" s="2"/>
    </row>
    <row r="642" spans="1:87" s="101" customFormat="1" x14ac:dyDescent="0.35">
      <c r="A642" s="1"/>
      <c r="C642" s="1"/>
      <c r="G642" s="2"/>
      <c r="H642" s="2"/>
      <c r="I642" s="2"/>
      <c r="J642" s="2"/>
      <c r="K642" s="81"/>
      <c r="L642" s="4"/>
      <c r="M642" s="4"/>
      <c r="N642" s="4"/>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3"/>
      <c r="AP642" s="2"/>
      <c r="AQ642" s="2"/>
      <c r="AR642" s="2"/>
      <c r="AS642" s="2"/>
      <c r="AT642" s="2"/>
      <c r="AU642" s="2"/>
      <c r="AV642" s="2"/>
      <c r="AW642" s="2"/>
      <c r="AX642" s="2"/>
      <c r="AY642" s="2"/>
      <c r="AZ642" s="5"/>
      <c r="BA642" s="2"/>
      <c r="BD642" s="2"/>
      <c r="BE642" s="2"/>
      <c r="BF642" s="2"/>
      <c r="BG642" s="2"/>
      <c r="BH642" s="2"/>
      <c r="BI642" s="2"/>
      <c r="BJ642" s="2"/>
      <c r="BK642" s="2"/>
      <c r="BM642" s="2"/>
      <c r="BN642" s="2"/>
      <c r="BO642" s="2"/>
      <c r="BP642" s="2"/>
      <c r="BQ642" s="2"/>
      <c r="BR642" s="6"/>
      <c r="BS642" s="6"/>
      <c r="BT642" s="2"/>
      <c r="BU642" s="2"/>
      <c r="BV642" s="2"/>
      <c r="BW642" s="2"/>
      <c r="BX642" s="2"/>
      <c r="BY642" s="2"/>
      <c r="BZ642" s="2"/>
      <c r="CA642" s="2"/>
      <c r="CB642" s="2"/>
      <c r="CC642" s="2"/>
      <c r="CD642" s="3"/>
      <c r="CE642" s="2"/>
      <c r="CF642" s="4"/>
      <c r="CG642" s="4"/>
      <c r="CI642" s="2"/>
    </row>
    <row r="643" spans="1:87" s="101" customFormat="1" x14ac:dyDescent="0.35">
      <c r="A643" s="1"/>
      <c r="C643" s="1"/>
      <c r="G643" s="2"/>
      <c r="H643" s="2"/>
      <c r="I643" s="2"/>
      <c r="J643" s="2"/>
      <c r="K643" s="81"/>
      <c r="L643" s="4"/>
      <c r="M643" s="4"/>
      <c r="N643" s="4"/>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3"/>
      <c r="AP643" s="2"/>
      <c r="AQ643" s="2"/>
      <c r="AR643" s="2"/>
      <c r="AS643" s="2"/>
      <c r="AT643" s="2"/>
      <c r="AU643" s="2"/>
      <c r="AV643" s="2"/>
      <c r="AW643" s="2"/>
      <c r="AX643" s="2"/>
      <c r="AY643" s="2"/>
      <c r="AZ643" s="5"/>
      <c r="BA643" s="2"/>
      <c r="BD643" s="2"/>
      <c r="BE643" s="2"/>
      <c r="BF643" s="2"/>
      <c r="BG643" s="2"/>
      <c r="BH643" s="2"/>
      <c r="BI643" s="2"/>
      <c r="BJ643" s="2"/>
      <c r="BK643" s="2"/>
      <c r="BM643" s="2"/>
      <c r="BN643" s="2"/>
      <c r="BO643" s="2"/>
      <c r="BP643" s="2"/>
      <c r="BQ643" s="2"/>
      <c r="BR643" s="6"/>
      <c r="BS643" s="6"/>
      <c r="BT643" s="2"/>
      <c r="BU643" s="2"/>
      <c r="BV643" s="2"/>
      <c r="BW643" s="2"/>
      <c r="BX643" s="2"/>
      <c r="BY643" s="2"/>
      <c r="BZ643" s="2"/>
      <c r="CA643" s="2"/>
      <c r="CB643" s="2"/>
      <c r="CC643" s="2"/>
      <c r="CD643" s="3"/>
      <c r="CE643" s="2"/>
      <c r="CF643" s="4"/>
      <c r="CG643" s="4"/>
      <c r="CI643" s="2"/>
    </row>
    <row r="644" spans="1:87" s="101" customFormat="1" x14ac:dyDescent="0.35">
      <c r="A644" s="1"/>
      <c r="C644" s="1"/>
      <c r="G644" s="2"/>
      <c r="H644" s="2"/>
      <c r="I644" s="2"/>
      <c r="J644" s="2"/>
      <c r="K644" s="81"/>
      <c r="L644" s="4"/>
      <c r="M644" s="4"/>
      <c r="N644" s="4"/>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3"/>
      <c r="AP644" s="2"/>
      <c r="AQ644" s="2"/>
      <c r="AR644" s="2"/>
      <c r="AS644" s="2"/>
      <c r="AT644" s="2"/>
      <c r="AU644" s="2"/>
      <c r="AV644" s="2"/>
      <c r="AW644" s="2"/>
      <c r="AX644" s="2"/>
      <c r="AY644" s="2"/>
      <c r="AZ644" s="5"/>
      <c r="BA644" s="2"/>
      <c r="BD644" s="2"/>
      <c r="BE644" s="2"/>
      <c r="BF644" s="2"/>
      <c r="BG644" s="2"/>
      <c r="BH644" s="2"/>
      <c r="BI644" s="2"/>
      <c r="BJ644" s="2"/>
      <c r="BK644" s="2"/>
      <c r="BM644" s="2"/>
      <c r="BN644" s="2"/>
      <c r="BO644" s="2"/>
      <c r="BP644" s="2"/>
      <c r="BQ644" s="2"/>
      <c r="BR644" s="6"/>
      <c r="BS644" s="6"/>
      <c r="BT644" s="2"/>
      <c r="BU644" s="2"/>
      <c r="BV644" s="2"/>
      <c r="BW644" s="2"/>
      <c r="BX644" s="2"/>
      <c r="BY644" s="2"/>
      <c r="BZ644" s="2"/>
      <c r="CA644" s="2"/>
      <c r="CB644" s="2"/>
      <c r="CC644" s="2"/>
      <c r="CD644" s="3"/>
      <c r="CE644" s="2"/>
      <c r="CF644" s="4"/>
      <c r="CG644" s="4"/>
      <c r="CI644" s="2"/>
    </row>
    <row r="645" spans="1:87" s="101" customFormat="1" x14ac:dyDescent="0.35">
      <c r="A645" s="1"/>
      <c r="C645" s="1"/>
      <c r="G645" s="2"/>
      <c r="H645" s="2"/>
      <c r="I645" s="2"/>
      <c r="J645" s="2"/>
      <c r="K645" s="81"/>
      <c r="L645" s="4"/>
      <c r="M645" s="4"/>
      <c r="N645" s="4"/>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3"/>
      <c r="AP645" s="2"/>
      <c r="AQ645" s="2"/>
      <c r="AR645" s="2"/>
      <c r="AS645" s="2"/>
      <c r="AT645" s="2"/>
      <c r="AU645" s="2"/>
      <c r="AV645" s="2"/>
      <c r="AW645" s="2"/>
      <c r="AX645" s="2"/>
      <c r="AY645" s="2"/>
      <c r="AZ645" s="5"/>
      <c r="BA645" s="2"/>
      <c r="BD645" s="2"/>
      <c r="BE645" s="2"/>
      <c r="BF645" s="2"/>
      <c r="BG645" s="2"/>
      <c r="BH645" s="2"/>
      <c r="BI645" s="2"/>
      <c r="BJ645" s="2"/>
      <c r="BK645" s="2"/>
      <c r="BM645" s="2"/>
      <c r="BN645" s="2"/>
      <c r="BO645" s="2"/>
      <c r="BP645" s="2"/>
      <c r="BQ645" s="2"/>
      <c r="BR645" s="6"/>
      <c r="BS645" s="6"/>
      <c r="BT645" s="2"/>
      <c r="BU645" s="2"/>
      <c r="BV645" s="2"/>
      <c r="BW645" s="2"/>
      <c r="BX645" s="2"/>
      <c r="BY645" s="2"/>
      <c r="BZ645" s="2"/>
      <c r="CA645" s="2"/>
      <c r="CB645" s="2"/>
      <c r="CC645" s="2"/>
      <c r="CD645" s="3"/>
      <c r="CE645" s="2"/>
      <c r="CF645" s="4"/>
      <c r="CG645" s="4"/>
      <c r="CI645" s="2"/>
    </row>
    <row r="646" spans="1:87" s="101" customFormat="1" x14ac:dyDescent="0.35">
      <c r="A646" s="1"/>
      <c r="C646" s="1"/>
      <c r="G646" s="2"/>
      <c r="H646" s="2"/>
      <c r="I646" s="2"/>
      <c r="J646" s="2"/>
      <c r="K646" s="81"/>
      <c r="L646" s="4"/>
      <c r="M646" s="4"/>
      <c r="N646" s="4"/>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3"/>
      <c r="AP646" s="2"/>
      <c r="AQ646" s="2"/>
      <c r="AR646" s="2"/>
      <c r="AS646" s="2"/>
      <c r="AT646" s="2"/>
      <c r="AU646" s="2"/>
      <c r="AV646" s="2"/>
      <c r="AW646" s="2"/>
      <c r="AX646" s="2"/>
      <c r="AY646" s="2"/>
      <c r="AZ646" s="5"/>
      <c r="BA646" s="2"/>
      <c r="BD646" s="2"/>
      <c r="BE646" s="2"/>
      <c r="BF646" s="2"/>
      <c r="BG646" s="2"/>
      <c r="BH646" s="2"/>
      <c r="BI646" s="2"/>
      <c r="BJ646" s="2"/>
      <c r="BK646" s="2"/>
      <c r="BM646" s="2"/>
      <c r="BN646" s="2"/>
      <c r="BO646" s="2"/>
      <c r="BP646" s="2"/>
      <c r="BQ646" s="2"/>
      <c r="BR646" s="6"/>
      <c r="BS646" s="6"/>
      <c r="BT646" s="2"/>
      <c r="BU646" s="2"/>
      <c r="BV646" s="2"/>
      <c r="BW646" s="2"/>
      <c r="BX646" s="2"/>
      <c r="BY646" s="2"/>
      <c r="BZ646" s="2"/>
      <c r="CA646" s="2"/>
      <c r="CB646" s="2"/>
      <c r="CC646" s="2"/>
      <c r="CD646" s="3"/>
      <c r="CE646" s="2"/>
      <c r="CF646" s="4"/>
      <c r="CG646" s="4"/>
      <c r="CI646" s="2"/>
    </row>
    <row r="647" spans="1:87" s="101" customFormat="1" x14ac:dyDescent="0.35">
      <c r="A647" s="1"/>
      <c r="C647" s="1"/>
      <c r="G647" s="2"/>
      <c r="H647" s="2"/>
      <c r="I647" s="2"/>
      <c r="J647" s="2"/>
      <c r="K647" s="81"/>
      <c r="L647" s="4"/>
      <c r="M647" s="4"/>
      <c r="N647" s="4"/>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3"/>
      <c r="AP647" s="2"/>
      <c r="AQ647" s="2"/>
      <c r="AR647" s="2"/>
      <c r="AS647" s="2"/>
      <c r="AT647" s="2"/>
      <c r="AU647" s="2"/>
      <c r="AV647" s="2"/>
      <c r="AW647" s="2"/>
      <c r="AX647" s="2"/>
      <c r="AY647" s="2"/>
      <c r="AZ647" s="5"/>
      <c r="BA647" s="2"/>
      <c r="BD647" s="2"/>
      <c r="BE647" s="2"/>
      <c r="BF647" s="2"/>
      <c r="BG647" s="2"/>
      <c r="BH647" s="2"/>
      <c r="BI647" s="2"/>
      <c r="BJ647" s="2"/>
      <c r="BK647" s="2"/>
      <c r="BM647" s="2"/>
      <c r="BN647" s="2"/>
      <c r="BO647" s="2"/>
      <c r="BP647" s="2"/>
      <c r="BQ647" s="2"/>
      <c r="BR647" s="6"/>
      <c r="BS647" s="6"/>
      <c r="BT647" s="2"/>
      <c r="BU647" s="2"/>
      <c r="BV647" s="2"/>
      <c r="BW647" s="2"/>
      <c r="BX647" s="2"/>
      <c r="BY647" s="2"/>
      <c r="BZ647" s="2"/>
      <c r="CA647" s="2"/>
      <c r="CB647" s="2"/>
      <c r="CC647" s="2"/>
      <c r="CD647" s="3"/>
      <c r="CE647" s="2"/>
      <c r="CF647" s="4"/>
      <c r="CG647" s="4"/>
      <c r="CI647" s="2"/>
    </row>
    <row r="648" spans="1:87" s="101" customFormat="1" x14ac:dyDescent="0.35">
      <c r="A648" s="1"/>
      <c r="C648" s="1"/>
      <c r="G648" s="2"/>
      <c r="H648" s="2"/>
      <c r="I648" s="2"/>
      <c r="J648" s="2"/>
      <c r="K648" s="81"/>
      <c r="L648" s="4"/>
      <c r="M648" s="4"/>
      <c r="N648" s="4"/>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3"/>
      <c r="AP648" s="2"/>
      <c r="AQ648" s="2"/>
      <c r="AR648" s="2"/>
      <c r="AS648" s="2"/>
      <c r="AT648" s="2"/>
      <c r="AU648" s="2"/>
      <c r="AV648" s="2"/>
      <c r="AW648" s="2"/>
      <c r="AX648" s="2"/>
      <c r="AY648" s="2"/>
      <c r="AZ648" s="5"/>
      <c r="BA648" s="2"/>
      <c r="BD648" s="2"/>
      <c r="BE648" s="2"/>
      <c r="BF648" s="2"/>
      <c r="BG648" s="2"/>
      <c r="BH648" s="2"/>
      <c r="BI648" s="2"/>
      <c r="BJ648" s="2"/>
      <c r="BK648" s="2"/>
      <c r="BM648" s="2"/>
      <c r="BN648" s="2"/>
      <c r="BO648" s="2"/>
      <c r="BP648" s="2"/>
      <c r="BQ648" s="2"/>
      <c r="BR648" s="6"/>
      <c r="BS648" s="6"/>
      <c r="BT648" s="2"/>
      <c r="BU648" s="2"/>
      <c r="BV648" s="2"/>
      <c r="BW648" s="2"/>
      <c r="BX648" s="2"/>
      <c r="BY648" s="2"/>
      <c r="BZ648" s="2"/>
      <c r="CA648" s="2"/>
      <c r="CB648" s="2"/>
      <c r="CC648" s="2"/>
      <c r="CD648" s="3"/>
      <c r="CE648" s="2"/>
      <c r="CF648" s="4"/>
      <c r="CG648" s="4"/>
      <c r="CI648" s="2"/>
    </row>
    <row r="649" spans="1:87" s="101" customFormat="1" x14ac:dyDescent="0.35">
      <c r="A649" s="1"/>
      <c r="C649" s="1"/>
      <c r="G649" s="2"/>
      <c r="H649" s="2"/>
      <c r="I649" s="2"/>
      <c r="J649" s="2"/>
      <c r="K649" s="81"/>
      <c r="L649" s="4"/>
      <c r="M649" s="4"/>
      <c r="N649" s="4"/>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3"/>
      <c r="AP649" s="2"/>
      <c r="AQ649" s="2"/>
      <c r="AR649" s="2"/>
      <c r="AS649" s="2"/>
      <c r="AT649" s="2"/>
      <c r="AU649" s="2"/>
      <c r="AV649" s="2"/>
      <c r="AW649" s="2"/>
      <c r="AX649" s="2"/>
      <c r="AY649" s="2"/>
      <c r="AZ649" s="5"/>
      <c r="BA649" s="2"/>
      <c r="BD649" s="2"/>
      <c r="BE649" s="2"/>
      <c r="BF649" s="2"/>
      <c r="BG649" s="2"/>
      <c r="BH649" s="2"/>
      <c r="BI649" s="2"/>
      <c r="BJ649" s="2"/>
      <c r="BK649" s="2"/>
      <c r="BM649" s="2"/>
      <c r="BN649" s="2"/>
      <c r="BO649" s="2"/>
      <c r="BP649" s="2"/>
      <c r="BQ649" s="2"/>
      <c r="BR649" s="6"/>
      <c r="BS649" s="6"/>
      <c r="BT649" s="2"/>
      <c r="BU649" s="2"/>
      <c r="BV649" s="2"/>
      <c r="BW649" s="2"/>
      <c r="BX649" s="2"/>
      <c r="BY649" s="2"/>
      <c r="BZ649" s="2"/>
      <c r="CA649" s="2"/>
      <c r="CB649" s="2"/>
      <c r="CC649" s="2"/>
      <c r="CD649" s="3"/>
      <c r="CE649" s="2"/>
      <c r="CF649" s="4"/>
      <c r="CG649" s="4"/>
      <c r="CI649" s="2"/>
    </row>
    <row r="650" spans="1:87" s="101" customFormat="1" x14ac:dyDescent="0.35">
      <c r="A650" s="1"/>
      <c r="C650" s="1"/>
      <c r="G650" s="2"/>
      <c r="H650" s="2"/>
      <c r="I650" s="2"/>
      <c r="J650" s="2"/>
      <c r="K650" s="81"/>
      <c r="L650" s="4"/>
      <c r="M650" s="4"/>
      <c r="N650" s="4"/>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3"/>
      <c r="AP650" s="2"/>
      <c r="AQ650" s="2"/>
      <c r="AR650" s="2"/>
      <c r="AS650" s="2"/>
      <c r="AT650" s="2"/>
      <c r="AU650" s="2"/>
      <c r="AV650" s="2"/>
      <c r="AW650" s="2"/>
      <c r="AX650" s="2"/>
      <c r="AY650" s="2"/>
      <c r="AZ650" s="5"/>
      <c r="BA650" s="2"/>
      <c r="BD650" s="2"/>
      <c r="BE650" s="2"/>
      <c r="BF650" s="2"/>
      <c r="BG650" s="2"/>
      <c r="BH650" s="2"/>
      <c r="BI650" s="2"/>
      <c r="BJ650" s="2"/>
      <c r="BK650" s="2"/>
      <c r="BM650" s="2"/>
      <c r="BN650" s="2"/>
      <c r="BO650" s="2"/>
      <c r="BP650" s="2"/>
      <c r="BQ650" s="2"/>
      <c r="BR650" s="6"/>
      <c r="BS650" s="6"/>
      <c r="BT650" s="2"/>
      <c r="BU650" s="2"/>
      <c r="BV650" s="2"/>
      <c r="BW650" s="2"/>
      <c r="BX650" s="2"/>
      <c r="BY650" s="2"/>
      <c r="BZ650" s="2"/>
      <c r="CA650" s="2"/>
      <c r="CB650" s="2"/>
      <c r="CC650" s="2"/>
      <c r="CD650" s="3"/>
      <c r="CE650" s="2"/>
      <c r="CF650" s="4"/>
      <c r="CG650" s="4"/>
      <c r="CI650" s="2"/>
    </row>
    <row r="651" spans="1:87" s="101" customFormat="1" x14ac:dyDescent="0.35">
      <c r="A651" s="1"/>
      <c r="C651" s="1"/>
      <c r="G651" s="2"/>
      <c r="H651" s="2"/>
      <c r="I651" s="2"/>
      <c r="J651" s="2"/>
      <c r="K651" s="81"/>
      <c r="L651" s="4"/>
      <c r="M651" s="4"/>
      <c r="N651" s="4"/>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3"/>
      <c r="AP651" s="2"/>
      <c r="AQ651" s="2"/>
      <c r="AR651" s="2"/>
      <c r="AS651" s="2"/>
      <c r="AT651" s="2"/>
      <c r="AU651" s="2"/>
      <c r="AV651" s="2"/>
      <c r="AW651" s="2"/>
      <c r="AX651" s="2"/>
      <c r="AY651" s="2"/>
      <c r="AZ651" s="5"/>
      <c r="BA651" s="2"/>
      <c r="BD651" s="2"/>
      <c r="BE651" s="2"/>
      <c r="BF651" s="2"/>
      <c r="BG651" s="2"/>
      <c r="BH651" s="2"/>
      <c r="BI651" s="2"/>
      <c r="BJ651" s="2"/>
      <c r="BK651" s="2"/>
      <c r="BM651" s="2"/>
      <c r="BN651" s="2"/>
      <c r="BO651" s="2"/>
      <c r="BP651" s="2"/>
      <c r="BQ651" s="2"/>
      <c r="BR651" s="6"/>
      <c r="BS651" s="6"/>
      <c r="BT651" s="2"/>
      <c r="BU651" s="2"/>
      <c r="BV651" s="2"/>
      <c r="BW651" s="2"/>
      <c r="BX651" s="2"/>
      <c r="BY651" s="2"/>
      <c r="BZ651" s="2"/>
      <c r="CA651" s="2"/>
      <c r="CB651" s="2"/>
      <c r="CC651" s="2"/>
      <c r="CD651" s="3"/>
      <c r="CE651" s="2"/>
      <c r="CF651" s="4"/>
      <c r="CG651" s="4"/>
      <c r="CI651" s="2"/>
    </row>
    <row r="652" spans="1:87" s="101" customFormat="1" x14ac:dyDescent="0.35">
      <c r="A652" s="1"/>
      <c r="C652" s="1"/>
      <c r="G652" s="2"/>
      <c r="H652" s="2"/>
      <c r="I652" s="2"/>
      <c r="J652" s="2"/>
      <c r="K652" s="81"/>
      <c r="L652" s="4"/>
      <c r="M652" s="4"/>
      <c r="N652" s="4"/>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3"/>
      <c r="AP652" s="2"/>
      <c r="AQ652" s="2"/>
      <c r="AR652" s="2"/>
      <c r="AS652" s="2"/>
      <c r="AT652" s="2"/>
      <c r="AU652" s="2"/>
      <c r="AV652" s="2"/>
      <c r="AW652" s="2"/>
      <c r="AX652" s="2"/>
      <c r="AY652" s="2"/>
      <c r="AZ652" s="5"/>
      <c r="BA652" s="2"/>
      <c r="BD652" s="2"/>
      <c r="BE652" s="2"/>
      <c r="BF652" s="2"/>
      <c r="BG652" s="2"/>
      <c r="BH652" s="2"/>
      <c r="BI652" s="2"/>
      <c r="BJ652" s="2"/>
      <c r="BK652" s="2"/>
      <c r="BM652" s="2"/>
      <c r="BN652" s="2"/>
      <c r="BO652" s="2"/>
      <c r="BP652" s="2"/>
      <c r="BQ652" s="2"/>
      <c r="BR652" s="6"/>
      <c r="BS652" s="6"/>
      <c r="BT652" s="2"/>
      <c r="BU652" s="2"/>
      <c r="BV652" s="2"/>
      <c r="BW652" s="2"/>
      <c r="BX652" s="2"/>
      <c r="BY652" s="2"/>
      <c r="BZ652" s="2"/>
      <c r="CA652" s="2"/>
      <c r="CB652" s="2"/>
      <c r="CC652" s="2"/>
      <c r="CD652" s="3"/>
      <c r="CE652" s="2"/>
      <c r="CF652" s="4"/>
      <c r="CG652" s="4"/>
      <c r="CI652" s="2"/>
    </row>
    <row r="653" spans="1:87" s="101" customFormat="1" x14ac:dyDescent="0.35">
      <c r="A653" s="1"/>
      <c r="C653" s="1"/>
      <c r="G653" s="2"/>
      <c r="H653" s="2"/>
      <c r="I653" s="2"/>
      <c r="J653" s="2"/>
      <c r="K653" s="81"/>
      <c r="L653" s="4"/>
      <c r="M653" s="4"/>
      <c r="N653" s="4"/>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3"/>
      <c r="AP653" s="2"/>
      <c r="AQ653" s="2"/>
      <c r="AR653" s="2"/>
      <c r="AS653" s="2"/>
      <c r="AT653" s="2"/>
      <c r="AU653" s="2"/>
      <c r="AV653" s="2"/>
      <c r="AW653" s="2"/>
      <c r="AX653" s="2"/>
      <c r="AY653" s="2"/>
      <c r="AZ653" s="5"/>
      <c r="BA653" s="2"/>
      <c r="BD653" s="2"/>
      <c r="BE653" s="2"/>
      <c r="BF653" s="2"/>
      <c r="BG653" s="2"/>
      <c r="BH653" s="2"/>
      <c r="BI653" s="2"/>
      <c r="BJ653" s="2"/>
      <c r="BK653" s="2"/>
      <c r="BM653" s="2"/>
      <c r="BN653" s="2"/>
      <c r="BO653" s="2"/>
      <c r="BP653" s="2"/>
      <c r="BQ653" s="2"/>
      <c r="BR653" s="6"/>
      <c r="BS653" s="6"/>
      <c r="BT653" s="2"/>
      <c r="BU653" s="2"/>
      <c r="BV653" s="2"/>
      <c r="BW653" s="2"/>
      <c r="BX653" s="2"/>
      <c r="BY653" s="2"/>
      <c r="BZ653" s="2"/>
      <c r="CA653" s="2"/>
      <c r="CB653" s="2"/>
      <c r="CC653" s="2"/>
      <c r="CD653" s="3"/>
      <c r="CE653" s="2"/>
      <c r="CF653" s="4"/>
      <c r="CG653" s="4"/>
      <c r="CI653" s="2"/>
    </row>
    <row r="654" spans="1:87" s="101" customFormat="1" x14ac:dyDescent="0.35">
      <c r="A654" s="1"/>
      <c r="C654" s="1"/>
      <c r="G654" s="2"/>
      <c r="H654" s="2"/>
      <c r="I654" s="2"/>
      <c r="J654" s="2"/>
      <c r="K654" s="81"/>
      <c r="L654" s="4"/>
      <c r="M654" s="4"/>
      <c r="N654" s="4"/>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3"/>
      <c r="AP654" s="2"/>
      <c r="AQ654" s="2"/>
      <c r="AR654" s="2"/>
      <c r="AS654" s="2"/>
      <c r="AT654" s="2"/>
      <c r="AU654" s="2"/>
      <c r="AV654" s="2"/>
      <c r="AW654" s="2"/>
      <c r="AX654" s="2"/>
      <c r="AY654" s="2"/>
      <c r="AZ654" s="5"/>
      <c r="BA654" s="2"/>
      <c r="BD654" s="2"/>
      <c r="BE654" s="2"/>
      <c r="BF654" s="2"/>
      <c r="BG654" s="2"/>
      <c r="BH654" s="2"/>
      <c r="BI654" s="2"/>
      <c r="BJ654" s="2"/>
      <c r="BK654" s="2"/>
      <c r="BM654" s="2"/>
      <c r="BN654" s="2"/>
      <c r="BO654" s="2"/>
      <c r="BP654" s="2"/>
      <c r="BQ654" s="2"/>
      <c r="BR654" s="6"/>
      <c r="BS654" s="6"/>
      <c r="BT654" s="2"/>
      <c r="BU654" s="2"/>
      <c r="BV654" s="2"/>
      <c r="BW654" s="2"/>
      <c r="BX654" s="2"/>
      <c r="BY654" s="2"/>
      <c r="BZ654" s="2"/>
      <c r="CA654" s="2"/>
      <c r="CB654" s="2"/>
      <c r="CC654" s="2"/>
      <c r="CD654" s="3"/>
      <c r="CE654" s="2"/>
      <c r="CF654" s="4"/>
      <c r="CG654" s="4"/>
      <c r="CI654" s="2"/>
    </row>
    <row r="655" spans="1:87" s="101" customFormat="1" x14ac:dyDescent="0.35">
      <c r="A655" s="1"/>
      <c r="C655" s="1"/>
      <c r="G655" s="2"/>
      <c r="H655" s="2"/>
      <c r="I655" s="2"/>
      <c r="J655" s="2"/>
      <c r="K655" s="81"/>
      <c r="L655" s="4"/>
      <c r="M655" s="4"/>
      <c r="N655" s="4"/>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3"/>
      <c r="AP655" s="2"/>
      <c r="AQ655" s="2"/>
      <c r="AR655" s="2"/>
      <c r="AS655" s="2"/>
      <c r="AT655" s="2"/>
      <c r="AU655" s="2"/>
      <c r="AV655" s="2"/>
      <c r="AW655" s="2"/>
      <c r="AX655" s="2"/>
      <c r="AY655" s="2"/>
      <c r="AZ655" s="5"/>
      <c r="BA655" s="2"/>
      <c r="BD655" s="2"/>
      <c r="BE655" s="2"/>
      <c r="BF655" s="2"/>
      <c r="BG655" s="2"/>
      <c r="BH655" s="2"/>
      <c r="BI655" s="2"/>
      <c r="BJ655" s="2"/>
      <c r="BK655" s="2"/>
      <c r="BM655" s="2"/>
      <c r="BN655" s="2"/>
      <c r="BO655" s="2"/>
      <c r="BP655" s="2"/>
      <c r="BQ655" s="2"/>
      <c r="BR655" s="6"/>
      <c r="BS655" s="6"/>
      <c r="BT655" s="2"/>
      <c r="BU655" s="2"/>
      <c r="BV655" s="2"/>
      <c r="BW655" s="2"/>
      <c r="BX655" s="2"/>
      <c r="BY655" s="2"/>
      <c r="BZ655" s="2"/>
      <c r="CA655" s="2"/>
      <c r="CB655" s="2"/>
      <c r="CC655" s="2"/>
      <c r="CD655" s="3"/>
      <c r="CE655" s="2"/>
      <c r="CF655" s="4"/>
      <c r="CG655" s="4"/>
      <c r="CI655" s="2"/>
    </row>
    <row r="656" spans="1:87" s="101" customFormat="1" x14ac:dyDescent="0.35">
      <c r="A656" s="1"/>
      <c r="C656" s="1"/>
      <c r="G656" s="2"/>
      <c r="H656" s="2"/>
      <c r="I656" s="2"/>
      <c r="J656" s="2"/>
      <c r="K656" s="81"/>
      <c r="L656" s="4"/>
      <c r="M656" s="4"/>
      <c r="N656" s="4"/>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3"/>
      <c r="AP656" s="2"/>
      <c r="AQ656" s="2"/>
      <c r="AR656" s="2"/>
      <c r="AS656" s="2"/>
      <c r="AT656" s="2"/>
      <c r="AU656" s="2"/>
      <c r="AV656" s="2"/>
      <c r="AW656" s="2"/>
      <c r="AX656" s="2"/>
      <c r="AY656" s="2"/>
      <c r="AZ656" s="5"/>
      <c r="BA656" s="2"/>
      <c r="BD656" s="2"/>
      <c r="BE656" s="2"/>
      <c r="BF656" s="2"/>
      <c r="BG656" s="2"/>
      <c r="BH656" s="2"/>
      <c r="BI656" s="2"/>
      <c r="BJ656" s="2"/>
      <c r="BK656" s="2"/>
      <c r="BM656" s="2"/>
      <c r="BN656" s="2"/>
      <c r="BO656" s="2"/>
      <c r="BP656" s="2"/>
      <c r="BQ656" s="2"/>
      <c r="BR656" s="6"/>
      <c r="BS656" s="6"/>
      <c r="BT656" s="2"/>
      <c r="BU656" s="2"/>
      <c r="BV656" s="2"/>
      <c r="BW656" s="2"/>
      <c r="BX656" s="2"/>
      <c r="BY656" s="2"/>
      <c r="BZ656" s="2"/>
      <c r="CA656" s="2"/>
      <c r="CB656" s="2"/>
      <c r="CC656" s="2"/>
      <c r="CD656" s="3"/>
      <c r="CE656" s="2"/>
      <c r="CF656" s="4"/>
      <c r="CG656" s="4"/>
      <c r="CI656" s="2"/>
    </row>
    <row r="657" spans="1:87" s="101" customFormat="1" x14ac:dyDescent="0.35">
      <c r="A657" s="1"/>
      <c r="C657" s="1"/>
      <c r="G657" s="2"/>
      <c r="H657" s="2"/>
      <c r="I657" s="2"/>
      <c r="J657" s="2"/>
      <c r="K657" s="81"/>
      <c r="L657" s="4"/>
      <c r="M657" s="4"/>
      <c r="N657" s="4"/>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3"/>
      <c r="AP657" s="2"/>
      <c r="AQ657" s="2"/>
      <c r="AR657" s="2"/>
      <c r="AS657" s="2"/>
      <c r="AT657" s="2"/>
      <c r="AU657" s="2"/>
      <c r="AV657" s="2"/>
      <c r="AW657" s="2"/>
      <c r="AX657" s="2"/>
      <c r="AY657" s="2"/>
      <c r="AZ657" s="5"/>
      <c r="BA657" s="2"/>
      <c r="BD657" s="2"/>
      <c r="BE657" s="2"/>
      <c r="BF657" s="2"/>
      <c r="BG657" s="2"/>
      <c r="BH657" s="2"/>
      <c r="BI657" s="2"/>
      <c r="BJ657" s="2"/>
      <c r="BK657" s="2"/>
      <c r="BM657" s="2"/>
      <c r="BN657" s="2"/>
      <c r="BO657" s="2"/>
      <c r="BP657" s="2"/>
      <c r="BQ657" s="2"/>
      <c r="BR657" s="6"/>
      <c r="BS657" s="6"/>
      <c r="BT657" s="2"/>
      <c r="BU657" s="2"/>
      <c r="BV657" s="2"/>
      <c r="BW657" s="2"/>
      <c r="BX657" s="2"/>
      <c r="BY657" s="2"/>
      <c r="BZ657" s="2"/>
      <c r="CA657" s="2"/>
      <c r="CB657" s="2"/>
      <c r="CC657" s="2"/>
      <c r="CD657" s="3"/>
      <c r="CE657" s="2"/>
      <c r="CF657" s="4"/>
      <c r="CG657" s="4"/>
      <c r="CI657" s="2"/>
    </row>
    <row r="658" spans="1:87" s="101" customFormat="1" x14ac:dyDescent="0.35">
      <c r="A658" s="1"/>
      <c r="C658" s="1"/>
      <c r="G658" s="2"/>
      <c r="H658" s="2"/>
      <c r="I658" s="2"/>
      <c r="J658" s="2"/>
      <c r="K658" s="81"/>
      <c r="L658" s="4"/>
      <c r="M658" s="4"/>
      <c r="N658" s="4"/>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3"/>
      <c r="AP658" s="2"/>
      <c r="AQ658" s="2"/>
      <c r="AR658" s="2"/>
      <c r="AS658" s="2"/>
      <c r="AT658" s="2"/>
      <c r="AU658" s="2"/>
      <c r="AV658" s="2"/>
      <c r="AW658" s="2"/>
      <c r="AX658" s="2"/>
      <c r="AY658" s="2"/>
      <c r="AZ658" s="5"/>
      <c r="BA658" s="2"/>
      <c r="BD658" s="2"/>
      <c r="BE658" s="2"/>
      <c r="BF658" s="2"/>
      <c r="BG658" s="2"/>
      <c r="BH658" s="2"/>
      <c r="BI658" s="2"/>
      <c r="BJ658" s="2"/>
      <c r="BK658" s="2"/>
      <c r="BM658" s="2"/>
      <c r="BN658" s="2"/>
      <c r="BO658" s="2"/>
      <c r="BP658" s="2"/>
      <c r="BQ658" s="2"/>
      <c r="BR658" s="6"/>
      <c r="BS658" s="6"/>
      <c r="BT658" s="2"/>
      <c r="BU658" s="2"/>
      <c r="BV658" s="2"/>
      <c r="BW658" s="2"/>
      <c r="BX658" s="2"/>
      <c r="BY658" s="2"/>
      <c r="BZ658" s="2"/>
      <c r="CA658" s="2"/>
      <c r="CB658" s="2"/>
      <c r="CC658" s="2"/>
      <c r="CD658" s="3"/>
      <c r="CE658" s="2"/>
      <c r="CF658" s="4"/>
      <c r="CG658" s="4"/>
      <c r="CI658" s="2"/>
    </row>
    <row r="659" spans="1:87" s="101" customFormat="1" x14ac:dyDescent="0.35">
      <c r="A659" s="1"/>
      <c r="C659" s="1"/>
      <c r="G659" s="2"/>
      <c r="H659" s="2"/>
      <c r="I659" s="2"/>
      <c r="J659" s="2"/>
      <c r="K659" s="81"/>
      <c r="L659" s="4"/>
      <c r="M659" s="4"/>
      <c r="N659" s="4"/>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3"/>
      <c r="AP659" s="2"/>
      <c r="AQ659" s="2"/>
      <c r="AR659" s="2"/>
      <c r="AS659" s="2"/>
      <c r="AT659" s="2"/>
      <c r="AU659" s="2"/>
      <c r="AV659" s="2"/>
      <c r="AW659" s="2"/>
      <c r="AX659" s="2"/>
      <c r="AY659" s="2"/>
      <c r="AZ659" s="5"/>
      <c r="BA659" s="2"/>
      <c r="BD659" s="2"/>
      <c r="BE659" s="2"/>
      <c r="BF659" s="2"/>
      <c r="BG659" s="2"/>
      <c r="BH659" s="2"/>
      <c r="BI659" s="2"/>
      <c r="BJ659" s="2"/>
      <c r="BK659" s="2"/>
      <c r="BM659" s="2"/>
      <c r="BN659" s="2"/>
      <c r="BO659" s="2"/>
      <c r="BP659" s="2"/>
      <c r="BQ659" s="2"/>
      <c r="BR659" s="6"/>
      <c r="BS659" s="6"/>
      <c r="BT659" s="2"/>
      <c r="BU659" s="2"/>
      <c r="BV659" s="2"/>
      <c r="BW659" s="2"/>
      <c r="BX659" s="2"/>
      <c r="BY659" s="2"/>
      <c r="BZ659" s="2"/>
      <c r="CA659" s="2"/>
      <c r="CB659" s="2"/>
      <c r="CC659" s="2"/>
      <c r="CD659" s="3"/>
      <c r="CE659" s="2"/>
      <c r="CF659" s="4"/>
      <c r="CG659" s="4"/>
      <c r="CI659" s="2"/>
    </row>
    <row r="660" spans="1:87" s="101" customFormat="1" x14ac:dyDescent="0.35">
      <c r="A660" s="1"/>
      <c r="C660" s="1"/>
      <c r="G660" s="2"/>
      <c r="H660" s="2"/>
      <c r="I660" s="2"/>
      <c r="J660" s="2"/>
      <c r="K660" s="81"/>
      <c r="L660" s="4"/>
      <c r="M660" s="4"/>
      <c r="N660" s="4"/>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3"/>
      <c r="AP660" s="2"/>
      <c r="AQ660" s="2"/>
      <c r="AR660" s="2"/>
      <c r="AS660" s="2"/>
      <c r="AT660" s="2"/>
      <c r="AU660" s="2"/>
      <c r="AV660" s="2"/>
      <c r="AW660" s="2"/>
      <c r="AX660" s="2"/>
      <c r="AY660" s="2"/>
      <c r="AZ660" s="5"/>
      <c r="BA660" s="2"/>
      <c r="BD660" s="2"/>
      <c r="BE660" s="2"/>
      <c r="BF660" s="2"/>
      <c r="BG660" s="2"/>
      <c r="BH660" s="2"/>
      <c r="BI660" s="2"/>
      <c r="BJ660" s="2"/>
      <c r="BK660" s="2"/>
      <c r="BM660" s="2"/>
      <c r="BN660" s="2"/>
      <c r="BO660" s="2"/>
      <c r="BP660" s="2"/>
      <c r="BQ660" s="2"/>
      <c r="BR660" s="6"/>
      <c r="BS660" s="6"/>
      <c r="BT660" s="2"/>
      <c r="BU660" s="2"/>
      <c r="BV660" s="2"/>
      <c r="BW660" s="2"/>
      <c r="BX660" s="2"/>
      <c r="BY660" s="2"/>
      <c r="BZ660" s="2"/>
      <c r="CA660" s="2"/>
      <c r="CB660" s="2"/>
      <c r="CC660" s="2"/>
      <c r="CD660" s="3"/>
      <c r="CE660" s="2"/>
      <c r="CF660" s="4"/>
      <c r="CG660" s="4"/>
      <c r="CI660" s="2"/>
    </row>
    <row r="661" spans="1:87" s="101" customFormat="1" x14ac:dyDescent="0.35">
      <c r="A661" s="1"/>
      <c r="C661" s="1"/>
      <c r="G661" s="2"/>
      <c r="H661" s="2"/>
      <c r="I661" s="2"/>
      <c r="J661" s="2"/>
      <c r="K661" s="81"/>
      <c r="L661" s="4"/>
      <c r="M661" s="4"/>
      <c r="N661" s="4"/>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3"/>
      <c r="AP661" s="2"/>
      <c r="AQ661" s="2"/>
      <c r="AR661" s="2"/>
      <c r="AS661" s="2"/>
      <c r="AT661" s="2"/>
      <c r="AU661" s="2"/>
      <c r="AV661" s="2"/>
      <c r="AW661" s="2"/>
      <c r="AX661" s="2"/>
      <c r="AY661" s="2"/>
      <c r="AZ661" s="5"/>
      <c r="BA661" s="2"/>
      <c r="BD661" s="2"/>
      <c r="BE661" s="2"/>
      <c r="BF661" s="2"/>
      <c r="BG661" s="2"/>
      <c r="BH661" s="2"/>
      <c r="BI661" s="2"/>
      <c r="BJ661" s="2"/>
      <c r="BK661" s="2"/>
      <c r="BM661" s="2"/>
      <c r="BN661" s="2"/>
      <c r="BO661" s="2"/>
      <c r="BP661" s="2"/>
      <c r="BQ661" s="2"/>
      <c r="BR661" s="6"/>
      <c r="BS661" s="6"/>
      <c r="BT661" s="2"/>
      <c r="BU661" s="2"/>
      <c r="BV661" s="2"/>
      <c r="BW661" s="2"/>
      <c r="BX661" s="2"/>
      <c r="BY661" s="2"/>
      <c r="BZ661" s="2"/>
      <c r="CA661" s="2"/>
      <c r="CB661" s="2"/>
      <c r="CC661" s="2"/>
      <c r="CD661" s="3"/>
      <c r="CE661" s="2"/>
      <c r="CF661" s="4"/>
      <c r="CG661" s="4"/>
      <c r="CI661" s="2"/>
    </row>
    <row r="662" spans="1:87" s="101" customFormat="1" x14ac:dyDescent="0.35">
      <c r="A662" s="1"/>
      <c r="C662" s="1"/>
      <c r="G662" s="2"/>
      <c r="H662" s="2"/>
      <c r="I662" s="2"/>
      <c r="J662" s="2"/>
      <c r="K662" s="81"/>
      <c r="L662" s="4"/>
      <c r="M662" s="4"/>
      <c r="N662" s="4"/>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3"/>
      <c r="AP662" s="2"/>
      <c r="AQ662" s="2"/>
      <c r="AR662" s="2"/>
      <c r="AS662" s="2"/>
      <c r="AT662" s="2"/>
      <c r="AU662" s="2"/>
      <c r="AV662" s="2"/>
      <c r="AW662" s="2"/>
      <c r="AX662" s="2"/>
      <c r="AY662" s="2"/>
      <c r="AZ662" s="5"/>
      <c r="BA662" s="2"/>
      <c r="BD662" s="2"/>
      <c r="BE662" s="2"/>
      <c r="BF662" s="2"/>
      <c r="BG662" s="2"/>
      <c r="BH662" s="2"/>
      <c r="BI662" s="2"/>
      <c r="BJ662" s="2"/>
      <c r="BK662" s="2"/>
      <c r="BM662" s="2"/>
      <c r="BN662" s="2"/>
      <c r="BO662" s="2"/>
      <c r="BP662" s="2"/>
      <c r="BQ662" s="2"/>
      <c r="BR662" s="6"/>
      <c r="BS662" s="6"/>
      <c r="BT662" s="2"/>
      <c r="BU662" s="2"/>
      <c r="BV662" s="2"/>
      <c r="BW662" s="2"/>
      <c r="BX662" s="2"/>
      <c r="BY662" s="2"/>
      <c r="BZ662" s="2"/>
      <c r="CA662" s="2"/>
      <c r="CB662" s="2"/>
      <c r="CC662" s="2"/>
      <c r="CD662" s="3"/>
      <c r="CE662" s="2"/>
      <c r="CF662" s="4"/>
      <c r="CG662" s="4"/>
      <c r="CI662" s="2"/>
    </row>
    <row r="663" spans="1:87" s="101" customFormat="1" x14ac:dyDescent="0.35">
      <c r="A663" s="1"/>
      <c r="C663" s="1"/>
      <c r="G663" s="2"/>
      <c r="H663" s="2"/>
      <c r="I663" s="2"/>
      <c r="J663" s="2"/>
      <c r="K663" s="81"/>
      <c r="L663" s="4"/>
      <c r="M663" s="4"/>
      <c r="N663" s="4"/>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3"/>
      <c r="AP663" s="2"/>
      <c r="AQ663" s="2"/>
      <c r="AR663" s="2"/>
      <c r="AS663" s="2"/>
      <c r="AT663" s="2"/>
      <c r="AU663" s="2"/>
      <c r="AV663" s="2"/>
      <c r="AW663" s="2"/>
      <c r="AX663" s="2"/>
      <c r="AY663" s="2"/>
      <c r="AZ663" s="5"/>
      <c r="BA663" s="2"/>
      <c r="BD663" s="2"/>
      <c r="BE663" s="2"/>
      <c r="BF663" s="2"/>
      <c r="BG663" s="2"/>
      <c r="BH663" s="2"/>
      <c r="BI663" s="2"/>
      <c r="BJ663" s="2"/>
      <c r="BK663" s="2"/>
      <c r="BM663" s="2"/>
      <c r="BN663" s="2"/>
      <c r="BO663" s="2"/>
      <c r="BP663" s="2"/>
      <c r="BQ663" s="2"/>
      <c r="BR663" s="6"/>
      <c r="BS663" s="6"/>
      <c r="BT663" s="2"/>
      <c r="BU663" s="2"/>
      <c r="BV663" s="2"/>
      <c r="BW663" s="2"/>
      <c r="BX663" s="2"/>
      <c r="BY663" s="2"/>
      <c r="BZ663" s="2"/>
      <c r="CA663" s="2"/>
      <c r="CB663" s="2"/>
      <c r="CC663" s="2"/>
      <c r="CD663" s="3"/>
      <c r="CE663" s="2"/>
      <c r="CF663" s="4"/>
      <c r="CG663" s="4"/>
      <c r="CI663" s="2"/>
    </row>
    <row r="664" spans="1:87" s="101" customFormat="1" x14ac:dyDescent="0.35">
      <c r="A664" s="1"/>
      <c r="C664" s="1"/>
      <c r="G664" s="2"/>
      <c r="H664" s="2"/>
      <c r="I664" s="2"/>
      <c r="J664" s="2"/>
      <c r="K664" s="81"/>
      <c r="L664" s="4"/>
      <c r="M664" s="4"/>
      <c r="N664" s="4"/>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3"/>
      <c r="AP664" s="2"/>
      <c r="AQ664" s="2"/>
      <c r="AR664" s="2"/>
      <c r="AS664" s="2"/>
      <c r="AT664" s="2"/>
      <c r="AU664" s="2"/>
      <c r="AV664" s="2"/>
      <c r="AW664" s="2"/>
      <c r="AX664" s="2"/>
      <c r="AY664" s="2"/>
      <c r="AZ664" s="5"/>
      <c r="BA664" s="2"/>
      <c r="BD664" s="2"/>
      <c r="BE664" s="2"/>
      <c r="BF664" s="2"/>
      <c r="BG664" s="2"/>
      <c r="BH664" s="2"/>
      <c r="BI664" s="2"/>
      <c r="BJ664" s="2"/>
      <c r="BK664" s="2"/>
      <c r="BM664" s="2"/>
      <c r="BN664" s="2"/>
      <c r="BO664" s="2"/>
      <c r="BP664" s="2"/>
      <c r="BQ664" s="2"/>
      <c r="BR664" s="6"/>
      <c r="BS664" s="6"/>
      <c r="BT664" s="2"/>
      <c r="BU664" s="2"/>
      <c r="BV664" s="2"/>
      <c r="BW664" s="2"/>
      <c r="BX664" s="2"/>
      <c r="BY664" s="2"/>
      <c r="BZ664" s="2"/>
      <c r="CA664" s="2"/>
      <c r="CB664" s="2"/>
      <c r="CC664" s="2"/>
      <c r="CD664" s="3"/>
      <c r="CE664" s="2"/>
      <c r="CF664" s="4"/>
      <c r="CG664" s="4"/>
      <c r="CI664" s="2"/>
    </row>
    <row r="665" spans="1:87" s="101" customFormat="1" x14ac:dyDescent="0.35">
      <c r="A665" s="1"/>
      <c r="C665" s="1"/>
      <c r="G665" s="2"/>
      <c r="H665" s="2"/>
      <c r="I665" s="2"/>
      <c r="J665" s="2"/>
      <c r="K665" s="81"/>
      <c r="L665" s="4"/>
      <c r="M665" s="4"/>
      <c r="N665" s="4"/>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3"/>
      <c r="AP665" s="2"/>
      <c r="AQ665" s="2"/>
      <c r="AR665" s="2"/>
      <c r="AS665" s="2"/>
      <c r="AT665" s="2"/>
      <c r="AU665" s="2"/>
      <c r="AV665" s="2"/>
      <c r="AW665" s="2"/>
      <c r="AX665" s="2"/>
      <c r="AY665" s="2"/>
      <c r="AZ665" s="5"/>
      <c r="BA665" s="2"/>
      <c r="BD665" s="2"/>
      <c r="BE665" s="2"/>
      <c r="BF665" s="2"/>
      <c r="BG665" s="2"/>
      <c r="BH665" s="2"/>
      <c r="BI665" s="2"/>
      <c r="BJ665" s="2"/>
      <c r="BK665" s="2"/>
      <c r="BM665" s="2"/>
      <c r="BN665" s="2"/>
      <c r="BO665" s="2"/>
      <c r="BP665" s="2"/>
      <c r="BQ665" s="2"/>
      <c r="BR665" s="6"/>
      <c r="BS665" s="6"/>
      <c r="BT665" s="2"/>
      <c r="BU665" s="2"/>
      <c r="BV665" s="2"/>
      <c r="BW665" s="2"/>
      <c r="BX665" s="2"/>
      <c r="BY665" s="2"/>
      <c r="BZ665" s="2"/>
      <c r="CA665" s="2"/>
      <c r="CB665" s="2"/>
      <c r="CC665" s="2"/>
      <c r="CD665" s="3"/>
      <c r="CE665" s="2"/>
      <c r="CF665" s="4"/>
      <c r="CG665" s="4"/>
      <c r="CI665" s="2"/>
    </row>
    <row r="666" spans="1:87" s="101" customFormat="1" x14ac:dyDescent="0.35">
      <c r="A666" s="1"/>
      <c r="C666" s="1"/>
      <c r="G666" s="2"/>
      <c r="H666" s="2"/>
      <c r="I666" s="2"/>
      <c r="J666" s="2"/>
      <c r="K666" s="81"/>
      <c r="L666" s="4"/>
      <c r="M666" s="4"/>
      <c r="N666" s="4"/>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3"/>
      <c r="AP666" s="2"/>
      <c r="AQ666" s="2"/>
      <c r="AR666" s="2"/>
      <c r="AS666" s="2"/>
      <c r="AT666" s="2"/>
      <c r="AU666" s="2"/>
      <c r="AV666" s="2"/>
      <c r="AW666" s="2"/>
      <c r="AX666" s="2"/>
      <c r="AY666" s="2"/>
      <c r="AZ666" s="5"/>
      <c r="BA666" s="2"/>
      <c r="BD666" s="2"/>
      <c r="BE666" s="2"/>
      <c r="BF666" s="2"/>
      <c r="BG666" s="2"/>
      <c r="BH666" s="2"/>
      <c r="BI666" s="2"/>
      <c r="BJ666" s="2"/>
      <c r="BK666" s="2"/>
      <c r="BM666" s="2"/>
      <c r="BN666" s="2"/>
      <c r="BO666" s="2"/>
      <c r="BP666" s="2"/>
      <c r="BQ666" s="2"/>
      <c r="BR666" s="6"/>
      <c r="BS666" s="6"/>
      <c r="BT666" s="2"/>
      <c r="BU666" s="2"/>
      <c r="BV666" s="2"/>
      <c r="BW666" s="2"/>
      <c r="BX666" s="2"/>
      <c r="BY666" s="2"/>
      <c r="BZ666" s="2"/>
      <c r="CA666" s="2"/>
      <c r="CB666" s="2"/>
      <c r="CC666" s="2"/>
      <c r="CD666" s="3"/>
      <c r="CE666" s="2"/>
      <c r="CF666" s="4"/>
      <c r="CG666" s="4"/>
      <c r="CI666" s="2"/>
    </row>
    <row r="667" spans="1:87" s="101" customFormat="1" x14ac:dyDescent="0.35">
      <c r="A667" s="1"/>
      <c r="C667" s="1"/>
      <c r="G667" s="2"/>
      <c r="H667" s="2"/>
      <c r="I667" s="2"/>
      <c r="J667" s="2"/>
      <c r="K667" s="81"/>
      <c r="L667" s="4"/>
      <c r="M667" s="4"/>
      <c r="N667" s="4"/>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3"/>
      <c r="AP667" s="2"/>
      <c r="AQ667" s="2"/>
      <c r="AR667" s="2"/>
      <c r="AS667" s="2"/>
      <c r="AT667" s="2"/>
      <c r="AU667" s="2"/>
      <c r="AV667" s="2"/>
      <c r="AW667" s="2"/>
      <c r="AX667" s="2"/>
      <c r="AY667" s="2"/>
      <c r="AZ667" s="5"/>
      <c r="BA667" s="2"/>
      <c r="BD667" s="2"/>
      <c r="BE667" s="2"/>
      <c r="BF667" s="2"/>
      <c r="BG667" s="2"/>
      <c r="BH667" s="2"/>
      <c r="BI667" s="2"/>
      <c r="BJ667" s="2"/>
      <c r="BK667" s="2"/>
      <c r="BM667" s="2"/>
      <c r="BN667" s="2"/>
      <c r="BO667" s="2"/>
      <c r="BP667" s="2"/>
      <c r="BQ667" s="2"/>
      <c r="BR667" s="6"/>
      <c r="BS667" s="6"/>
      <c r="BT667" s="2"/>
      <c r="BU667" s="2"/>
      <c r="BV667" s="2"/>
      <c r="BW667" s="2"/>
      <c r="BX667" s="2"/>
      <c r="BY667" s="2"/>
      <c r="BZ667" s="2"/>
      <c r="CA667" s="2"/>
      <c r="CB667" s="2"/>
      <c r="CC667" s="2"/>
      <c r="CD667" s="3"/>
      <c r="CE667" s="2"/>
      <c r="CF667" s="4"/>
      <c r="CG667" s="4"/>
      <c r="CI667" s="2"/>
    </row>
    <row r="668" spans="1:87" s="101" customFormat="1" x14ac:dyDescent="0.35">
      <c r="A668" s="1"/>
      <c r="C668" s="1"/>
      <c r="G668" s="2"/>
      <c r="H668" s="2"/>
      <c r="I668" s="2"/>
      <c r="J668" s="2"/>
      <c r="K668" s="81"/>
      <c r="L668" s="4"/>
      <c r="M668" s="4"/>
      <c r="N668" s="4"/>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3"/>
      <c r="AP668" s="2"/>
      <c r="AQ668" s="2"/>
      <c r="AR668" s="2"/>
      <c r="AS668" s="2"/>
      <c r="AT668" s="2"/>
      <c r="AU668" s="2"/>
      <c r="AV668" s="2"/>
      <c r="AW668" s="2"/>
      <c r="AX668" s="2"/>
      <c r="AY668" s="2"/>
      <c r="AZ668" s="5"/>
      <c r="BA668" s="2"/>
      <c r="BD668" s="2"/>
      <c r="BE668" s="2"/>
      <c r="BF668" s="2"/>
      <c r="BG668" s="2"/>
      <c r="BH668" s="2"/>
      <c r="BI668" s="2"/>
      <c r="BJ668" s="2"/>
      <c r="BK668" s="2"/>
      <c r="BM668" s="2"/>
      <c r="BN668" s="2"/>
      <c r="BO668" s="2"/>
      <c r="BP668" s="2"/>
      <c r="BQ668" s="2"/>
      <c r="BR668" s="6"/>
      <c r="BS668" s="6"/>
      <c r="BT668" s="2"/>
      <c r="BU668" s="2"/>
      <c r="BV668" s="2"/>
      <c r="BW668" s="2"/>
      <c r="BX668" s="2"/>
      <c r="BY668" s="2"/>
      <c r="BZ668" s="2"/>
      <c r="CA668" s="2"/>
      <c r="CB668" s="2"/>
      <c r="CC668" s="2"/>
      <c r="CD668" s="3"/>
      <c r="CE668" s="2"/>
      <c r="CF668" s="4"/>
      <c r="CG668" s="4"/>
      <c r="CI668" s="2"/>
    </row>
    <row r="669" spans="1:87" s="101" customFormat="1" x14ac:dyDescent="0.35">
      <c r="A669" s="1"/>
      <c r="C669" s="1"/>
      <c r="G669" s="2"/>
      <c r="H669" s="2"/>
      <c r="I669" s="2"/>
      <c r="J669" s="2"/>
      <c r="K669" s="81"/>
      <c r="L669" s="4"/>
      <c r="M669" s="4"/>
      <c r="N669" s="4"/>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3"/>
      <c r="AP669" s="2"/>
      <c r="AQ669" s="2"/>
      <c r="AR669" s="2"/>
      <c r="AS669" s="2"/>
      <c r="AT669" s="2"/>
      <c r="AU669" s="2"/>
      <c r="AV669" s="2"/>
      <c r="AW669" s="2"/>
      <c r="AX669" s="2"/>
      <c r="AY669" s="2"/>
      <c r="AZ669" s="5"/>
      <c r="BA669" s="2"/>
      <c r="BD669" s="2"/>
      <c r="BE669" s="2"/>
      <c r="BF669" s="2"/>
      <c r="BG669" s="2"/>
      <c r="BH669" s="2"/>
      <c r="BI669" s="2"/>
      <c r="BJ669" s="2"/>
      <c r="BK669" s="2"/>
      <c r="BM669" s="2"/>
      <c r="BN669" s="2"/>
      <c r="BO669" s="2"/>
      <c r="BP669" s="2"/>
      <c r="BQ669" s="2"/>
      <c r="BR669" s="6"/>
      <c r="BS669" s="6"/>
      <c r="BT669" s="2"/>
      <c r="BU669" s="2"/>
      <c r="BV669" s="2"/>
      <c r="BW669" s="2"/>
      <c r="BX669" s="2"/>
      <c r="BY669" s="2"/>
      <c r="BZ669" s="2"/>
      <c r="CA669" s="2"/>
      <c r="CB669" s="2"/>
      <c r="CC669" s="2"/>
      <c r="CD669" s="3"/>
      <c r="CE669" s="2"/>
      <c r="CF669" s="4"/>
      <c r="CG669" s="4"/>
      <c r="CI669" s="2"/>
    </row>
    <row r="670" spans="1:87" s="101" customFormat="1" x14ac:dyDescent="0.35">
      <c r="A670" s="1"/>
      <c r="C670" s="1"/>
      <c r="G670" s="2"/>
      <c r="H670" s="2"/>
      <c r="I670" s="2"/>
      <c r="J670" s="2"/>
      <c r="K670" s="81"/>
      <c r="L670" s="4"/>
      <c r="M670" s="4"/>
      <c r="N670" s="4"/>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3"/>
      <c r="AP670" s="2"/>
      <c r="AQ670" s="2"/>
      <c r="AR670" s="2"/>
      <c r="AS670" s="2"/>
      <c r="AT670" s="2"/>
      <c r="AU670" s="2"/>
      <c r="AV670" s="2"/>
      <c r="AW670" s="2"/>
      <c r="AX670" s="2"/>
      <c r="AY670" s="2"/>
      <c r="AZ670" s="5"/>
      <c r="BA670" s="2"/>
      <c r="BD670" s="2"/>
      <c r="BE670" s="2"/>
      <c r="BF670" s="2"/>
      <c r="BG670" s="2"/>
      <c r="BH670" s="2"/>
      <c r="BI670" s="2"/>
      <c r="BJ670" s="2"/>
      <c r="BK670" s="2"/>
      <c r="BM670" s="2"/>
      <c r="BN670" s="2"/>
      <c r="BO670" s="2"/>
      <c r="BP670" s="2"/>
      <c r="BQ670" s="2"/>
      <c r="BR670" s="6"/>
      <c r="BS670" s="6"/>
      <c r="BT670" s="2"/>
      <c r="BU670" s="2"/>
      <c r="BV670" s="2"/>
      <c r="BW670" s="2"/>
      <c r="BX670" s="2"/>
      <c r="BY670" s="2"/>
      <c r="BZ670" s="2"/>
      <c r="CA670" s="2"/>
      <c r="CB670" s="2"/>
      <c r="CC670" s="2"/>
      <c r="CD670" s="3"/>
      <c r="CE670" s="2"/>
      <c r="CF670" s="4"/>
      <c r="CG670" s="4"/>
      <c r="CI670" s="2"/>
    </row>
    <row r="671" spans="1:87" s="101" customFormat="1" x14ac:dyDescent="0.35">
      <c r="A671" s="1"/>
      <c r="C671" s="1"/>
      <c r="G671" s="2"/>
      <c r="H671" s="2"/>
      <c r="I671" s="2"/>
      <c r="J671" s="2"/>
      <c r="K671" s="81"/>
      <c r="L671" s="4"/>
      <c r="M671" s="4"/>
      <c r="N671" s="4"/>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3"/>
      <c r="AP671" s="2"/>
      <c r="AQ671" s="2"/>
      <c r="AR671" s="2"/>
      <c r="AS671" s="2"/>
      <c r="AT671" s="2"/>
      <c r="AU671" s="2"/>
      <c r="AV671" s="2"/>
      <c r="AW671" s="2"/>
      <c r="AX671" s="2"/>
      <c r="AY671" s="2"/>
      <c r="AZ671" s="5"/>
      <c r="BA671" s="2"/>
      <c r="BD671" s="2"/>
      <c r="BE671" s="2"/>
      <c r="BF671" s="2"/>
      <c r="BG671" s="2"/>
      <c r="BH671" s="2"/>
      <c r="BI671" s="2"/>
      <c r="BJ671" s="2"/>
      <c r="BK671" s="2"/>
      <c r="BM671" s="2"/>
      <c r="BN671" s="2"/>
      <c r="BO671" s="2"/>
      <c r="BP671" s="2"/>
      <c r="BQ671" s="2"/>
      <c r="BR671" s="6"/>
      <c r="BS671" s="6"/>
      <c r="BT671" s="2"/>
      <c r="BU671" s="2"/>
      <c r="BV671" s="2"/>
      <c r="BW671" s="2"/>
      <c r="BX671" s="2"/>
      <c r="BY671" s="2"/>
      <c r="BZ671" s="2"/>
      <c r="CA671" s="2"/>
      <c r="CB671" s="2"/>
      <c r="CC671" s="2"/>
      <c r="CD671" s="3"/>
      <c r="CE671" s="2"/>
      <c r="CF671" s="4"/>
      <c r="CG671" s="4"/>
      <c r="CI671" s="2"/>
    </row>
    <row r="672" spans="1:87" s="101" customFormat="1" x14ac:dyDescent="0.35">
      <c r="A672" s="1"/>
      <c r="C672" s="1"/>
      <c r="G672" s="2"/>
      <c r="H672" s="2"/>
      <c r="I672" s="2"/>
      <c r="J672" s="2"/>
      <c r="K672" s="81"/>
      <c r="L672" s="4"/>
      <c r="M672" s="4"/>
      <c r="N672" s="4"/>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3"/>
      <c r="AP672" s="2"/>
      <c r="AQ672" s="2"/>
      <c r="AR672" s="2"/>
      <c r="AS672" s="2"/>
      <c r="AT672" s="2"/>
      <c r="AU672" s="2"/>
      <c r="AV672" s="2"/>
      <c r="AW672" s="2"/>
      <c r="AX672" s="2"/>
      <c r="AY672" s="2"/>
      <c r="AZ672" s="5"/>
      <c r="BA672" s="2"/>
      <c r="BD672" s="2"/>
      <c r="BE672" s="2"/>
      <c r="BF672" s="2"/>
      <c r="BG672" s="2"/>
      <c r="BH672" s="2"/>
      <c r="BI672" s="2"/>
      <c r="BJ672" s="2"/>
      <c r="BK672" s="2"/>
      <c r="BM672" s="2"/>
      <c r="BN672" s="2"/>
      <c r="BO672" s="2"/>
      <c r="BP672" s="2"/>
      <c r="BQ672" s="2"/>
      <c r="BR672" s="6"/>
      <c r="BS672" s="6"/>
      <c r="BT672" s="2"/>
      <c r="BU672" s="2"/>
      <c r="BV672" s="2"/>
      <c r="BW672" s="2"/>
      <c r="BX672" s="2"/>
      <c r="BY672" s="2"/>
      <c r="BZ672" s="2"/>
      <c r="CA672" s="2"/>
      <c r="CB672" s="2"/>
      <c r="CC672" s="2"/>
      <c r="CD672" s="3"/>
      <c r="CE672" s="2"/>
      <c r="CF672" s="4"/>
      <c r="CG672" s="4"/>
      <c r="CI672" s="2"/>
    </row>
    <row r="673" spans="1:87" s="101" customFormat="1" x14ac:dyDescent="0.35">
      <c r="A673" s="1"/>
      <c r="C673" s="1"/>
      <c r="G673" s="2"/>
      <c r="H673" s="2"/>
      <c r="I673" s="2"/>
      <c r="J673" s="2"/>
      <c r="K673" s="81"/>
      <c r="L673" s="4"/>
      <c r="M673" s="4"/>
      <c r="N673" s="4"/>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3"/>
      <c r="AP673" s="2"/>
      <c r="AQ673" s="2"/>
      <c r="AR673" s="2"/>
      <c r="AS673" s="2"/>
      <c r="AT673" s="2"/>
      <c r="AU673" s="2"/>
      <c r="AV673" s="2"/>
      <c r="AW673" s="2"/>
      <c r="AX673" s="2"/>
      <c r="AY673" s="2"/>
      <c r="AZ673" s="5"/>
      <c r="BA673" s="2"/>
      <c r="BD673" s="2"/>
      <c r="BE673" s="2"/>
      <c r="BF673" s="2"/>
      <c r="BG673" s="2"/>
      <c r="BH673" s="2"/>
      <c r="BI673" s="2"/>
      <c r="BJ673" s="2"/>
      <c r="BK673" s="2"/>
      <c r="BM673" s="2"/>
      <c r="BN673" s="2"/>
      <c r="BO673" s="2"/>
      <c r="BP673" s="2"/>
      <c r="BQ673" s="2"/>
      <c r="BR673" s="6"/>
      <c r="BS673" s="6"/>
      <c r="BT673" s="2"/>
      <c r="BU673" s="2"/>
      <c r="BV673" s="2"/>
      <c r="BW673" s="2"/>
      <c r="BX673" s="2"/>
      <c r="BY673" s="2"/>
      <c r="BZ673" s="2"/>
      <c r="CA673" s="2"/>
      <c r="CB673" s="2"/>
      <c r="CC673" s="2"/>
      <c r="CD673" s="3"/>
      <c r="CE673" s="2"/>
      <c r="CF673" s="4"/>
      <c r="CG673" s="4"/>
      <c r="CI673" s="2"/>
    </row>
    <row r="674" spans="1:87" s="101" customFormat="1" x14ac:dyDescent="0.35">
      <c r="A674" s="1"/>
      <c r="C674" s="1"/>
      <c r="G674" s="2"/>
      <c r="H674" s="2"/>
      <c r="I674" s="2"/>
      <c r="J674" s="2"/>
      <c r="K674" s="81"/>
      <c r="L674" s="4"/>
      <c r="M674" s="4"/>
      <c r="N674" s="4"/>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3"/>
      <c r="AP674" s="2"/>
      <c r="AQ674" s="2"/>
      <c r="AR674" s="2"/>
      <c r="AS674" s="2"/>
      <c r="AT674" s="2"/>
      <c r="AU674" s="2"/>
      <c r="AV674" s="2"/>
      <c r="AW674" s="2"/>
      <c r="AX674" s="2"/>
      <c r="AY674" s="2"/>
      <c r="AZ674" s="5"/>
      <c r="BA674" s="2"/>
      <c r="BD674" s="2"/>
      <c r="BE674" s="2"/>
      <c r="BF674" s="2"/>
      <c r="BG674" s="2"/>
      <c r="BH674" s="2"/>
      <c r="BI674" s="2"/>
      <c r="BJ674" s="2"/>
      <c r="BK674" s="2"/>
      <c r="BM674" s="2"/>
      <c r="BN674" s="2"/>
      <c r="BO674" s="2"/>
      <c r="BP674" s="2"/>
      <c r="BQ674" s="2"/>
      <c r="BR674" s="6"/>
      <c r="BS674" s="6"/>
      <c r="BT674" s="2"/>
      <c r="BU674" s="2"/>
      <c r="BV674" s="2"/>
      <c r="BW674" s="2"/>
      <c r="BX674" s="2"/>
      <c r="BY674" s="2"/>
      <c r="BZ674" s="2"/>
      <c r="CA674" s="2"/>
      <c r="CB674" s="2"/>
      <c r="CC674" s="2"/>
      <c r="CD674" s="3"/>
      <c r="CE674" s="2"/>
      <c r="CF674" s="4"/>
      <c r="CG674" s="4"/>
      <c r="CI674" s="2"/>
    </row>
    <row r="675" spans="1:87" s="101" customFormat="1" x14ac:dyDescent="0.35">
      <c r="A675" s="1"/>
      <c r="C675" s="1"/>
      <c r="G675" s="2"/>
      <c r="H675" s="2"/>
      <c r="I675" s="2"/>
      <c r="J675" s="2"/>
      <c r="K675" s="81"/>
      <c r="L675" s="4"/>
      <c r="M675" s="4"/>
      <c r="N675" s="4"/>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3"/>
      <c r="AP675" s="2"/>
      <c r="AQ675" s="2"/>
      <c r="AR675" s="2"/>
      <c r="AS675" s="2"/>
      <c r="AT675" s="2"/>
      <c r="AU675" s="2"/>
      <c r="AV675" s="2"/>
      <c r="AW675" s="2"/>
      <c r="AX675" s="2"/>
      <c r="AY675" s="2"/>
      <c r="AZ675" s="5"/>
      <c r="BA675" s="2"/>
      <c r="BD675" s="2"/>
      <c r="BE675" s="2"/>
      <c r="BF675" s="2"/>
      <c r="BG675" s="2"/>
      <c r="BH675" s="2"/>
      <c r="BI675" s="2"/>
      <c r="BJ675" s="2"/>
      <c r="BK675" s="2"/>
      <c r="BM675" s="2"/>
      <c r="BN675" s="2"/>
      <c r="BO675" s="2"/>
      <c r="BP675" s="2"/>
      <c r="BQ675" s="2"/>
      <c r="BR675" s="6"/>
      <c r="BS675" s="6"/>
      <c r="BT675" s="2"/>
      <c r="BU675" s="2"/>
      <c r="BV675" s="2"/>
      <c r="BW675" s="2"/>
      <c r="BX675" s="2"/>
      <c r="BY675" s="2"/>
      <c r="BZ675" s="2"/>
      <c r="CA675" s="2"/>
      <c r="CB675" s="2"/>
      <c r="CC675" s="2"/>
      <c r="CD675" s="3"/>
      <c r="CE675" s="2"/>
      <c r="CF675" s="4"/>
      <c r="CG675" s="4"/>
      <c r="CI675" s="2"/>
    </row>
    <row r="676" spans="1:87" s="101" customFormat="1" x14ac:dyDescent="0.35">
      <c r="A676" s="1"/>
      <c r="C676" s="1"/>
      <c r="G676" s="2"/>
      <c r="H676" s="2"/>
      <c r="I676" s="2"/>
      <c r="J676" s="2"/>
      <c r="K676" s="81"/>
      <c r="L676" s="4"/>
      <c r="M676" s="4"/>
      <c r="N676" s="4"/>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3"/>
      <c r="AP676" s="2"/>
      <c r="AQ676" s="2"/>
      <c r="AR676" s="2"/>
      <c r="AS676" s="2"/>
      <c r="AT676" s="2"/>
      <c r="AU676" s="2"/>
      <c r="AV676" s="2"/>
      <c r="AW676" s="2"/>
      <c r="AX676" s="2"/>
      <c r="AY676" s="2"/>
      <c r="AZ676" s="5"/>
      <c r="BA676" s="2"/>
      <c r="BD676" s="2"/>
      <c r="BE676" s="2"/>
      <c r="BF676" s="2"/>
      <c r="BG676" s="2"/>
      <c r="BH676" s="2"/>
      <c r="BI676" s="2"/>
      <c r="BJ676" s="2"/>
      <c r="BK676" s="2"/>
      <c r="BM676" s="2"/>
      <c r="BN676" s="2"/>
      <c r="BO676" s="2"/>
      <c r="BP676" s="2"/>
      <c r="BQ676" s="2"/>
      <c r="BR676" s="6"/>
      <c r="BS676" s="6"/>
      <c r="BT676" s="2"/>
      <c r="BU676" s="2"/>
      <c r="BV676" s="2"/>
      <c r="BW676" s="2"/>
      <c r="BX676" s="2"/>
      <c r="BY676" s="2"/>
      <c r="BZ676" s="2"/>
      <c r="CA676" s="2"/>
      <c r="CB676" s="2"/>
      <c r="CC676" s="2"/>
      <c r="CD676" s="3"/>
      <c r="CE676" s="2"/>
      <c r="CF676" s="4"/>
      <c r="CG676" s="4"/>
      <c r="CI676" s="2"/>
    </row>
    <row r="677" spans="1:87" s="101" customFormat="1" x14ac:dyDescent="0.35">
      <c r="A677" s="1"/>
      <c r="C677" s="1"/>
      <c r="G677" s="2"/>
      <c r="H677" s="2"/>
      <c r="I677" s="2"/>
      <c r="J677" s="2"/>
      <c r="K677" s="81"/>
      <c r="L677" s="4"/>
      <c r="M677" s="4"/>
      <c r="N677" s="4"/>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3"/>
      <c r="AP677" s="2"/>
      <c r="AQ677" s="2"/>
      <c r="AR677" s="2"/>
      <c r="AS677" s="2"/>
      <c r="AT677" s="2"/>
      <c r="AU677" s="2"/>
      <c r="AV677" s="2"/>
      <c r="AW677" s="2"/>
      <c r="AX677" s="2"/>
      <c r="AY677" s="2"/>
      <c r="AZ677" s="5"/>
      <c r="BA677" s="2"/>
      <c r="BD677" s="2"/>
      <c r="BE677" s="2"/>
      <c r="BF677" s="2"/>
      <c r="BG677" s="2"/>
      <c r="BH677" s="2"/>
      <c r="BI677" s="2"/>
      <c r="BJ677" s="2"/>
      <c r="BK677" s="2"/>
      <c r="BM677" s="2"/>
      <c r="BN677" s="2"/>
      <c r="BO677" s="2"/>
      <c r="BP677" s="2"/>
      <c r="BQ677" s="2"/>
      <c r="BR677" s="6"/>
      <c r="BS677" s="6"/>
      <c r="BT677" s="2"/>
      <c r="BU677" s="2"/>
      <c r="BV677" s="2"/>
      <c r="BW677" s="2"/>
      <c r="BX677" s="2"/>
      <c r="BY677" s="2"/>
      <c r="BZ677" s="2"/>
      <c r="CA677" s="2"/>
      <c r="CB677" s="2"/>
      <c r="CC677" s="2"/>
      <c r="CD677" s="3"/>
      <c r="CE677" s="2"/>
      <c r="CF677" s="4"/>
      <c r="CG677" s="4"/>
      <c r="CI677" s="2"/>
    </row>
    <row r="678" spans="1:87" s="101" customFormat="1" x14ac:dyDescent="0.35">
      <c r="A678" s="1"/>
      <c r="C678" s="1"/>
      <c r="G678" s="2"/>
      <c r="H678" s="2"/>
      <c r="I678" s="2"/>
      <c r="J678" s="2"/>
      <c r="K678" s="81"/>
      <c r="L678" s="4"/>
      <c r="M678" s="4"/>
      <c r="N678" s="4"/>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3"/>
      <c r="AP678" s="2"/>
      <c r="AQ678" s="2"/>
      <c r="AR678" s="2"/>
      <c r="AS678" s="2"/>
      <c r="AT678" s="2"/>
      <c r="AU678" s="2"/>
      <c r="AV678" s="2"/>
      <c r="AW678" s="2"/>
      <c r="AX678" s="2"/>
      <c r="AY678" s="2"/>
      <c r="AZ678" s="5"/>
      <c r="BA678" s="2"/>
      <c r="BD678" s="2"/>
      <c r="BE678" s="2"/>
      <c r="BF678" s="2"/>
      <c r="BG678" s="2"/>
      <c r="BH678" s="2"/>
      <c r="BI678" s="2"/>
      <c r="BJ678" s="2"/>
      <c r="BK678" s="2"/>
      <c r="BM678" s="2"/>
      <c r="BN678" s="2"/>
      <c r="BO678" s="2"/>
      <c r="BP678" s="2"/>
      <c r="BQ678" s="2"/>
      <c r="BR678" s="6"/>
      <c r="BS678" s="6"/>
      <c r="BT678" s="2"/>
      <c r="BU678" s="2"/>
      <c r="BV678" s="2"/>
      <c r="BW678" s="2"/>
      <c r="BX678" s="2"/>
      <c r="BY678" s="2"/>
      <c r="BZ678" s="2"/>
      <c r="CA678" s="2"/>
      <c r="CB678" s="2"/>
      <c r="CC678" s="2"/>
      <c r="CD678" s="3"/>
      <c r="CE678" s="2"/>
      <c r="CF678" s="4"/>
      <c r="CG678" s="4"/>
      <c r="CI678" s="2"/>
    </row>
    <row r="679" spans="1:87" s="101" customFormat="1" x14ac:dyDescent="0.35">
      <c r="A679" s="1"/>
      <c r="C679" s="1"/>
      <c r="G679" s="2"/>
      <c r="H679" s="2"/>
      <c r="I679" s="2"/>
      <c r="J679" s="2"/>
      <c r="K679" s="81"/>
      <c r="L679" s="4"/>
      <c r="M679" s="4"/>
      <c r="N679" s="4"/>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3"/>
      <c r="AP679" s="2"/>
      <c r="AQ679" s="2"/>
      <c r="AR679" s="2"/>
      <c r="AS679" s="2"/>
      <c r="AT679" s="2"/>
      <c r="AU679" s="2"/>
      <c r="AV679" s="2"/>
      <c r="AW679" s="2"/>
      <c r="AX679" s="2"/>
      <c r="AY679" s="2"/>
      <c r="AZ679" s="5"/>
      <c r="BA679" s="2"/>
      <c r="BD679" s="2"/>
      <c r="BE679" s="2"/>
      <c r="BF679" s="2"/>
      <c r="BG679" s="2"/>
      <c r="BH679" s="2"/>
      <c r="BI679" s="2"/>
      <c r="BJ679" s="2"/>
      <c r="BK679" s="2"/>
      <c r="BM679" s="2"/>
      <c r="BN679" s="2"/>
      <c r="BO679" s="2"/>
      <c r="BP679" s="2"/>
      <c r="BQ679" s="2"/>
      <c r="BR679" s="6"/>
      <c r="BS679" s="6"/>
      <c r="BT679" s="2"/>
      <c r="BU679" s="2"/>
      <c r="BV679" s="2"/>
      <c r="BW679" s="2"/>
      <c r="BX679" s="2"/>
      <c r="BY679" s="2"/>
      <c r="BZ679" s="2"/>
      <c r="CA679" s="2"/>
      <c r="CB679" s="2"/>
      <c r="CC679" s="2"/>
      <c r="CD679" s="3"/>
      <c r="CE679" s="2"/>
      <c r="CF679" s="4"/>
      <c r="CG679" s="4"/>
      <c r="CI679" s="2"/>
    </row>
    <row r="680" spans="1:87" s="101" customFormat="1" x14ac:dyDescent="0.35">
      <c r="A680" s="1"/>
      <c r="C680" s="1"/>
      <c r="G680" s="2"/>
      <c r="H680" s="2"/>
      <c r="I680" s="2"/>
      <c r="J680" s="2"/>
      <c r="K680" s="81"/>
      <c r="L680" s="4"/>
      <c r="M680" s="4"/>
      <c r="N680" s="4"/>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3"/>
      <c r="AP680" s="2"/>
      <c r="AQ680" s="2"/>
      <c r="AR680" s="2"/>
      <c r="AS680" s="2"/>
      <c r="AT680" s="2"/>
      <c r="AU680" s="2"/>
      <c r="AV680" s="2"/>
      <c r="AW680" s="2"/>
      <c r="AX680" s="2"/>
      <c r="AY680" s="2"/>
      <c r="AZ680" s="5"/>
      <c r="BA680" s="2"/>
      <c r="BD680" s="2"/>
      <c r="BE680" s="2"/>
      <c r="BF680" s="2"/>
      <c r="BG680" s="2"/>
      <c r="BH680" s="2"/>
      <c r="BI680" s="2"/>
      <c r="BJ680" s="2"/>
      <c r="BK680" s="2"/>
      <c r="BM680" s="2"/>
      <c r="BN680" s="2"/>
      <c r="BO680" s="2"/>
      <c r="BP680" s="2"/>
      <c r="BQ680" s="2"/>
      <c r="BR680" s="6"/>
      <c r="BS680" s="6"/>
      <c r="BT680" s="2"/>
      <c r="BU680" s="2"/>
      <c r="BV680" s="2"/>
      <c r="BW680" s="2"/>
      <c r="BX680" s="2"/>
      <c r="BY680" s="2"/>
      <c r="BZ680" s="2"/>
      <c r="CA680" s="2"/>
      <c r="CB680" s="2"/>
      <c r="CC680" s="2"/>
      <c r="CD680" s="3"/>
      <c r="CE680" s="2"/>
      <c r="CF680" s="4"/>
      <c r="CG680" s="4"/>
      <c r="CI680" s="2"/>
    </row>
    <row r="681" spans="1:87" s="101" customFormat="1" x14ac:dyDescent="0.35">
      <c r="A681" s="1"/>
      <c r="C681" s="1"/>
      <c r="G681" s="2"/>
      <c r="H681" s="2"/>
      <c r="I681" s="2"/>
      <c r="J681" s="2"/>
      <c r="K681" s="81"/>
      <c r="L681" s="4"/>
      <c r="M681" s="4"/>
      <c r="N681" s="4"/>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3"/>
      <c r="AP681" s="2"/>
      <c r="AQ681" s="2"/>
      <c r="AR681" s="2"/>
      <c r="AS681" s="2"/>
      <c r="AT681" s="2"/>
      <c r="AU681" s="2"/>
      <c r="AV681" s="2"/>
      <c r="AW681" s="2"/>
      <c r="AX681" s="2"/>
      <c r="AY681" s="2"/>
      <c r="AZ681" s="5"/>
      <c r="BA681" s="2"/>
      <c r="BD681" s="2"/>
      <c r="BE681" s="2"/>
      <c r="BF681" s="2"/>
      <c r="BG681" s="2"/>
      <c r="BH681" s="2"/>
      <c r="BI681" s="2"/>
      <c r="BJ681" s="2"/>
      <c r="BK681" s="2"/>
      <c r="BM681" s="2"/>
      <c r="BN681" s="2"/>
      <c r="BO681" s="2"/>
      <c r="BP681" s="2"/>
      <c r="BQ681" s="2"/>
      <c r="BR681" s="6"/>
      <c r="BS681" s="6"/>
      <c r="BT681" s="2"/>
      <c r="BU681" s="2"/>
      <c r="BV681" s="2"/>
      <c r="BW681" s="2"/>
      <c r="BX681" s="2"/>
      <c r="BY681" s="2"/>
      <c r="BZ681" s="2"/>
      <c r="CA681" s="2"/>
      <c r="CB681" s="2"/>
      <c r="CC681" s="2"/>
      <c r="CD681" s="3"/>
      <c r="CE681" s="2"/>
      <c r="CF681" s="4"/>
      <c r="CG681" s="4"/>
      <c r="CI681" s="2"/>
    </row>
    <row r="682" spans="1:87" s="101" customFormat="1" x14ac:dyDescent="0.35">
      <c r="A682" s="1"/>
      <c r="C682" s="1"/>
      <c r="G682" s="2"/>
      <c r="H682" s="2"/>
      <c r="I682" s="2"/>
      <c r="J682" s="2"/>
      <c r="K682" s="81"/>
      <c r="L682" s="4"/>
      <c r="M682" s="4"/>
      <c r="N682" s="4"/>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3"/>
      <c r="AP682" s="2"/>
      <c r="AQ682" s="2"/>
      <c r="AR682" s="2"/>
      <c r="AS682" s="2"/>
      <c r="AT682" s="2"/>
      <c r="AU682" s="2"/>
      <c r="AV682" s="2"/>
      <c r="AW682" s="2"/>
      <c r="AX682" s="2"/>
      <c r="AY682" s="2"/>
      <c r="AZ682" s="5"/>
      <c r="BA682" s="2"/>
      <c r="BD682" s="2"/>
      <c r="BE682" s="2"/>
      <c r="BF682" s="2"/>
      <c r="BG682" s="2"/>
      <c r="BH682" s="2"/>
      <c r="BI682" s="2"/>
      <c r="BJ682" s="2"/>
      <c r="BK682" s="2"/>
      <c r="BM682" s="2"/>
      <c r="BN682" s="2"/>
      <c r="BO682" s="2"/>
      <c r="BP682" s="2"/>
      <c r="BQ682" s="2"/>
      <c r="BR682" s="6"/>
      <c r="BS682" s="6"/>
      <c r="BT682" s="2"/>
      <c r="BU682" s="2"/>
      <c r="BV682" s="2"/>
      <c r="BW682" s="2"/>
      <c r="BX682" s="2"/>
      <c r="BY682" s="2"/>
      <c r="BZ682" s="2"/>
      <c r="CA682" s="2"/>
      <c r="CB682" s="2"/>
      <c r="CC682" s="2"/>
      <c r="CD682" s="3"/>
      <c r="CE682" s="2"/>
      <c r="CF682" s="4"/>
      <c r="CG682" s="4"/>
      <c r="CI682" s="2"/>
    </row>
    <row r="683" spans="1:87" s="101" customFormat="1" x14ac:dyDescent="0.35">
      <c r="A683" s="1"/>
      <c r="C683" s="1"/>
      <c r="G683" s="2"/>
      <c r="H683" s="2"/>
      <c r="I683" s="2"/>
      <c r="J683" s="2"/>
      <c r="K683" s="81"/>
      <c r="L683" s="4"/>
      <c r="M683" s="4"/>
      <c r="N683" s="4"/>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3"/>
      <c r="AP683" s="2"/>
      <c r="AQ683" s="2"/>
      <c r="AR683" s="2"/>
      <c r="AS683" s="2"/>
      <c r="AT683" s="2"/>
      <c r="AU683" s="2"/>
      <c r="AV683" s="2"/>
      <c r="AW683" s="2"/>
      <c r="AX683" s="2"/>
      <c r="AY683" s="2"/>
      <c r="AZ683" s="5"/>
      <c r="BA683" s="2"/>
      <c r="BD683" s="2"/>
      <c r="BE683" s="2"/>
      <c r="BF683" s="2"/>
      <c r="BG683" s="2"/>
      <c r="BH683" s="2"/>
      <c r="BI683" s="2"/>
      <c r="BJ683" s="2"/>
      <c r="BK683" s="2"/>
      <c r="BM683" s="2"/>
      <c r="BN683" s="2"/>
      <c r="BO683" s="2"/>
      <c r="BP683" s="2"/>
      <c r="BQ683" s="2"/>
      <c r="BR683" s="6"/>
      <c r="BS683" s="6"/>
      <c r="BT683" s="2"/>
      <c r="BU683" s="2"/>
      <c r="BV683" s="2"/>
      <c r="BW683" s="2"/>
      <c r="BX683" s="2"/>
      <c r="BY683" s="2"/>
      <c r="BZ683" s="2"/>
      <c r="CA683" s="2"/>
      <c r="CB683" s="2"/>
      <c r="CC683" s="2"/>
      <c r="CD683" s="3"/>
      <c r="CE683" s="2"/>
      <c r="CF683" s="4"/>
      <c r="CG683" s="4"/>
      <c r="CI683" s="2"/>
    </row>
    <row r="684" spans="1:87" s="101" customFormat="1" x14ac:dyDescent="0.35">
      <c r="A684" s="1"/>
      <c r="C684" s="1"/>
      <c r="G684" s="2"/>
      <c r="H684" s="2"/>
      <c r="I684" s="2"/>
      <c r="J684" s="2"/>
      <c r="K684" s="81"/>
      <c r="L684" s="4"/>
      <c r="M684" s="4"/>
      <c r="N684" s="4"/>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3"/>
      <c r="AP684" s="2"/>
      <c r="AQ684" s="2"/>
      <c r="AR684" s="2"/>
      <c r="AS684" s="2"/>
      <c r="AT684" s="2"/>
      <c r="AU684" s="2"/>
      <c r="AV684" s="2"/>
      <c r="AW684" s="2"/>
      <c r="AX684" s="2"/>
      <c r="AY684" s="2"/>
      <c r="AZ684" s="5"/>
      <c r="BA684" s="2"/>
      <c r="BD684" s="2"/>
      <c r="BE684" s="2"/>
      <c r="BF684" s="2"/>
      <c r="BG684" s="2"/>
      <c r="BH684" s="2"/>
      <c r="BI684" s="2"/>
      <c r="BJ684" s="2"/>
      <c r="BK684" s="2"/>
      <c r="BM684" s="2"/>
      <c r="BN684" s="2"/>
      <c r="BO684" s="2"/>
      <c r="BP684" s="2"/>
      <c r="BQ684" s="2"/>
      <c r="BR684" s="6"/>
      <c r="BS684" s="6"/>
      <c r="BT684" s="2"/>
      <c r="BU684" s="2"/>
      <c r="BV684" s="2"/>
      <c r="BW684" s="2"/>
      <c r="BX684" s="2"/>
      <c r="BY684" s="2"/>
      <c r="BZ684" s="2"/>
      <c r="CA684" s="2"/>
      <c r="CB684" s="2"/>
      <c r="CC684" s="2"/>
      <c r="CD684" s="3"/>
      <c r="CE684" s="2"/>
      <c r="CF684" s="4"/>
      <c r="CG684" s="4"/>
      <c r="CI684" s="2"/>
    </row>
    <row r="685" spans="1:87" s="101" customFormat="1" x14ac:dyDescent="0.35">
      <c r="A685" s="1"/>
      <c r="C685" s="1"/>
      <c r="G685" s="2"/>
      <c r="H685" s="2"/>
      <c r="I685" s="2"/>
      <c r="J685" s="2"/>
      <c r="K685" s="81"/>
      <c r="L685" s="4"/>
      <c r="M685" s="4"/>
      <c r="N685" s="4"/>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3"/>
      <c r="AP685" s="2"/>
      <c r="AQ685" s="2"/>
      <c r="AR685" s="2"/>
      <c r="AS685" s="2"/>
      <c r="AT685" s="2"/>
      <c r="AU685" s="2"/>
      <c r="AV685" s="2"/>
      <c r="AW685" s="2"/>
      <c r="AX685" s="2"/>
      <c r="AY685" s="2"/>
      <c r="AZ685" s="5"/>
      <c r="BA685" s="2"/>
      <c r="BD685" s="2"/>
      <c r="BE685" s="2"/>
      <c r="BF685" s="2"/>
      <c r="BG685" s="2"/>
      <c r="BH685" s="2"/>
      <c r="BI685" s="2"/>
      <c r="BJ685" s="2"/>
      <c r="BK685" s="2"/>
      <c r="BM685" s="2"/>
      <c r="BN685" s="2"/>
      <c r="BO685" s="2"/>
      <c r="BP685" s="2"/>
      <c r="BQ685" s="2"/>
      <c r="BR685" s="6"/>
      <c r="BS685" s="6"/>
      <c r="BT685" s="2"/>
      <c r="BU685" s="2"/>
      <c r="BV685" s="2"/>
      <c r="BW685" s="2"/>
      <c r="BX685" s="2"/>
      <c r="BY685" s="2"/>
      <c r="BZ685" s="2"/>
      <c r="CA685" s="2"/>
      <c r="CB685" s="2"/>
      <c r="CC685" s="2"/>
      <c r="CD685" s="3"/>
      <c r="CE685" s="2"/>
      <c r="CF685" s="4"/>
      <c r="CG685" s="4"/>
      <c r="CI685" s="2"/>
    </row>
    <row r="686" spans="1:87" s="101" customFormat="1" x14ac:dyDescent="0.35">
      <c r="A686" s="1"/>
      <c r="C686" s="1"/>
      <c r="G686" s="2"/>
      <c r="H686" s="2"/>
      <c r="I686" s="2"/>
      <c r="J686" s="2"/>
      <c r="K686" s="81"/>
      <c r="L686" s="4"/>
      <c r="M686" s="4"/>
      <c r="N686" s="4"/>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3"/>
      <c r="AP686" s="2"/>
      <c r="AQ686" s="2"/>
      <c r="AR686" s="2"/>
      <c r="AS686" s="2"/>
      <c r="AT686" s="2"/>
      <c r="AU686" s="2"/>
      <c r="AV686" s="2"/>
      <c r="AW686" s="2"/>
      <c r="AX686" s="2"/>
      <c r="AY686" s="2"/>
      <c r="AZ686" s="5"/>
      <c r="BA686" s="2"/>
      <c r="BD686" s="2"/>
      <c r="BE686" s="2"/>
      <c r="BF686" s="2"/>
      <c r="BG686" s="2"/>
      <c r="BH686" s="2"/>
      <c r="BI686" s="2"/>
      <c r="BJ686" s="2"/>
      <c r="BK686" s="2"/>
      <c r="BM686" s="2"/>
      <c r="BN686" s="2"/>
      <c r="BO686" s="2"/>
      <c r="BP686" s="2"/>
      <c r="BQ686" s="2"/>
      <c r="BR686" s="6"/>
      <c r="BS686" s="6"/>
      <c r="BT686" s="2"/>
      <c r="BU686" s="2"/>
      <c r="BV686" s="2"/>
      <c r="BW686" s="2"/>
      <c r="BX686" s="2"/>
      <c r="BY686" s="2"/>
      <c r="BZ686" s="2"/>
      <c r="CA686" s="2"/>
      <c r="CB686" s="2"/>
      <c r="CC686" s="2"/>
      <c r="CD686" s="3"/>
      <c r="CE686" s="2"/>
      <c r="CF686" s="4"/>
      <c r="CG686" s="4"/>
      <c r="CI686" s="2"/>
    </row>
    <row r="687" spans="1:87" s="101" customFormat="1" x14ac:dyDescent="0.35">
      <c r="A687" s="1"/>
      <c r="C687" s="1"/>
      <c r="G687" s="2"/>
      <c r="H687" s="2"/>
      <c r="I687" s="2"/>
      <c r="J687" s="2"/>
      <c r="K687" s="81"/>
      <c r="L687" s="4"/>
      <c r="M687" s="4"/>
      <c r="N687" s="4"/>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3"/>
      <c r="AP687" s="2"/>
      <c r="AQ687" s="2"/>
      <c r="AR687" s="2"/>
      <c r="AS687" s="2"/>
      <c r="AT687" s="2"/>
      <c r="AU687" s="2"/>
      <c r="AV687" s="2"/>
      <c r="AW687" s="2"/>
      <c r="AX687" s="2"/>
      <c r="AY687" s="2"/>
      <c r="AZ687" s="5"/>
      <c r="BA687" s="2"/>
      <c r="BD687" s="2"/>
      <c r="BE687" s="2"/>
      <c r="BF687" s="2"/>
      <c r="BG687" s="2"/>
      <c r="BH687" s="2"/>
      <c r="BI687" s="2"/>
      <c r="BJ687" s="2"/>
      <c r="BK687" s="2"/>
      <c r="BM687" s="2"/>
      <c r="BN687" s="2"/>
      <c r="BO687" s="2"/>
      <c r="BP687" s="2"/>
      <c r="BQ687" s="2"/>
      <c r="BR687" s="6"/>
      <c r="BS687" s="6"/>
      <c r="BT687" s="2"/>
      <c r="BU687" s="2"/>
      <c r="BV687" s="2"/>
      <c r="BW687" s="2"/>
      <c r="BX687" s="2"/>
      <c r="BY687" s="2"/>
      <c r="BZ687" s="2"/>
      <c r="CA687" s="2"/>
      <c r="CB687" s="2"/>
      <c r="CC687" s="2"/>
      <c r="CD687" s="3"/>
      <c r="CE687" s="2"/>
      <c r="CF687" s="4"/>
      <c r="CG687" s="4"/>
      <c r="CI687" s="2"/>
    </row>
    <row r="688" spans="1:87" s="101" customFormat="1" x14ac:dyDescent="0.35">
      <c r="A688" s="1"/>
      <c r="C688" s="1"/>
      <c r="G688" s="2"/>
      <c r="H688" s="2"/>
      <c r="I688" s="2"/>
      <c r="J688" s="2"/>
      <c r="K688" s="81"/>
      <c r="L688" s="4"/>
      <c r="M688" s="4"/>
      <c r="N688" s="4"/>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3"/>
      <c r="AP688" s="2"/>
      <c r="AQ688" s="2"/>
      <c r="AR688" s="2"/>
      <c r="AS688" s="2"/>
      <c r="AT688" s="2"/>
      <c r="AU688" s="2"/>
      <c r="AV688" s="2"/>
      <c r="AW688" s="2"/>
      <c r="AX688" s="2"/>
      <c r="AY688" s="2"/>
      <c r="AZ688" s="5"/>
      <c r="BA688" s="2"/>
      <c r="BD688" s="2"/>
      <c r="BE688" s="2"/>
      <c r="BF688" s="2"/>
      <c r="BG688" s="2"/>
      <c r="BH688" s="2"/>
      <c r="BI688" s="2"/>
      <c r="BJ688" s="2"/>
      <c r="BK688" s="2"/>
      <c r="BM688" s="2"/>
      <c r="BN688" s="2"/>
      <c r="BO688" s="2"/>
      <c r="BP688" s="2"/>
      <c r="BQ688" s="2"/>
      <c r="BR688" s="6"/>
      <c r="BS688" s="6"/>
      <c r="BT688" s="2"/>
      <c r="BU688" s="2"/>
      <c r="BV688" s="2"/>
      <c r="BW688" s="2"/>
      <c r="BX688" s="2"/>
      <c r="BY688" s="2"/>
      <c r="BZ688" s="2"/>
      <c r="CA688" s="2"/>
      <c r="CB688" s="2"/>
      <c r="CC688" s="2"/>
      <c r="CD688" s="3"/>
      <c r="CE688" s="2"/>
      <c r="CF688" s="4"/>
      <c r="CG688" s="4"/>
      <c r="CI688" s="2"/>
    </row>
    <row r="689" spans="1:87" s="101" customFormat="1" x14ac:dyDescent="0.35">
      <c r="A689" s="1"/>
      <c r="C689" s="1"/>
      <c r="G689" s="2"/>
      <c r="H689" s="2"/>
      <c r="I689" s="2"/>
      <c r="J689" s="2"/>
      <c r="K689" s="81"/>
      <c r="L689" s="4"/>
      <c r="M689" s="4"/>
      <c r="N689" s="4"/>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3"/>
      <c r="AP689" s="2"/>
      <c r="AQ689" s="2"/>
      <c r="AR689" s="2"/>
      <c r="AS689" s="2"/>
      <c r="AT689" s="2"/>
      <c r="AU689" s="2"/>
      <c r="AV689" s="2"/>
      <c r="AW689" s="2"/>
      <c r="AX689" s="2"/>
      <c r="AY689" s="2"/>
      <c r="AZ689" s="5"/>
      <c r="BA689" s="2"/>
      <c r="BD689" s="2"/>
      <c r="BE689" s="2"/>
      <c r="BF689" s="2"/>
      <c r="BG689" s="2"/>
      <c r="BH689" s="2"/>
      <c r="BI689" s="2"/>
      <c r="BJ689" s="2"/>
      <c r="BK689" s="2"/>
      <c r="BM689" s="2"/>
      <c r="BN689" s="2"/>
      <c r="BO689" s="2"/>
      <c r="BP689" s="2"/>
      <c r="BQ689" s="2"/>
      <c r="BR689" s="6"/>
      <c r="BS689" s="6"/>
      <c r="BT689" s="2"/>
      <c r="BU689" s="2"/>
      <c r="BV689" s="2"/>
      <c r="BW689" s="2"/>
      <c r="BX689" s="2"/>
      <c r="BY689" s="2"/>
      <c r="BZ689" s="2"/>
      <c r="CA689" s="2"/>
      <c r="CB689" s="2"/>
      <c r="CC689" s="2"/>
      <c r="CD689" s="3"/>
      <c r="CE689" s="2"/>
      <c r="CF689" s="4"/>
      <c r="CG689" s="4"/>
      <c r="CI689" s="2"/>
    </row>
    <row r="690" spans="1:87" s="101" customFormat="1" x14ac:dyDescent="0.35">
      <c r="A690" s="1"/>
      <c r="C690" s="1"/>
      <c r="G690" s="2"/>
      <c r="H690" s="2"/>
      <c r="I690" s="2"/>
      <c r="J690" s="2"/>
      <c r="K690" s="81"/>
      <c r="L690" s="4"/>
      <c r="M690" s="4"/>
      <c r="N690" s="4"/>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3"/>
      <c r="AP690" s="2"/>
      <c r="AQ690" s="2"/>
      <c r="AR690" s="2"/>
      <c r="AS690" s="2"/>
      <c r="AT690" s="2"/>
      <c r="AU690" s="2"/>
      <c r="AV690" s="2"/>
      <c r="AW690" s="2"/>
      <c r="AX690" s="2"/>
      <c r="AY690" s="2"/>
      <c r="AZ690" s="5"/>
      <c r="BA690" s="2"/>
      <c r="BD690" s="2"/>
      <c r="BE690" s="2"/>
      <c r="BF690" s="2"/>
      <c r="BG690" s="2"/>
      <c r="BH690" s="2"/>
      <c r="BI690" s="2"/>
      <c r="BJ690" s="2"/>
      <c r="BK690" s="2"/>
      <c r="BM690" s="2"/>
      <c r="BN690" s="2"/>
      <c r="BO690" s="2"/>
      <c r="BP690" s="2"/>
      <c r="BQ690" s="2"/>
      <c r="BR690" s="6"/>
      <c r="BS690" s="6"/>
      <c r="BT690" s="2"/>
      <c r="BU690" s="2"/>
      <c r="BV690" s="2"/>
      <c r="BW690" s="2"/>
      <c r="BX690" s="2"/>
      <c r="BY690" s="2"/>
      <c r="BZ690" s="2"/>
      <c r="CA690" s="2"/>
      <c r="CB690" s="2"/>
      <c r="CC690" s="2"/>
      <c r="CD690" s="3"/>
      <c r="CE690" s="2"/>
      <c r="CF690" s="4"/>
      <c r="CG690" s="4"/>
      <c r="CI690" s="2"/>
    </row>
    <row r="691" spans="1:87" s="101" customFormat="1" x14ac:dyDescent="0.35">
      <c r="A691" s="1"/>
      <c r="C691" s="1"/>
      <c r="G691" s="2"/>
      <c r="H691" s="2"/>
      <c r="I691" s="2"/>
      <c r="J691" s="2"/>
      <c r="K691" s="81"/>
      <c r="L691" s="4"/>
      <c r="M691" s="4"/>
      <c r="N691" s="4"/>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3"/>
      <c r="AP691" s="2"/>
      <c r="AQ691" s="2"/>
      <c r="AR691" s="2"/>
      <c r="AS691" s="2"/>
      <c r="AT691" s="2"/>
      <c r="AU691" s="2"/>
      <c r="AV691" s="2"/>
      <c r="AW691" s="2"/>
      <c r="AX691" s="2"/>
      <c r="AY691" s="2"/>
      <c r="AZ691" s="5"/>
      <c r="BA691" s="2"/>
      <c r="BD691" s="2"/>
      <c r="BE691" s="2"/>
      <c r="BF691" s="2"/>
      <c r="BG691" s="2"/>
      <c r="BH691" s="2"/>
      <c r="BI691" s="2"/>
      <c r="BJ691" s="2"/>
      <c r="BK691" s="2"/>
      <c r="BM691" s="2"/>
      <c r="BN691" s="2"/>
      <c r="BO691" s="2"/>
      <c r="BP691" s="2"/>
      <c r="BQ691" s="2"/>
      <c r="BR691" s="6"/>
      <c r="BS691" s="6"/>
      <c r="BT691" s="2"/>
      <c r="BU691" s="2"/>
      <c r="BV691" s="2"/>
      <c r="BW691" s="2"/>
      <c r="BX691" s="2"/>
      <c r="BY691" s="2"/>
      <c r="BZ691" s="2"/>
      <c r="CA691" s="2"/>
      <c r="CB691" s="2"/>
      <c r="CC691" s="2"/>
      <c r="CD691" s="3"/>
      <c r="CE691" s="2"/>
      <c r="CF691" s="4"/>
      <c r="CG691" s="4"/>
      <c r="CI691" s="2"/>
    </row>
    <row r="692" spans="1:87" s="101" customFormat="1" x14ac:dyDescent="0.35">
      <c r="A692" s="1"/>
      <c r="C692" s="1"/>
      <c r="G692" s="2"/>
      <c r="H692" s="2"/>
      <c r="I692" s="2"/>
      <c r="J692" s="2"/>
      <c r="K692" s="81"/>
      <c r="L692" s="4"/>
      <c r="M692" s="4"/>
      <c r="N692" s="4"/>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3"/>
      <c r="AP692" s="2"/>
      <c r="AQ692" s="2"/>
      <c r="AR692" s="2"/>
      <c r="AS692" s="2"/>
      <c r="AT692" s="2"/>
      <c r="AU692" s="2"/>
      <c r="AV692" s="2"/>
      <c r="AW692" s="2"/>
      <c r="AX692" s="2"/>
      <c r="AY692" s="2"/>
      <c r="AZ692" s="5"/>
      <c r="BA692" s="2"/>
      <c r="BD692" s="2"/>
      <c r="BE692" s="2"/>
      <c r="BF692" s="2"/>
      <c r="BG692" s="2"/>
      <c r="BH692" s="2"/>
      <c r="BI692" s="2"/>
      <c r="BJ692" s="2"/>
      <c r="BK692" s="2"/>
      <c r="BM692" s="2"/>
      <c r="BN692" s="2"/>
      <c r="BO692" s="2"/>
      <c r="BP692" s="2"/>
      <c r="BQ692" s="2"/>
      <c r="BR692" s="6"/>
      <c r="BS692" s="6"/>
      <c r="BT692" s="2"/>
      <c r="BU692" s="2"/>
      <c r="BV692" s="2"/>
      <c r="BW692" s="2"/>
      <c r="BX692" s="2"/>
      <c r="BY692" s="2"/>
      <c r="BZ692" s="2"/>
      <c r="CA692" s="2"/>
      <c r="CB692" s="2"/>
      <c r="CC692" s="2"/>
      <c r="CD692" s="3"/>
      <c r="CE692" s="2"/>
      <c r="CF692" s="4"/>
      <c r="CG692" s="4"/>
      <c r="CI692" s="2"/>
    </row>
    <row r="693" spans="1:87" s="101" customFormat="1" x14ac:dyDescent="0.35">
      <c r="A693" s="1"/>
      <c r="C693" s="1"/>
      <c r="G693" s="2"/>
      <c r="H693" s="2"/>
      <c r="I693" s="2"/>
      <c r="J693" s="2"/>
      <c r="K693" s="81"/>
      <c r="L693" s="4"/>
      <c r="M693" s="4"/>
      <c r="N693" s="4"/>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3"/>
      <c r="AP693" s="2"/>
      <c r="AQ693" s="2"/>
      <c r="AR693" s="2"/>
      <c r="AS693" s="2"/>
      <c r="AT693" s="2"/>
      <c r="AU693" s="2"/>
      <c r="AV693" s="2"/>
      <c r="AW693" s="2"/>
      <c r="AX693" s="2"/>
      <c r="AY693" s="2"/>
      <c r="AZ693" s="5"/>
      <c r="BA693" s="2"/>
      <c r="BD693" s="2"/>
      <c r="BE693" s="2"/>
      <c r="BF693" s="2"/>
      <c r="BG693" s="2"/>
      <c r="BH693" s="2"/>
      <c r="BI693" s="2"/>
      <c r="BJ693" s="2"/>
      <c r="BK693" s="2"/>
      <c r="BM693" s="2"/>
      <c r="BN693" s="2"/>
      <c r="BO693" s="2"/>
      <c r="BP693" s="2"/>
      <c r="BQ693" s="2"/>
      <c r="BR693" s="6"/>
      <c r="BS693" s="6"/>
      <c r="BT693" s="2"/>
      <c r="BU693" s="2"/>
      <c r="BV693" s="2"/>
      <c r="BW693" s="2"/>
      <c r="BX693" s="2"/>
      <c r="BY693" s="2"/>
      <c r="BZ693" s="2"/>
      <c r="CA693" s="2"/>
      <c r="CB693" s="2"/>
      <c r="CC693" s="2"/>
      <c r="CD693" s="3"/>
      <c r="CE693" s="2"/>
      <c r="CF693" s="4"/>
      <c r="CG693" s="4"/>
      <c r="CI693" s="2"/>
    </row>
    <row r="694" spans="1:87" s="101" customFormat="1" x14ac:dyDescent="0.35">
      <c r="A694" s="1"/>
      <c r="C694" s="1"/>
      <c r="G694" s="2"/>
      <c r="H694" s="2"/>
      <c r="I694" s="2"/>
      <c r="J694" s="2"/>
      <c r="K694" s="81"/>
      <c r="L694" s="4"/>
      <c r="M694" s="4"/>
      <c r="N694" s="4"/>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3"/>
      <c r="AP694" s="2"/>
      <c r="AQ694" s="2"/>
      <c r="AR694" s="2"/>
      <c r="AS694" s="2"/>
      <c r="AT694" s="2"/>
      <c r="AU694" s="2"/>
      <c r="AV694" s="2"/>
      <c r="AW694" s="2"/>
      <c r="AX694" s="2"/>
      <c r="AY694" s="2"/>
      <c r="AZ694" s="5"/>
      <c r="BA694" s="2"/>
      <c r="BD694" s="2"/>
      <c r="BE694" s="2"/>
      <c r="BF694" s="2"/>
      <c r="BG694" s="2"/>
      <c r="BH694" s="2"/>
      <c r="BI694" s="2"/>
      <c r="BJ694" s="2"/>
      <c r="BK694" s="2"/>
      <c r="BM694" s="2"/>
      <c r="BN694" s="2"/>
      <c r="BO694" s="2"/>
      <c r="BP694" s="2"/>
      <c r="BQ694" s="2"/>
      <c r="BR694" s="6"/>
      <c r="BS694" s="6"/>
      <c r="BT694" s="2"/>
      <c r="BU694" s="2"/>
      <c r="BV694" s="2"/>
      <c r="BW694" s="2"/>
      <c r="BX694" s="2"/>
      <c r="BY694" s="2"/>
      <c r="BZ694" s="2"/>
      <c r="CA694" s="2"/>
      <c r="CB694" s="2"/>
      <c r="CC694" s="2"/>
      <c r="CD694" s="3"/>
      <c r="CE694" s="2"/>
      <c r="CF694" s="4"/>
      <c r="CG694" s="4"/>
      <c r="CI694" s="2"/>
    </row>
    <row r="695" spans="1:87" s="101" customFormat="1" x14ac:dyDescent="0.35">
      <c r="A695" s="1"/>
      <c r="C695" s="1"/>
      <c r="G695" s="2"/>
      <c r="H695" s="2"/>
      <c r="I695" s="2"/>
      <c r="J695" s="2"/>
      <c r="K695" s="81"/>
      <c r="L695" s="4"/>
      <c r="M695" s="4"/>
      <c r="N695" s="4"/>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3"/>
      <c r="AP695" s="2"/>
      <c r="AQ695" s="2"/>
      <c r="AR695" s="2"/>
      <c r="AS695" s="2"/>
      <c r="AT695" s="2"/>
      <c r="AU695" s="2"/>
      <c r="AV695" s="2"/>
      <c r="AW695" s="2"/>
      <c r="AX695" s="2"/>
      <c r="AY695" s="2"/>
      <c r="AZ695" s="5"/>
      <c r="BA695" s="2"/>
      <c r="BD695" s="2"/>
      <c r="BE695" s="2"/>
      <c r="BF695" s="2"/>
      <c r="BG695" s="2"/>
      <c r="BH695" s="2"/>
      <c r="BI695" s="2"/>
      <c r="BJ695" s="2"/>
      <c r="BK695" s="2"/>
      <c r="BM695" s="2"/>
      <c r="BN695" s="2"/>
      <c r="BO695" s="2"/>
      <c r="BP695" s="2"/>
      <c r="BQ695" s="2"/>
      <c r="BR695" s="6"/>
      <c r="BS695" s="6"/>
      <c r="BT695" s="2"/>
      <c r="BU695" s="2"/>
      <c r="BV695" s="2"/>
      <c r="BW695" s="2"/>
      <c r="BX695" s="2"/>
      <c r="BY695" s="2"/>
      <c r="BZ695" s="2"/>
      <c r="CA695" s="2"/>
      <c r="CB695" s="2"/>
      <c r="CC695" s="2"/>
      <c r="CD695" s="3"/>
      <c r="CE695" s="2"/>
      <c r="CF695" s="4"/>
      <c r="CG695" s="4"/>
      <c r="CI695" s="2"/>
    </row>
    <row r="696" spans="1:87" s="101" customFormat="1" x14ac:dyDescent="0.35">
      <c r="A696" s="1"/>
      <c r="C696" s="1"/>
      <c r="G696" s="2"/>
      <c r="H696" s="2"/>
      <c r="I696" s="2"/>
      <c r="J696" s="2"/>
      <c r="K696" s="81"/>
      <c r="L696" s="4"/>
      <c r="M696" s="4"/>
      <c r="N696" s="4"/>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3"/>
      <c r="AP696" s="2"/>
      <c r="AQ696" s="2"/>
      <c r="AR696" s="2"/>
      <c r="AS696" s="2"/>
      <c r="AT696" s="2"/>
      <c r="AU696" s="2"/>
      <c r="AV696" s="2"/>
      <c r="AW696" s="2"/>
      <c r="AX696" s="2"/>
      <c r="AY696" s="2"/>
      <c r="AZ696" s="5"/>
      <c r="BA696" s="2"/>
      <c r="BD696" s="2"/>
      <c r="BE696" s="2"/>
      <c r="BF696" s="2"/>
      <c r="BG696" s="2"/>
      <c r="BH696" s="2"/>
      <c r="BI696" s="2"/>
      <c r="BJ696" s="2"/>
      <c r="BK696" s="2"/>
      <c r="BM696" s="2"/>
      <c r="BN696" s="2"/>
      <c r="BO696" s="2"/>
      <c r="BP696" s="2"/>
      <c r="BQ696" s="2"/>
      <c r="BR696" s="6"/>
      <c r="BS696" s="6"/>
      <c r="BT696" s="2"/>
      <c r="BU696" s="2"/>
      <c r="BV696" s="2"/>
      <c r="BW696" s="2"/>
      <c r="BX696" s="2"/>
      <c r="BY696" s="2"/>
      <c r="BZ696" s="2"/>
      <c r="CA696" s="2"/>
      <c r="CB696" s="2"/>
      <c r="CC696" s="2"/>
      <c r="CD696" s="3"/>
      <c r="CE696" s="2"/>
      <c r="CF696" s="4"/>
      <c r="CG696" s="4"/>
      <c r="CI696" s="2"/>
    </row>
    <row r="697" spans="1:87" s="101" customFormat="1" x14ac:dyDescent="0.35">
      <c r="A697" s="1"/>
      <c r="C697" s="1"/>
      <c r="G697" s="2"/>
      <c r="H697" s="2"/>
      <c r="I697" s="2"/>
      <c r="J697" s="2"/>
      <c r="K697" s="81"/>
      <c r="L697" s="4"/>
      <c r="M697" s="4"/>
      <c r="N697" s="4"/>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3"/>
      <c r="AP697" s="2"/>
      <c r="AQ697" s="2"/>
      <c r="AR697" s="2"/>
      <c r="AS697" s="2"/>
      <c r="AT697" s="2"/>
      <c r="AU697" s="2"/>
      <c r="AV697" s="2"/>
      <c r="AW697" s="2"/>
      <c r="AX697" s="2"/>
      <c r="AY697" s="2"/>
      <c r="AZ697" s="5"/>
      <c r="BA697" s="2"/>
      <c r="BD697" s="2"/>
      <c r="BE697" s="2"/>
      <c r="BF697" s="2"/>
      <c r="BG697" s="2"/>
      <c r="BH697" s="2"/>
      <c r="BI697" s="2"/>
      <c r="BJ697" s="2"/>
      <c r="BK697" s="2"/>
      <c r="BM697" s="2"/>
      <c r="BN697" s="2"/>
      <c r="BO697" s="2"/>
      <c r="BP697" s="2"/>
      <c r="BQ697" s="2"/>
      <c r="BR697" s="6"/>
      <c r="BS697" s="6"/>
      <c r="BT697" s="2"/>
      <c r="BU697" s="2"/>
      <c r="BV697" s="2"/>
      <c r="BW697" s="2"/>
      <c r="BX697" s="2"/>
      <c r="BY697" s="2"/>
      <c r="BZ697" s="2"/>
      <c r="CA697" s="2"/>
      <c r="CB697" s="2"/>
      <c r="CC697" s="2"/>
      <c r="CD697" s="3"/>
      <c r="CE697" s="2"/>
      <c r="CF697" s="4"/>
      <c r="CG697" s="4"/>
      <c r="CI697" s="2"/>
    </row>
    <row r="698" spans="1:87" s="101" customFormat="1" x14ac:dyDescent="0.35">
      <c r="A698" s="1"/>
      <c r="C698" s="1"/>
      <c r="G698" s="2"/>
      <c r="H698" s="2"/>
      <c r="I698" s="2"/>
      <c r="J698" s="2"/>
      <c r="K698" s="81"/>
      <c r="L698" s="4"/>
      <c r="M698" s="4"/>
      <c r="N698" s="4"/>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3"/>
      <c r="AP698" s="2"/>
      <c r="AQ698" s="2"/>
      <c r="AR698" s="2"/>
      <c r="AS698" s="2"/>
      <c r="AT698" s="2"/>
      <c r="AU698" s="2"/>
      <c r="AV698" s="2"/>
      <c r="AW698" s="2"/>
      <c r="AX698" s="2"/>
      <c r="AY698" s="2"/>
      <c r="AZ698" s="5"/>
      <c r="BA698" s="2"/>
      <c r="BD698" s="2"/>
      <c r="BE698" s="2"/>
      <c r="BF698" s="2"/>
      <c r="BG698" s="2"/>
      <c r="BH698" s="2"/>
      <c r="BI698" s="2"/>
      <c r="BJ698" s="2"/>
      <c r="BK698" s="2"/>
      <c r="BM698" s="2"/>
      <c r="BN698" s="2"/>
      <c r="BO698" s="2"/>
      <c r="BP698" s="2"/>
      <c r="BQ698" s="2"/>
      <c r="BR698" s="6"/>
      <c r="BS698" s="6"/>
      <c r="BT698" s="2"/>
      <c r="BU698" s="2"/>
      <c r="BV698" s="2"/>
      <c r="BW698" s="2"/>
      <c r="BX698" s="2"/>
      <c r="BY698" s="2"/>
      <c r="BZ698" s="2"/>
      <c r="CA698" s="2"/>
      <c r="CB698" s="2"/>
      <c r="CC698" s="2"/>
      <c r="CD698" s="3"/>
      <c r="CE698" s="2"/>
      <c r="CF698" s="4"/>
      <c r="CG698" s="4"/>
      <c r="CI698" s="2"/>
    </row>
    <row r="699" spans="1:87" s="101" customFormat="1" x14ac:dyDescent="0.35">
      <c r="A699" s="1"/>
      <c r="C699" s="1"/>
      <c r="G699" s="2"/>
      <c r="H699" s="2"/>
      <c r="I699" s="2"/>
      <c r="J699" s="2"/>
      <c r="K699" s="81"/>
      <c r="L699" s="4"/>
      <c r="M699" s="4"/>
      <c r="N699" s="4"/>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3"/>
      <c r="AP699" s="2"/>
      <c r="AQ699" s="2"/>
      <c r="AR699" s="2"/>
      <c r="AS699" s="2"/>
      <c r="AT699" s="2"/>
      <c r="AU699" s="2"/>
      <c r="AV699" s="2"/>
      <c r="AW699" s="2"/>
      <c r="AX699" s="2"/>
      <c r="AY699" s="2"/>
      <c r="AZ699" s="5"/>
      <c r="BA699" s="2"/>
      <c r="BD699" s="2"/>
      <c r="BE699" s="2"/>
      <c r="BF699" s="2"/>
      <c r="BG699" s="2"/>
      <c r="BH699" s="2"/>
      <c r="BI699" s="2"/>
      <c r="BJ699" s="2"/>
      <c r="BK699" s="2"/>
      <c r="BM699" s="2"/>
      <c r="BN699" s="2"/>
      <c r="BO699" s="2"/>
      <c r="BP699" s="2"/>
      <c r="BQ699" s="2"/>
      <c r="BR699" s="6"/>
      <c r="BS699" s="6"/>
      <c r="BT699" s="2"/>
      <c r="BU699" s="2"/>
      <c r="BV699" s="2"/>
      <c r="BW699" s="2"/>
      <c r="BX699" s="2"/>
      <c r="BY699" s="2"/>
      <c r="BZ699" s="2"/>
      <c r="CA699" s="2"/>
      <c r="CB699" s="2"/>
      <c r="CC699" s="2"/>
      <c r="CD699" s="3"/>
      <c r="CE699" s="2"/>
      <c r="CF699" s="4"/>
      <c r="CG699" s="4"/>
      <c r="CI699" s="2"/>
    </row>
    <row r="700" spans="1:87" s="101" customFormat="1" x14ac:dyDescent="0.35">
      <c r="A700" s="1"/>
      <c r="C700" s="1"/>
      <c r="G700" s="2"/>
      <c r="H700" s="2"/>
      <c r="I700" s="2"/>
      <c r="J700" s="2"/>
      <c r="K700" s="81"/>
      <c r="L700" s="4"/>
      <c r="M700" s="4"/>
      <c r="N700" s="4"/>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3"/>
      <c r="AP700" s="2"/>
      <c r="AQ700" s="2"/>
      <c r="AR700" s="2"/>
      <c r="AS700" s="2"/>
      <c r="AT700" s="2"/>
      <c r="AU700" s="2"/>
      <c r="AV700" s="2"/>
      <c r="AW700" s="2"/>
      <c r="AX700" s="2"/>
      <c r="AY700" s="2"/>
      <c r="AZ700" s="5"/>
      <c r="BA700" s="2"/>
      <c r="BD700" s="2"/>
      <c r="BE700" s="2"/>
      <c r="BF700" s="2"/>
      <c r="BG700" s="2"/>
      <c r="BH700" s="2"/>
      <c r="BI700" s="2"/>
      <c r="BJ700" s="2"/>
      <c r="BK700" s="2"/>
      <c r="BM700" s="2"/>
      <c r="BN700" s="2"/>
      <c r="BO700" s="2"/>
      <c r="BP700" s="2"/>
      <c r="BQ700" s="2"/>
      <c r="BR700" s="6"/>
      <c r="BS700" s="6"/>
      <c r="BT700" s="2"/>
      <c r="BU700" s="2"/>
      <c r="BV700" s="2"/>
      <c r="BW700" s="2"/>
      <c r="BX700" s="2"/>
      <c r="BY700" s="2"/>
      <c r="BZ700" s="2"/>
      <c r="CA700" s="2"/>
      <c r="CB700" s="2"/>
      <c r="CC700" s="2"/>
      <c r="CD700" s="3"/>
      <c r="CE700" s="2"/>
      <c r="CF700" s="4"/>
      <c r="CG700" s="4"/>
      <c r="CI700" s="2"/>
    </row>
    <row r="701" spans="1:87" s="101" customFormat="1" x14ac:dyDescent="0.35">
      <c r="A701" s="1"/>
      <c r="C701" s="1"/>
      <c r="G701" s="2"/>
      <c r="H701" s="2"/>
      <c r="I701" s="2"/>
      <c r="J701" s="2"/>
      <c r="K701" s="81"/>
      <c r="L701" s="4"/>
      <c r="M701" s="4"/>
      <c r="N701" s="4"/>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3"/>
      <c r="AP701" s="2"/>
      <c r="AQ701" s="2"/>
      <c r="AR701" s="2"/>
      <c r="AS701" s="2"/>
      <c r="AT701" s="2"/>
      <c r="AU701" s="2"/>
      <c r="AV701" s="2"/>
      <c r="AW701" s="2"/>
      <c r="AX701" s="2"/>
      <c r="AY701" s="2"/>
      <c r="AZ701" s="5"/>
      <c r="BA701" s="2"/>
      <c r="BD701" s="2"/>
      <c r="BE701" s="2"/>
      <c r="BF701" s="2"/>
      <c r="BG701" s="2"/>
      <c r="BH701" s="2"/>
      <c r="BI701" s="2"/>
      <c r="BJ701" s="2"/>
      <c r="BK701" s="2"/>
      <c r="BM701" s="2"/>
      <c r="BN701" s="2"/>
      <c r="BO701" s="2"/>
      <c r="BP701" s="2"/>
      <c r="BQ701" s="2"/>
      <c r="BR701" s="6"/>
      <c r="BS701" s="6"/>
      <c r="BT701" s="2"/>
      <c r="BU701" s="2"/>
      <c r="BV701" s="2"/>
      <c r="BW701" s="2"/>
      <c r="BX701" s="2"/>
      <c r="BY701" s="2"/>
      <c r="BZ701" s="2"/>
      <c r="CA701" s="2"/>
      <c r="CB701" s="2"/>
      <c r="CC701" s="2"/>
      <c r="CD701" s="3"/>
      <c r="CE701" s="2"/>
      <c r="CF701" s="4"/>
      <c r="CG701" s="4"/>
      <c r="CI701" s="2"/>
    </row>
    <row r="702" spans="1:87" s="101" customFormat="1" x14ac:dyDescent="0.35">
      <c r="A702" s="1"/>
      <c r="C702" s="1"/>
      <c r="G702" s="2"/>
      <c r="H702" s="2"/>
      <c r="I702" s="2"/>
      <c r="J702" s="2"/>
      <c r="K702" s="81"/>
      <c r="L702" s="4"/>
      <c r="M702" s="4"/>
      <c r="N702" s="4"/>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3"/>
      <c r="AP702" s="2"/>
      <c r="AQ702" s="2"/>
      <c r="AR702" s="2"/>
      <c r="AS702" s="2"/>
      <c r="AT702" s="2"/>
      <c r="AU702" s="2"/>
      <c r="AV702" s="2"/>
      <c r="AW702" s="2"/>
      <c r="AX702" s="2"/>
      <c r="AY702" s="2"/>
      <c r="AZ702" s="5"/>
      <c r="BA702" s="2"/>
      <c r="BD702" s="2"/>
      <c r="BE702" s="2"/>
      <c r="BF702" s="2"/>
      <c r="BG702" s="2"/>
      <c r="BH702" s="2"/>
      <c r="BI702" s="2"/>
      <c r="BJ702" s="2"/>
      <c r="BK702" s="2"/>
      <c r="BM702" s="2"/>
      <c r="BN702" s="2"/>
      <c r="BO702" s="2"/>
      <c r="BP702" s="2"/>
      <c r="BQ702" s="2"/>
      <c r="BR702" s="6"/>
      <c r="BS702" s="6"/>
      <c r="BT702" s="2"/>
      <c r="BU702" s="2"/>
      <c r="BV702" s="2"/>
      <c r="BW702" s="2"/>
      <c r="BX702" s="2"/>
      <c r="BY702" s="2"/>
      <c r="BZ702" s="2"/>
      <c r="CA702" s="2"/>
      <c r="CB702" s="2"/>
      <c r="CC702" s="2"/>
      <c r="CD702" s="3"/>
      <c r="CE702" s="2"/>
      <c r="CF702" s="4"/>
      <c r="CG702" s="4"/>
      <c r="CI702" s="2"/>
    </row>
    <row r="703" spans="1:87" s="101" customFormat="1" x14ac:dyDescent="0.35">
      <c r="A703" s="1"/>
      <c r="C703" s="1"/>
      <c r="G703" s="2"/>
      <c r="H703" s="2"/>
      <c r="I703" s="2"/>
      <c r="J703" s="2"/>
      <c r="K703" s="81"/>
      <c r="L703" s="4"/>
      <c r="M703" s="4"/>
      <c r="N703" s="4"/>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3"/>
      <c r="AP703" s="2"/>
      <c r="AQ703" s="2"/>
      <c r="AR703" s="2"/>
      <c r="AS703" s="2"/>
      <c r="AT703" s="2"/>
      <c r="AU703" s="2"/>
      <c r="AV703" s="2"/>
      <c r="AW703" s="2"/>
      <c r="AX703" s="2"/>
      <c r="AY703" s="2"/>
      <c r="AZ703" s="5"/>
      <c r="BA703" s="2"/>
      <c r="BD703" s="2"/>
      <c r="BE703" s="2"/>
      <c r="BF703" s="2"/>
      <c r="BG703" s="2"/>
      <c r="BH703" s="2"/>
      <c r="BI703" s="2"/>
      <c r="BJ703" s="2"/>
      <c r="BK703" s="2"/>
      <c r="BM703" s="2"/>
      <c r="BN703" s="2"/>
      <c r="BO703" s="2"/>
      <c r="BP703" s="2"/>
      <c r="BQ703" s="2"/>
      <c r="BR703" s="6"/>
      <c r="BS703" s="6"/>
      <c r="BT703" s="2"/>
      <c r="BU703" s="2"/>
      <c r="BV703" s="2"/>
      <c r="BW703" s="2"/>
      <c r="BX703" s="2"/>
      <c r="BY703" s="2"/>
      <c r="BZ703" s="2"/>
      <c r="CA703" s="2"/>
      <c r="CB703" s="2"/>
      <c r="CC703" s="2"/>
      <c r="CD703" s="3"/>
      <c r="CE703" s="2"/>
      <c r="CF703" s="4"/>
      <c r="CG703" s="4"/>
      <c r="CI703" s="2"/>
    </row>
    <row r="704" spans="1:87" s="101" customFormat="1" x14ac:dyDescent="0.35">
      <c r="A704" s="1"/>
      <c r="C704" s="1"/>
      <c r="G704" s="2"/>
      <c r="H704" s="2"/>
      <c r="I704" s="2"/>
      <c r="J704" s="2"/>
      <c r="K704" s="81"/>
      <c r="L704" s="4"/>
      <c r="M704" s="4"/>
      <c r="N704" s="4"/>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3"/>
      <c r="AP704" s="2"/>
      <c r="AQ704" s="2"/>
      <c r="AR704" s="2"/>
      <c r="AS704" s="2"/>
      <c r="AT704" s="2"/>
      <c r="AU704" s="2"/>
      <c r="AV704" s="2"/>
      <c r="AW704" s="2"/>
      <c r="AX704" s="2"/>
      <c r="AY704" s="2"/>
      <c r="AZ704" s="5"/>
      <c r="BA704" s="2"/>
      <c r="BD704" s="2"/>
      <c r="BE704" s="2"/>
      <c r="BF704" s="2"/>
      <c r="BG704" s="2"/>
      <c r="BH704" s="2"/>
      <c r="BI704" s="2"/>
      <c r="BJ704" s="2"/>
      <c r="BK704" s="2"/>
      <c r="BM704" s="2"/>
      <c r="BN704" s="2"/>
      <c r="BO704" s="2"/>
      <c r="BP704" s="2"/>
      <c r="BQ704" s="2"/>
      <c r="BR704" s="6"/>
      <c r="BS704" s="6"/>
      <c r="BT704" s="2"/>
      <c r="BU704" s="2"/>
      <c r="BV704" s="2"/>
      <c r="BW704" s="2"/>
      <c r="BX704" s="2"/>
      <c r="BY704" s="2"/>
      <c r="BZ704" s="2"/>
      <c r="CA704" s="2"/>
      <c r="CB704" s="2"/>
      <c r="CC704" s="2"/>
      <c r="CD704" s="3"/>
      <c r="CE704" s="2"/>
      <c r="CF704" s="4"/>
      <c r="CG704" s="4"/>
      <c r="CI704" s="2"/>
    </row>
    <row r="705" spans="1:87" s="101" customFormat="1" x14ac:dyDescent="0.35">
      <c r="A705" s="1"/>
      <c r="C705" s="1"/>
      <c r="G705" s="2"/>
      <c r="H705" s="2"/>
      <c r="I705" s="2"/>
      <c r="J705" s="2"/>
      <c r="K705" s="81"/>
      <c r="L705" s="4"/>
      <c r="M705" s="4"/>
      <c r="N705" s="4"/>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3"/>
      <c r="AP705" s="2"/>
      <c r="AQ705" s="2"/>
      <c r="AR705" s="2"/>
      <c r="AS705" s="2"/>
      <c r="AT705" s="2"/>
      <c r="AU705" s="2"/>
      <c r="AV705" s="2"/>
      <c r="AW705" s="2"/>
      <c r="AX705" s="2"/>
      <c r="AY705" s="2"/>
      <c r="AZ705" s="5"/>
      <c r="BA705" s="2"/>
      <c r="BD705" s="2"/>
      <c r="BE705" s="2"/>
      <c r="BF705" s="2"/>
      <c r="BG705" s="2"/>
      <c r="BH705" s="2"/>
      <c r="BI705" s="2"/>
      <c r="BJ705" s="2"/>
      <c r="BK705" s="2"/>
      <c r="BM705" s="2"/>
      <c r="BN705" s="2"/>
      <c r="BO705" s="2"/>
      <c r="BP705" s="2"/>
      <c r="BQ705" s="2"/>
      <c r="BR705" s="6"/>
      <c r="BS705" s="6"/>
      <c r="BT705" s="2"/>
      <c r="BU705" s="2"/>
      <c r="BV705" s="2"/>
      <c r="BW705" s="2"/>
      <c r="BX705" s="2"/>
      <c r="BY705" s="2"/>
      <c r="BZ705" s="2"/>
      <c r="CA705" s="2"/>
      <c r="CB705" s="2"/>
      <c r="CC705" s="2"/>
      <c r="CD705" s="3"/>
      <c r="CE705" s="2"/>
      <c r="CF705" s="4"/>
      <c r="CG705" s="4"/>
      <c r="CI705" s="2"/>
    </row>
    <row r="706" spans="1:87" s="101" customFormat="1" x14ac:dyDescent="0.35">
      <c r="A706" s="1"/>
      <c r="C706" s="1"/>
      <c r="G706" s="2"/>
      <c r="H706" s="2"/>
      <c r="I706" s="2"/>
      <c r="J706" s="2"/>
      <c r="K706" s="81"/>
      <c r="L706" s="4"/>
      <c r="M706" s="4"/>
      <c r="N706" s="4"/>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3"/>
      <c r="AP706" s="2"/>
      <c r="AQ706" s="2"/>
      <c r="AR706" s="2"/>
      <c r="AS706" s="2"/>
      <c r="AT706" s="2"/>
      <c r="AU706" s="2"/>
      <c r="AV706" s="2"/>
      <c r="AW706" s="2"/>
      <c r="AX706" s="2"/>
      <c r="AY706" s="2"/>
      <c r="AZ706" s="5"/>
      <c r="BA706" s="2"/>
      <c r="BD706" s="2"/>
      <c r="BE706" s="2"/>
      <c r="BF706" s="2"/>
      <c r="BG706" s="2"/>
      <c r="BH706" s="2"/>
      <c r="BI706" s="2"/>
      <c r="BJ706" s="2"/>
      <c r="BK706" s="2"/>
      <c r="BM706" s="2"/>
      <c r="BN706" s="2"/>
      <c r="BO706" s="2"/>
      <c r="BP706" s="2"/>
      <c r="BQ706" s="2"/>
      <c r="BR706" s="6"/>
      <c r="BS706" s="6"/>
      <c r="BT706" s="2"/>
      <c r="BU706" s="2"/>
      <c r="BV706" s="2"/>
      <c r="BW706" s="2"/>
      <c r="BX706" s="2"/>
      <c r="BY706" s="2"/>
      <c r="BZ706" s="2"/>
      <c r="CA706" s="2"/>
      <c r="CB706" s="2"/>
      <c r="CC706" s="2"/>
      <c r="CD706" s="3"/>
      <c r="CE706" s="2"/>
      <c r="CF706" s="4"/>
      <c r="CG706" s="4"/>
      <c r="CI706" s="2"/>
    </row>
    <row r="707" spans="1:87" s="101" customFormat="1" x14ac:dyDescent="0.35">
      <c r="A707" s="1"/>
      <c r="C707" s="1"/>
      <c r="G707" s="2"/>
      <c r="H707" s="2"/>
      <c r="I707" s="2"/>
      <c r="J707" s="2"/>
      <c r="K707" s="81"/>
      <c r="L707" s="4"/>
      <c r="M707" s="4"/>
      <c r="N707" s="4"/>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3"/>
      <c r="AP707" s="2"/>
      <c r="AQ707" s="2"/>
      <c r="AR707" s="2"/>
      <c r="AS707" s="2"/>
      <c r="AT707" s="2"/>
      <c r="AU707" s="2"/>
      <c r="AV707" s="2"/>
      <c r="AW707" s="2"/>
      <c r="AX707" s="2"/>
      <c r="AY707" s="2"/>
      <c r="AZ707" s="5"/>
      <c r="BA707" s="2"/>
      <c r="BD707" s="2"/>
      <c r="BE707" s="2"/>
      <c r="BF707" s="2"/>
      <c r="BG707" s="2"/>
      <c r="BH707" s="2"/>
      <c r="BI707" s="2"/>
      <c r="BJ707" s="2"/>
      <c r="BK707" s="2"/>
      <c r="BM707" s="2"/>
      <c r="BN707" s="2"/>
      <c r="BO707" s="2"/>
      <c r="BP707" s="2"/>
      <c r="BQ707" s="2"/>
      <c r="BR707" s="6"/>
      <c r="BS707" s="6"/>
      <c r="BT707" s="2"/>
      <c r="BU707" s="2"/>
      <c r="BV707" s="2"/>
      <c r="BW707" s="2"/>
      <c r="BX707" s="2"/>
      <c r="BY707" s="2"/>
      <c r="BZ707" s="2"/>
      <c r="CA707" s="2"/>
      <c r="CB707" s="2"/>
      <c r="CC707" s="2"/>
      <c r="CD707" s="3"/>
      <c r="CE707" s="2"/>
      <c r="CF707" s="4"/>
      <c r="CG707" s="4"/>
      <c r="CI707" s="2"/>
    </row>
    <row r="708" spans="1:87" s="101" customFormat="1" x14ac:dyDescent="0.35">
      <c r="A708" s="1"/>
      <c r="C708" s="1"/>
      <c r="G708" s="2"/>
      <c r="H708" s="2"/>
      <c r="I708" s="2"/>
      <c r="J708" s="2"/>
      <c r="K708" s="81"/>
      <c r="L708" s="4"/>
      <c r="M708" s="4"/>
      <c r="N708" s="4"/>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3"/>
      <c r="AP708" s="2"/>
      <c r="AQ708" s="2"/>
      <c r="AR708" s="2"/>
      <c r="AS708" s="2"/>
      <c r="AT708" s="2"/>
      <c r="AU708" s="2"/>
      <c r="AV708" s="2"/>
      <c r="AW708" s="2"/>
      <c r="AX708" s="2"/>
      <c r="AY708" s="2"/>
      <c r="AZ708" s="5"/>
      <c r="BA708" s="2"/>
      <c r="BD708" s="2"/>
      <c r="BE708" s="2"/>
      <c r="BF708" s="2"/>
      <c r="BG708" s="2"/>
      <c r="BH708" s="2"/>
      <c r="BI708" s="2"/>
      <c r="BJ708" s="2"/>
      <c r="BK708" s="2"/>
      <c r="BM708" s="2"/>
      <c r="BN708" s="2"/>
      <c r="BO708" s="2"/>
      <c r="BP708" s="2"/>
      <c r="BQ708" s="2"/>
      <c r="BR708" s="6"/>
      <c r="BS708" s="6"/>
      <c r="BT708" s="2"/>
      <c r="BU708" s="2"/>
      <c r="BV708" s="2"/>
      <c r="BW708" s="2"/>
      <c r="BX708" s="2"/>
      <c r="BY708" s="2"/>
      <c r="BZ708" s="2"/>
      <c r="CA708" s="2"/>
      <c r="CB708" s="2"/>
      <c r="CC708" s="2"/>
      <c r="CD708" s="3"/>
      <c r="CE708" s="2"/>
      <c r="CF708" s="4"/>
      <c r="CG708" s="4"/>
      <c r="CI708" s="2"/>
    </row>
    <row r="709" spans="1:87" s="101" customFormat="1" x14ac:dyDescent="0.35">
      <c r="A709" s="1"/>
      <c r="C709" s="1"/>
      <c r="G709" s="2"/>
      <c r="H709" s="2"/>
      <c r="I709" s="2"/>
      <c r="J709" s="2"/>
      <c r="K709" s="81"/>
      <c r="L709" s="4"/>
      <c r="M709" s="4"/>
      <c r="N709" s="4"/>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3"/>
      <c r="AP709" s="2"/>
      <c r="AQ709" s="2"/>
      <c r="AR709" s="2"/>
      <c r="AS709" s="2"/>
      <c r="AT709" s="2"/>
      <c r="AU709" s="2"/>
      <c r="AV709" s="2"/>
      <c r="AW709" s="2"/>
      <c r="AX709" s="2"/>
      <c r="AY709" s="2"/>
      <c r="AZ709" s="5"/>
      <c r="BA709" s="2"/>
      <c r="BD709" s="2"/>
      <c r="BE709" s="2"/>
      <c r="BF709" s="2"/>
      <c r="BG709" s="2"/>
      <c r="BH709" s="2"/>
      <c r="BI709" s="2"/>
      <c r="BJ709" s="2"/>
      <c r="BK709" s="2"/>
      <c r="BM709" s="2"/>
      <c r="BN709" s="2"/>
      <c r="BO709" s="2"/>
      <c r="BP709" s="2"/>
      <c r="BQ709" s="2"/>
      <c r="BR709" s="6"/>
      <c r="BS709" s="6"/>
      <c r="BT709" s="2"/>
      <c r="BU709" s="2"/>
      <c r="BV709" s="2"/>
      <c r="BW709" s="2"/>
      <c r="BX709" s="2"/>
      <c r="BY709" s="2"/>
      <c r="BZ709" s="2"/>
      <c r="CA709" s="2"/>
      <c r="CB709" s="2"/>
      <c r="CC709" s="2"/>
      <c r="CD709" s="3"/>
      <c r="CE709" s="2"/>
      <c r="CF709" s="4"/>
      <c r="CG709" s="4"/>
      <c r="CI709" s="2"/>
    </row>
    <row r="710" spans="1:87" s="101" customFormat="1" x14ac:dyDescent="0.35">
      <c r="A710" s="1"/>
      <c r="C710" s="1"/>
      <c r="G710" s="2"/>
      <c r="H710" s="2"/>
      <c r="I710" s="2"/>
      <c r="J710" s="2"/>
      <c r="K710" s="81"/>
      <c r="L710" s="4"/>
      <c r="M710" s="4"/>
      <c r="N710" s="4"/>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3"/>
      <c r="AP710" s="2"/>
      <c r="AQ710" s="2"/>
      <c r="AR710" s="2"/>
      <c r="AS710" s="2"/>
      <c r="AT710" s="2"/>
      <c r="AU710" s="2"/>
      <c r="AV710" s="2"/>
      <c r="AW710" s="2"/>
      <c r="AX710" s="2"/>
      <c r="AY710" s="2"/>
      <c r="AZ710" s="5"/>
      <c r="BA710" s="2"/>
      <c r="BD710" s="2"/>
      <c r="BE710" s="2"/>
      <c r="BF710" s="2"/>
      <c r="BG710" s="2"/>
      <c r="BH710" s="2"/>
      <c r="BI710" s="2"/>
      <c r="BJ710" s="2"/>
      <c r="BK710" s="2"/>
      <c r="BM710" s="2"/>
      <c r="BN710" s="2"/>
      <c r="BO710" s="2"/>
      <c r="BP710" s="2"/>
      <c r="BQ710" s="2"/>
      <c r="BR710" s="6"/>
      <c r="BS710" s="6"/>
      <c r="BT710" s="2"/>
      <c r="BU710" s="2"/>
      <c r="BV710" s="2"/>
      <c r="BW710" s="2"/>
      <c r="BX710" s="2"/>
      <c r="BY710" s="2"/>
      <c r="BZ710" s="2"/>
      <c r="CA710" s="2"/>
      <c r="CB710" s="2"/>
      <c r="CC710" s="2"/>
      <c r="CD710" s="3"/>
      <c r="CE710" s="2"/>
      <c r="CF710" s="4"/>
      <c r="CG710" s="4"/>
      <c r="CI710" s="2"/>
    </row>
    <row r="711" spans="1:87" s="101" customFormat="1" x14ac:dyDescent="0.35">
      <c r="A711" s="1"/>
      <c r="C711" s="1"/>
      <c r="G711" s="2"/>
      <c r="H711" s="2"/>
      <c r="I711" s="2"/>
      <c r="J711" s="2"/>
      <c r="K711" s="81"/>
      <c r="L711" s="4"/>
      <c r="M711" s="4"/>
      <c r="N711" s="4"/>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3"/>
      <c r="AP711" s="2"/>
      <c r="AQ711" s="2"/>
      <c r="AR711" s="2"/>
      <c r="AS711" s="2"/>
      <c r="AT711" s="2"/>
      <c r="AU711" s="2"/>
      <c r="AV711" s="2"/>
      <c r="AW711" s="2"/>
      <c r="AX711" s="2"/>
      <c r="AY711" s="2"/>
      <c r="AZ711" s="5"/>
      <c r="BA711" s="2"/>
      <c r="BD711" s="2"/>
      <c r="BE711" s="2"/>
      <c r="BF711" s="2"/>
      <c r="BG711" s="2"/>
      <c r="BH711" s="2"/>
      <c r="BI711" s="2"/>
      <c r="BJ711" s="2"/>
      <c r="BK711" s="2"/>
      <c r="BM711" s="2"/>
      <c r="BN711" s="2"/>
      <c r="BO711" s="2"/>
      <c r="BP711" s="2"/>
      <c r="BQ711" s="2"/>
      <c r="BR711" s="6"/>
      <c r="BS711" s="6"/>
      <c r="BT711" s="2"/>
      <c r="BU711" s="2"/>
      <c r="BV711" s="2"/>
      <c r="BW711" s="2"/>
      <c r="BX711" s="2"/>
      <c r="BY711" s="2"/>
      <c r="BZ711" s="2"/>
      <c r="CA711" s="2"/>
      <c r="CB711" s="2"/>
      <c r="CC711" s="2"/>
      <c r="CD711" s="3"/>
      <c r="CE711" s="2"/>
      <c r="CF711" s="4"/>
      <c r="CG711" s="4"/>
      <c r="CI711" s="2"/>
    </row>
    <row r="712" spans="1:87" s="101" customFormat="1" x14ac:dyDescent="0.35">
      <c r="A712" s="1"/>
      <c r="C712" s="1"/>
      <c r="G712" s="2"/>
      <c r="H712" s="2"/>
      <c r="I712" s="2"/>
      <c r="J712" s="2"/>
      <c r="K712" s="81"/>
      <c r="L712" s="4"/>
      <c r="M712" s="4"/>
      <c r="N712" s="4"/>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3"/>
      <c r="AP712" s="2"/>
      <c r="AQ712" s="2"/>
      <c r="AR712" s="2"/>
      <c r="AS712" s="2"/>
      <c r="AT712" s="2"/>
      <c r="AU712" s="2"/>
      <c r="AV712" s="2"/>
      <c r="AW712" s="2"/>
      <c r="AX712" s="2"/>
      <c r="AY712" s="2"/>
      <c r="AZ712" s="5"/>
      <c r="BA712" s="2"/>
      <c r="BD712" s="2"/>
      <c r="BE712" s="2"/>
      <c r="BF712" s="2"/>
      <c r="BG712" s="2"/>
      <c r="BH712" s="2"/>
      <c r="BI712" s="2"/>
      <c r="BJ712" s="2"/>
      <c r="BK712" s="2"/>
      <c r="BM712" s="2"/>
      <c r="BN712" s="2"/>
      <c r="BO712" s="2"/>
      <c r="BP712" s="2"/>
      <c r="BQ712" s="2"/>
      <c r="BR712" s="6"/>
      <c r="BS712" s="6"/>
      <c r="BT712" s="2"/>
      <c r="BU712" s="2"/>
      <c r="BV712" s="2"/>
      <c r="BW712" s="2"/>
      <c r="BX712" s="2"/>
      <c r="BY712" s="2"/>
      <c r="BZ712" s="2"/>
      <c r="CA712" s="2"/>
      <c r="CB712" s="2"/>
      <c r="CC712" s="2"/>
      <c r="CD712" s="3"/>
      <c r="CE712" s="2"/>
      <c r="CF712" s="4"/>
      <c r="CG712" s="4"/>
      <c r="CI712" s="2"/>
    </row>
    <row r="713" spans="1:87" s="101" customFormat="1" x14ac:dyDescent="0.35">
      <c r="A713" s="1"/>
      <c r="C713" s="1"/>
      <c r="G713" s="2"/>
      <c r="H713" s="2"/>
      <c r="I713" s="2"/>
      <c r="J713" s="2"/>
      <c r="K713" s="81"/>
      <c r="L713" s="4"/>
      <c r="M713" s="4"/>
      <c r="N713" s="4"/>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3"/>
      <c r="AP713" s="2"/>
      <c r="AQ713" s="2"/>
      <c r="AR713" s="2"/>
      <c r="AS713" s="2"/>
      <c r="AT713" s="2"/>
      <c r="AU713" s="2"/>
      <c r="AV713" s="2"/>
      <c r="AW713" s="2"/>
      <c r="AX713" s="2"/>
      <c r="AY713" s="2"/>
      <c r="AZ713" s="5"/>
      <c r="BA713" s="2"/>
      <c r="BD713" s="2"/>
      <c r="BE713" s="2"/>
      <c r="BF713" s="2"/>
      <c r="BG713" s="2"/>
      <c r="BH713" s="2"/>
      <c r="BI713" s="2"/>
      <c r="BJ713" s="2"/>
      <c r="BK713" s="2"/>
      <c r="BM713" s="2"/>
      <c r="BN713" s="2"/>
      <c r="BO713" s="2"/>
      <c r="BP713" s="2"/>
      <c r="BQ713" s="2"/>
      <c r="BR713" s="6"/>
      <c r="BS713" s="6"/>
      <c r="BT713" s="2"/>
      <c r="BU713" s="2"/>
      <c r="BV713" s="2"/>
      <c r="BW713" s="2"/>
      <c r="BX713" s="2"/>
      <c r="BY713" s="2"/>
      <c r="BZ713" s="2"/>
      <c r="CA713" s="2"/>
      <c r="CB713" s="2"/>
      <c r="CC713" s="2"/>
      <c r="CD713" s="3"/>
      <c r="CE713" s="2"/>
      <c r="CF713" s="4"/>
      <c r="CG713" s="4"/>
      <c r="CI713" s="2"/>
    </row>
    <row r="714" spans="1:87" s="101" customFormat="1" x14ac:dyDescent="0.35">
      <c r="A714" s="1"/>
      <c r="C714" s="1"/>
      <c r="G714" s="2"/>
      <c r="H714" s="2"/>
      <c r="I714" s="2"/>
      <c r="J714" s="2"/>
      <c r="K714" s="81"/>
      <c r="L714" s="4"/>
      <c r="M714" s="4"/>
      <c r="N714" s="4"/>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3"/>
      <c r="AP714" s="2"/>
      <c r="AQ714" s="2"/>
      <c r="AR714" s="2"/>
      <c r="AS714" s="2"/>
      <c r="AT714" s="2"/>
      <c r="AU714" s="2"/>
      <c r="AV714" s="2"/>
      <c r="AW714" s="2"/>
      <c r="AX714" s="2"/>
      <c r="AY714" s="2"/>
      <c r="AZ714" s="5"/>
      <c r="BA714" s="2"/>
      <c r="BD714" s="2"/>
      <c r="BE714" s="2"/>
      <c r="BF714" s="2"/>
      <c r="BG714" s="2"/>
      <c r="BH714" s="2"/>
      <c r="BI714" s="2"/>
      <c r="BJ714" s="2"/>
      <c r="BK714" s="2"/>
      <c r="BM714" s="2"/>
      <c r="BN714" s="2"/>
      <c r="BO714" s="2"/>
      <c r="BP714" s="2"/>
      <c r="BQ714" s="2"/>
      <c r="BR714" s="6"/>
      <c r="BS714" s="6"/>
      <c r="BT714" s="2"/>
      <c r="BU714" s="2"/>
      <c r="BV714" s="2"/>
      <c r="BW714" s="2"/>
      <c r="BX714" s="2"/>
      <c r="BY714" s="2"/>
      <c r="BZ714" s="2"/>
      <c r="CA714" s="2"/>
      <c r="CB714" s="2"/>
      <c r="CC714" s="2"/>
      <c r="CD714" s="3"/>
      <c r="CE714" s="2"/>
      <c r="CF714" s="4"/>
      <c r="CG714" s="4"/>
      <c r="CI714" s="2"/>
    </row>
    <row r="715" spans="1:87" s="101" customFormat="1" x14ac:dyDescent="0.35">
      <c r="A715" s="1"/>
      <c r="C715" s="1"/>
      <c r="G715" s="2"/>
      <c r="H715" s="2"/>
      <c r="I715" s="2"/>
      <c r="J715" s="2"/>
      <c r="K715" s="81"/>
      <c r="L715" s="4"/>
      <c r="M715" s="4"/>
      <c r="N715" s="4"/>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3"/>
      <c r="AP715" s="2"/>
      <c r="AQ715" s="2"/>
      <c r="AR715" s="2"/>
      <c r="AS715" s="2"/>
      <c r="AT715" s="2"/>
      <c r="AU715" s="2"/>
      <c r="AV715" s="2"/>
      <c r="AW715" s="2"/>
      <c r="AX715" s="2"/>
      <c r="AY715" s="2"/>
      <c r="AZ715" s="5"/>
      <c r="BA715" s="2"/>
      <c r="BD715" s="2"/>
      <c r="BE715" s="2"/>
      <c r="BF715" s="2"/>
      <c r="BG715" s="2"/>
      <c r="BH715" s="2"/>
      <c r="BI715" s="2"/>
      <c r="BJ715" s="2"/>
      <c r="BK715" s="2"/>
      <c r="BM715" s="2"/>
      <c r="BN715" s="2"/>
      <c r="BO715" s="2"/>
      <c r="BP715" s="2"/>
      <c r="BQ715" s="2"/>
      <c r="BR715" s="6"/>
      <c r="BS715" s="6"/>
      <c r="BT715" s="2"/>
      <c r="BU715" s="2"/>
      <c r="BV715" s="2"/>
      <c r="BW715" s="2"/>
      <c r="BX715" s="2"/>
      <c r="BY715" s="2"/>
      <c r="BZ715" s="2"/>
      <c r="CA715" s="2"/>
      <c r="CB715" s="2"/>
      <c r="CC715" s="2"/>
      <c r="CD715" s="3"/>
      <c r="CE715" s="2"/>
      <c r="CF715" s="4"/>
      <c r="CG715" s="4"/>
      <c r="CI715" s="2"/>
    </row>
    <row r="716" spans="1:87" s="101" customFormat="1" x14ac:dyDescent="0.35">
      <c r="A716" s="1"/>
      <c r="C716" s="1"/>
      <c r="G716" s="2"/>
      <c r="H716" s="2"/>
      <c r="I716" s="2"/>
      <c r="J716" s="2"/>
      <c r="K716" s="81"/>
      <c r="L716" s="4"/>
      <c r="M716" s="4"/>
      <c r="N716" s="4"/>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3"/>
      <c r="AP716" s="2"/>
      <c r="AQ716" s="2"/>
      <c r="AR716" s="2"/>
      <c r="AS716" s="2"/>
      <c r="AT716" s="2"/>
      <c r="AU716" s="2"/>
      <c r="AV716" s="2"/>
      <c r="AW716" s="2"/>
      <c r="AX716" s="2"/>
      <c r="AY716" s="2"/>
      <c r="AZ716" s="5"/>
      <c r="BA716" s="2"/>
      <c r="BD716" s="2"/>
      <c r="BE716" s="2"/>
      <c r="BF716" s="2"/>
      <c r="BG716" s="2"/>
      <c r="BH716" s="2"/>
      <c r="BI716" s="2"/>
      <c r="BJ716" s="2"/>
      <c r="BK716" s="2"/>
      <c r="BM716" s="2"/>
      <c r="BN716" s="2"/>
      <c r="BO716" s="2"/>
      <c r="BP716" s="2"/>
      <c r="BQ716" s="2"/>
      <c r="BR716" s="6"/>
      <c r="BS716" s="6"/>
      <c r="BT716" s="2"/>
      <c r="BU716" s="2"/>
      <c r="BV716" s="2"/>
      <c r="BW716" s="2"/>
      <c r="BX716" s="2"/>
      <c r="BY716" s="2"/>
      <c r="BZ716" s="2"/>
      <c r="CA716" s="2"/>
      <c r="CB716" s="2"/>
      <c r="CC716" s="2"/>
      <c r="CD716" s="3"/>
      <c r="CE716" s="2"/>
      <c r="CF716" s="4"/>
      <c r="CG716" s="4"/>
      <c r="CI716" s="2"/>
    </row>
    <row r="717" spans="1:87" s="101" customFormat="1" x14ac:dyDescent="0.35">
      <c r="A717" s="1"/>
      <c r="C717" s="1"/>
      <c r="G717" s="2"/>
      <c r="H717" s="2"/>
      <c r="I717" s="2"/>
      <c r="J717" s="2"/>
      <c r="K717" s="81"/>
      <c r="L717" s="4"/>
      <c r="M717" s="4"/>
      <c r="N717" s="4"/>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3"/>
      <c r="AP717" s="2"/>
      <c r="AQ717" s="2"/>
      <c r="AR717" s="2"/>
      <c r="AS717" s="2"/>
      <c r="AT717" s="2"/>
      <c r="AU717" s="2"/>
      <c r="AV717" s="2"/>
      <c r="AW717" s="2"/>
      <c r="AX717" s="2"/>
      <c r="AY717" s="2"/>
      <c r="AZ717" s="5"/>
      <c r="BA717" s="2"/>
      <c r="BD717" s="2"/>
      <c r="BE717" s="2"/>
      <c r="BF717" s="2"/>
      <c r="BG717" s="2"/>
      <c r="BH717" s="2"/>
      <c r="BI717" s="2"/>
      <c r="BJ717" s="2"/>
      <c r="BK717" s="2"/>
      <c r="BM717" s="2"/>
      <c r="BN717" s="2"/>
      <c r="BO717" s="2"/>
      <c r="BP717" s="2"/>
      <c r="BQ717" s="2"/>
      <c r="BR717" s="6"/>
      <c r="BS717" s="6"/>
      <c r="BT717" s="2"/>
      <c r="BU717" s="2"/>
      <c r="BV717" s="2"/>
      <c r="BW717" s="2"/>
      <c r="BX717" s="2"/>
      <c r="BY717" s="2"/>
      <c r="BZ717" s="2"/>
      <c r="CA717" s="2"/>
      <c r="CB717" s="2"/>
      <c r="CC717" s="2"/>
      <c r="CD717" s="3"/>
      <c r="CE717" s="2"/>
      <c r="CF717" s="4"/>
      <c r="CG717" s="4"/>
      <c r="CI717" s="2"/>
    </row>
    <row r="718" spans="1:87" s="101" customFormat="1" x14ac:dyDescent="0.35">
      <c r="A718" s="1"/>
      <c r="C718" s="1"/>
      <c r="G718" s="2"/>
      <c r="H718" s="2"/>
      <c r="I718" s="2"/>
      <c r="J718" s="2"/>
      <c r="K718" s="81"/>
      <c r="L718" s="4"/>
      <c r="M718" s="4"/>
      <c r="N718" s="4"/>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3"/>
      <c r="AP718" s="2"/>
      <c r="AQ718" s="2"/>
      <c r="AR718" s="2"/>
      <c r="AS718" s="2"/>
      <c r="AT718" s="2"/>
      <c r="AU718" s="2"/>
      <c r="AV718" s="2"/>
      <c r="AW718" s="2"/>
      <c r="AX718" s="2"/>
      <c r="AY718" s="2"/>
      <c r="AZ718" s="5"/>
      <c r="BA718" s="2"/>
      <c r="BD718" s="2"/>
      <c r="BE718" s="2"/>
      <c r="BF718" s="2"/>
      <c r="BG718" s="2"/>
      <c r="BH718" s="2"/>
      <c r="BI718" s="2"/>
      <c r="BJ718" s="2"/>
      <c r="BK718" s="2"/>
      <c r="BM718" s="2"/>
      <c r="BN718" s="2"/>
      <c r="BO718" s="2"/>
      <c r="BP718" s="2"/>
      <c r="BQ718" s="2"/>
      <c r="BR718" s="6"/>
      <c r="BS718" s="6"/>
      <c r="BT718" s="2"/>
      <c r="BU718" s="2"/>
      <c r="BV718" s="2"/>
      <c r="BW718" s="2"/>
      <c r="BX718" s="2"/>
      <c r="BY718" s="2"/>
      <c r="BZ718" s="2"/>
      <c r="CA718" s="2"/>
      <c r="CB718" s="2"/>
      <c r="CC718" s="2"/>
      <c r="CD718" s="3"/>
      <c r="CE718" s="2"/>
      <c r="CF718" s="4"/>
      <c r="CG718" s="4"/>
      <c r="CI718" s="2"/>
    </row>
    <row r="719" spans="1:87" s="101" customFormat="1" x14ac:dyDescent="0.35">
      <c r="A719" s="1"/>
      <c r="C719" s="1"/>
      <c r="G719" s="2"/>
      <c r="H719" s="2"/>
      <c r="I719" s="2"/>
      <c r="J719" s="2"/>
      <c r="K719" s="81"/>
      <c r="L719" s="4"/>
      <c r="M719" s="4"/>
      <c r="N719" s="4"/>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3"/>
      <c r="AP719" s="2"/>
      <c r="AQ719" s="2"/>
      <c r="AR719" s="2"/>
      <c r="AS719" s="2"/>
      <c r="AT719" s="2"/>
      <c r="AU719" s="2"/>
      <c r="AV719" s="2"/>
      <c r="AW719" s="2"/>
      <c r="AX719" s="2"/>
      <c r="AY719" s="2"/>
      <c r="AZ719" s="5"/>
      <c r="BA719" s="2"/>
      <c r="BD719" s="2"/>
      <c r="BE719" s="2"/>
      <c r="BF719" s="2"/>
      <c r="BG719" s="2"/>
      <c r="BH719" s="2"/>
      <c r="BI719" s="2"/>
      <c r="BJ719" s="2"/>
      <c r="BK719" s="2"/>
      <c r="BM719" s="2"/>
      <c r="BN719" s="2"/>
      <c r="BO719" s="2"/>
      <c r="BP719" s="2"/>
      <c r="BQ719" s="2"/>
      <c r="BR719" s="6"/>
      <c r="BS719" s="6"/>
      <c r="BT719" s="2"/>
      <c r="BU719" s="2"/>
      <c r="BV719" s="2"/>
      <c r="BW719" s="2"/>
      <c r="BX719" s="2"/>
      <c r="BY719" s="2"/>
      <c r="BZ719" s="2"/>
      <c r="CA719" s="2"/>
      <c r="CB719" s="2"/>
      <c r="CC719" s="2"/>
      <c r="CD719" s="3"/>
      <c r="CE719" s="2"/>
      <c r="CF719" s="4"/>
      <c r="CG719" s="4"/>
      <c r="CI719" s="2"/>
    </row>
    <row r="720" spans="1:87" s="101" customFormat="1" x14ac:dyDescent="0.35">
      <c r="A720" s="1"/>
      <c r="C720" s="1"/>
      <c r="G720" s="2"/>
      <c r="H720" s="2"/>
      <c r="I720" s="2"/>
      <c r="J720" s="2"/>
      <c r="K720" s="81"/>
      <c r="L720" s="4"/>
      <c r="M720" s="4"/>
      <c r="N720" s="4"/>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3"/>
      <c r="AP720" s="2"/>
      <c r="AQ720" s="2"/>
      <c r="AR720" s="2"/>
      <c r="AS720" s="2"/>
      <c r="AT720" s="2"/>
      <c r="AU720" s="2"/>
      <c r="AV720" s="2"/>
      <c r="AW720" s="2"/>
      <c r="AX720" s="2"/>
      <c r="AY720" s="2"/>
      <c r="AZ720" s="5"/>
      <c r="BA720" s="2"/>
      <c r="BD720" s="2"/>
      <c r="BE720" s="2"/>
      <c r="BF720" s="2"/>
      <c r="BG720" s="2"/>
      <c r="BH720" s="2"/>
      <c r="BI720" s="2"/>
      <c r="BJ720" s="2"/>
      <c r="BK720" s="2"/>
      <c r="BM720" s="2"/>
      <c r="BN720" s="2"/>
      <c r="BO720" s="2"/>
      <c r="BP720" s="2"/>
      <c r="BQ720" s="2"/>
      <c r="BR720" s="6"/>
      <c r="BS720" s="6"/>
      <c r="BT720" s="2"/>
      <c r="BU720" s="2"/>
      <c r="BV720" s="2"/>
      <c r="BW720" s="2"/>
      <c r="BX720" s="2"/>
      <c r="BY720" s="2"/>
      <c r="BZ720" s="2"/>
      <c r="CA720" s="2"/>
      <c r="CB720" s="2"/>
      <c r="CC720" s="2"/>
      <c r="CD720" s="3"/>
      <c r="CE720" s="2"/>
      <c r="CF720" s="4"/>
      <c r="CG720" s="4"/>
      <c r="CI720" s="2"/>
    </row>
    <row r="721" spans="1:87" s="101" customFormat="1" x14ac:dyDescent="0.35">
      <c r="A721" s="1"/>
      <c r="C721" s="1"/>
      <c r="G721" s="2"/>
      <c r="H721" s="2"/>
      <c r="I721" s="2"/>
      <c r="J721" s="2"/>
      <c r="K721" s="81"/>
      <c r="L721" s="4"/>
      <c r="M721" s="4"/>
      <c r="N721" s="4"/>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3"/>
      <c r="AP721" s="2"/>
      <c r="AQ721" s="2"/>
      <c r="AR721" s="2"/>
      <c r="AS721" s="2"/>
      <c r="AT721" s="2"/>
      <c r="AU721" s="2"/>
      <c r="AV721" s="2"/>
      <c r="AW721" s="2"/>
      <c r="AX721" s="2"/>
      <c r="AY721" s="2"/>
      <c r="AZ721" s="5"/>
      <c r="BA721" s="2"/>
      <c r="BD721" s="2"/>
      <c r="BE721" s="2"/>
      <c r="BF721" s="2"/>
      <c r="BG721" s="2"/>
      <c r="BH721" s="2"/>
      <c r="BI721" s="2"/>
      <c r="BJ721" s="2"/>
      <c r="BK721" s="2"/>
      <c r="BM721" s="2"/>
      <c r="BN721" s="2"/>
      <c r="BO721" s="2"/>
      <c r="BP721" s="2"/>
      <c r="BQ721" s="2"/>
      <c r="BR721" s="6"/>
      <c r="BS721" s="6"/>
      <c r="BT721" s="2"/>
      <c r="BU721" s="2"/>
      <c r="BV721" s="2"/>
      <c r="BW721" s="2"/>
      <c r="BX721" s="2"/>
      <c r="BY721" s="2"/>
      <c r="BZ721" s="2"/>
      <c r="CA721" s="2"/>
      <c r="CB721" s="2"/>
      <c r="CC721" s="2"/>
      <c r="CD721" s="3"/>
      <c r="CE721" s="2"/>
      <c r="CF721" s="4"/>
      <c r="CG721" s="4"/>
      <c r="CI721" s="2"/>
    </row>
    <row r="722" spans="1:87" s="101" customFormat="1" x14ac:dyDescent="0.35">
      <c r="A722" s="1"/>
      <c r="C722" s="1"/>
      <c r="G722" s="2"/>
      <c r="H722" s="2"/>
      <c r="I722" s="2"/>
      <c r="J722" s="2"/>
      <c r="K722" s="81"/>
      <c r="L722" s="4"/>
      <c r="M722" s="4"/>
      <c r="N722" s="4"/>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3"/>
      <c r="AP722" s="2"/>
      <c r="AQ722" s="2"/>
      <c r="AR722" s="2"/>
      <c r="AS722" s="2"/>
      <c r="AT722" s="2"/>
      <c r="AU722" s="2"/>
      <c r="AV722" s="2"/>
      <c r="AW722" s="2"/>
      <c r="AX722" s="2"/>
      <c r="AY722" s="2"/>
      <c r="AZ722" s="5"/>
      <c r="BA722" s="2"/>
      <c r="BD722" s="2"/>
      <c r="BE722" s="2"/>
      <c r="BF722" s="2"/>
      <c r="BG722" s="2"/>
      <c r="BH722" s="2"/>
      <c r="BI722" s="2"/>
      <c r="BJ722" s="2"/>
      <c r="BK722" s="2"/>
      <c r="BM722" s="2"/>
      <c r="BN722" s="2"/>
      <c r="BO722" s="2"/>
      <c r="BP722" s="2"/>
      <c r="BQ722" s="2"/>
      <c r="BR722" s="6"/>
      <c r="BS722" s="6"/>
      <c r="BT722" s="2"/>
      <c r="BU722" s="2"/>
      <c r="BV722" s="2"/>
      <c r="BW722" s="2"/>
      <c r="BX722" s="2"/>
      <c r="BY722" s="2"/>
      <c r="BZ722" s="2"/>
      <c r="CA722" s="2"/>
      <c r="CB722" s="2"/>
      <c r="CC722" s="2"/>
      <c r="CD722" s="3"/>
      <c r="CE722" s="2"/>
      <c r="CF722" s="4"/>
      <c r="CG722" s="4"/>
      <c r="CI722" s="2"/>
    </row>
    <row r="723" spans="1:87" s="101" customFormat="1" x14ac:dyDescent="0.35">
      <c r="A723" s="1"/>
      <c r="C723" s="1"/>
      <c r="G723" s="2"/>
      <c r="H723" s="2"/>
      <c r="I723" s="2"/>
      <c r="J723" s="2"/>
      <c r="K723" s="81"/>
      <c r="L723" s="4"/>
      <c r="M723" s="4"/>
      <c r="N723" s="4"/>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3"/>
      <c r="AP723" s="2"/>
      <c r="AQ723" s="2"/>
      <c r="AR723" s="2"/>
      <c r="AS723" s="2"/>
      <c r="AT723" s="2"/>
      <c r="AU723" s="2"/>
      <c r="AV723" s="2"/>
      <c r="AW723" s="2"/>
      <c r="AX723" s="2"/>
      <c r="AY723" s="2"/>
      <c r="AZ723" s="5"/>
      <c r="BA723" s="2"/>
      <c r="BD723" s="2"/>
      <c r="BE723" s="2"/>
      <c r="BF723" s="2"/>
      <c r="BG723" s="2"/>
      <c r="BH723" s="2"/>
      <c r="BI723" s="2"/>
      <c r="BJ723" s="2"/>
      <c r="BK723" s="2"/>
      <c r="BM723" s="2"/>
      <c r="BN723" s="2"/>
      <c r="BO723" s="2"/>
      <c r="BP723" s="2"/>
      <c r="BQ723" s="2"/>
      <c r="BR723" s="6"/>
      <c r="BS723" s="6"/>
      <c r="BT723" s="2"/>
      <c r="BU723" s="2"/>
      <c r="BV723" s="2"/>
      <c r="BW723" s="2"/>
      <c r="BX723" s="2"/>
      <c r="BY723" s="2"/>
      <c r="BZ723" s="2"/>
      <c r="CA723" s="2"/>
      <c r="CB723" s="2"/>
      <c r="CC723" s="2"/>
      <c r="CD723" s="3"/>
      <c r="CE723" s="2"/>
      <c r="CF723" s="4"/>
      <c r="CG723" s="4"/>
      <c r="CI723" s="2"/>
    </row>
    <row r="724" spans="1:87" s="101" customFormat="1" x14ac:dyDescent="0.35">
      <c r="A724" s="1"/>
      <c r="C724" s="1"/>
      <c r="G724" s="2"/>
      <c r="H724" s="2"/>
      <c r="I724" s="2"/>
      <c r="J724" s="2"/>
      <c r="K724" s="81"/>
      <c r="L724" s="4"/>
      <c r="M724" s="4"/>
      <c r="N724" s="4"/>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3"/>
      <c r="AP724" s="2"/>
      <c r="AQ724" s="2"/>
      <c r="AR724" s="2"/>
      <c r="AS724" s="2"/>
      <c r="AT724" s="2"/>
      <c r="AU724" s="2"/>
      <c r="AV724" s="2"/>
      <c r="AW724" s="2"/>
      <c r="AX724" s="2"/>
      <c r="AY724" s="2"/>
      <c r="AZ724" s="5"/>
      <c r="BA724" s="2"/>
      <c r="BD724" s="2"/>
      <c r="BE724" s="2"/>
      <c r="BF724" s="2"/>
      <c r="BG724" s="2"/>
      <c r="BH724" s="2"/>
      <c r="BI724" s="2"/>
      <c r="BJ724" s="2"/>
      <c r="BK724" s="2"/>
      <c r="BM724" s="2"/>
      <c r="BN724" s="2"/>
      <c r="BO724" s="2"/>
      <c r="BP724" s="2"/>
      <c r="BQ724" s="2"/>
      <c r="BR724" s="6"/>
      <c r="BS724" s="6"/>
      <c r="BT724" s="2"/>
      <c r="BU724" s="2"/>
      <c r="BV724" s="2"/>
      <c r="BW724" s="2"/>
      <c r="BX724" s="2"/>
      <c r="BY724" s="2"/>
      <c r="BZ724" s="2"/>
      <c r="CA724" s="2"/>
      <c r="CB724" s="2"/>
      <c r="CC724" s="2"/>
      <c r="CD724" s="3"/>
      <c r="CE724" s="2"/>
      <c r="CF724" s="4"/>
      <c r="CG724" s="4"/>
      <c r="CI724" s="2"/>
    </row>
    <row r="725" spans="1:87" s="101" customFormat="1" x14ac:dyDescent="0.35">
      <c r="A725" s="1"/>
      <c r="C725" s="1"/>
      <c r="G725" s="2"/>
      <c r="H725" s="2"/>
      <c r="I725" s="2"/>
      <c r="J725" s="2"/>
      <c r="K725" s="81"/>
      <c r="L725" s="4"/>
      <c r="M725" s="4"/>
      <c r="N725" s="4"/>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3"/>
      <c r="AP725" s="2"/>
      <c r="AQ725" s="2"/>
      <c r="AR725" s="2"/>
      <c r="AS725" s="2"/>
      <c r="AT725" s="2"/>
      <c r="AU725" s="2"/>
      <c r="AV725" s="2"/>
      <c r="AW725" s="2"/>
      <c r="AX725" s="2"/>
      <c r="AY725" s="2"/>
      <c r="AZ725" s="5"/>
      <c r="BA725" s="2"/>
      <c r="BD725" s="2"/>
      <c r="BE725" s="2"/>
      <c r="BF725" s="2"/>
      <c r="BG725" s="2"/>
      <c r="BH725" s="2"/>
      <c r="BI725" s="2"/>
      <c r="BJ725" s="2"/>
      <c r="BK725" s="2"/>
      <c r="BM725" s="2"/>
      <c r="BN725" s="2"/>
      <c r="BO725" s="2"/>
      <c r="BP725" s="2"/>
      <c r="BQ725" s="2"/>
      <c r="BR725" s="6"/>
      <c r="BS725" s="6"/>
      <c r="BT725" s="2"/>
      <c r="BU725" s="2"/>
      <c r="BV725" s="2"/>
      <c r="BW725" s="2"/>
      <c r="BX725" s="2"/>
      <c r="BY725" s="2"/>
      <c r="BZ725" s="2"/>
      <c r="CA725" s="2"/>
      <c r="CB725" s="2"/>
      <c r="CC725" s="2"/>
      <c r="CD725" s="3"/>
      <c r="CE725" s="2"/>
      <c r="CF725" s="4"/>
      <c r="CG725" s="4"/>
      <c r="CI725" s="2"/>
    </row>
    <row r="726" spans="1:87" s="101" customFormat="1" x14ac:dyDescent="0.35">
      <c r="A726" s="1"/>
      <c r="C726" s="1"/>
      <c r="G726" s="2"/>
      <c r="H726" s="2"/>
      <c r="I726" s="2"/>
      <c r="J726" s="2"/>
      <c r="K726" s="81"/>
      <c r="L726" s="4"/>
      <c r="M726" s="4"/>
      <c r="N726" s="4"/>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3"/>
      <c r="AP726" s="2"/>
      <c r="AQ726" s="2"/>
      <c r="AR726" s="2"/>
      <c r="AS726" s="2"/>
      <c r="AT726" s="2"/>
      <c r="AU726" s="2"/>
      <c r="AV726" s="2"/>
      <c r="AW726" s="2"/>
      <c r="AX726" s="2"/>
      <c r="AY726" s="2"/>
      <c r="AZ726" s="5"/>
      <c r="BA726" s="2"/>
      <c r="BD726" s="2"/>
      <c r="BE726" s="2"/>
      <c r="BF726" s="2"/>
      <c r="BG726" s="2"/>
      <c r="BH726" s="2"/>
      <c r="BI726" s="2"/>
      <c r="BJ726" s="2"/>
      <c r="BK726" s="2"/>
      <c r="BM726" s="2"/>
      <c r="BN726" s="2"/>
      <c r="BO726" s="2"/>
      <c r="BP726" s="2"/>
      <c r="BQ726" s="2"/>
      <c r="BR726" s="6"/>
      <c r="BS726" s="6"/>
      <c r="BT726" s="2"/>
      <c r="BU726" s="2"/>
      <c r="BV726" s="2"/>
      <c r="BW726" s="2"/>
      <c r="BX726" s="2"/>
      <c r="BY726" s="2"/>
      <c r="BZ726" s="2"/>
      <c r="CA726" s="2"/>
      <c r="CB726" s="2"/>
      <c r="CC726" s="2"/>
      <c r="CD726" s="3"/>
      <c r="CE726" s="2"/>
      <c r="CF726" s="4"/>
      <c r="CG726" s="4"/>
      <c r="CI726" s="2"/>
    </row>
    <row r="727" spans="1:87" s="101" customFormat="1" x14ac:dyDescent="0.35">
      <c r="A727" s="1"/>
      <c r="C727" s="1"/>
      <c r="G727" s="2"/>
      <c r="H727" s="2"/>
      <c r="I727" s="2"/>
      <c r="J727" s="2"/>
      <c r="K727" s="81"/>
      <c r="L727" s="4"/>
      <c r="M727" s="4"/>
      <c r="N727" s="4"/>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3"/>
      <c r="AP727" s="2"/>
      <c r="AQ727" s="2"/>
      <c r="AR727" s="2"/>
      <c r="AS727" s="2"/>
      <c r="AT727" s="2"/>
      <c r="AU727" s="2"/>
      <c r="AV727" s="2"/>
      <c r="AW727" s="2"/>
      <c r="AX727" s="2"/>
      <c r="AY727" s="2"/>
      <c r="AZ727" s="5"/>
      <c r="BA727" s="2"/>
      <c r="BD727" s="2"/>
      <c r="BE727" s="2"/>
      <c r="BF727" s="2"/>
      <c r="BG727" s="2"/>
      <c r="BH727" s="2"/>
      <c r="BI727" s="2"/>
      <c r="BJ727" s="2"/>
      <c r="BK727" s="2"/>
      <c r="BM727" s="2"/>
      <c r="BN727" s="2"/>
      <c r="BO727" s="2"/>
      <c r="BP727" s="2"/>
      <c r="BQ727" s="2"/>
      <c r="BR727" s="6"/>
      <c r="BS727" s="6"/>
      <c r="BT727" s="2"/>
      <c r="BU727" s="2"/>
      <c r="BV727" s="2"/>
      <c r="BW727" s="2"/>
      <c r="BX727" s="2"/>
      <c r="BY727" s="2"/>
      <c r="BZ727" s="2"/>
      <c r="CA727" s="2"/>
      <c r="CB727" s="2"/>
      <c r="CC727" s="2"/>
      <c r="CD727" s="3"/>
      <c r="CE727" s="2"/>
      <c r="CF727" s="4"/>
      <c r="CG727" s="4"/>
      <c r="CI727" s="2"/>
    </row>
    <row r="728" spans="1:87" s="101" customFormat="1" x14ac:dyDescent="0.35">
      <c r="A728" s="1"/>
      <c r="C728" s="1"/>
      <c r="G728" s="2"/>
      <c r="H728" s="2"/>
      <c r="I728" s="2"/>
      <c r="J728" s="2"/>
      <c r="K728" s="81"/>
      <c r="L728" s="4"/>
      <c r="M728" s="4"/>
      <c r="N728" s="4"/>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3"/>
      <c r="AP728" s="2"/>
      <c r="AQ728" s="2"/>
      <c r="AR728" s="2"/>
      <c r="AS728" s="2"/>
      <c r="AT728" s="2"/>
      <c r="AU728" s="2"/>
      <c r="AV728" s="2"/>
      <c r="AW728" s="2"/>
      <c r="AX728" s="2"/>
      <c r="AY728" s="2"/>
      <c r="AZ728" s="5"/>
      <c r="BA728" s="2"/>
      <c r="BD728" s="2"/>
      <c r="BE728" s="2"/>
      <c r="BF728" s="2"/>
      <c r="BG728" s="2"/>
      <c r="BH728" s="2"/>
      <c r="BI728" s="2"/>
      <c r="BJ728" s="2"/>
      <c r="BK728" s="2"/>
      <c r="BM728" s="2"/>
      <c r="BN728" s="2"/>
      <c r="BO728" s="2"/>
      <c r="BP728" s="2"/>
      <c r="BQ728" s="2"/>
      <c r="BR728" s="6"/>
      <c r="BS728" s="6"/>
      <c r="BT728" s="2"/>
      <c r="BU728" s="2"/>
      <c r="BV728" s="2"/>
      <c r="BW728" s="2"/>
      <c r="BX728" s="2"/>
      <c r="BY728" s="2"/>
      <c r="BZ728" s="2"/>
      <c r="CA728" s="2"/>
      <c r="CB728" s="2"/>
      <c r="CC728" s="2"/>
      <c r="CD728" s="3"/>
      <c r="CE728" s="2"/>
      <c r="CF728" s="4"/>
      <c r="CG728" s="4"/>
      <c r="CI728" s="2"/>
    </row>
    <row r="729" spans="1:87" s="101" customFormat="1" x14ac:dyDescent="0.35">
      <c r="A729" s="1"/>
      <c r="C729" s="1"/>
      <c r="G729" s="2"/>
      <c r="H729" s="2"/>
      <c r="I729" s="2"/>
      <c r="J729" s="2"/>
      <c r="K729" s="81"/>
      <c r="L729" s="4"/>
      <c r="M729" s="4"/>
      <c r="N729" s="4"/>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3"/>
      <c r="AP729" s="2"/>
      <c r="AQ729" s="2"/>
      <c r="AR729" s="2"/>
      <c r="AS729" s="2"/>
      <c r="AT729" s="2"/>
      <c r="AU729" s="2"/>
      <c r="AV729" s="2"/>
      <c r="AW729" s="2"/>
      <c r="AX729" s="2"/>
      <c r="AY729" s="2"/>
      <c r="AZ729" s="5"/>
      <c r="BA729" s="2"/>
      <c r="BD729" s="2"/>
      <c r="BE729" s="2"/>
      <c r="BF729" s="2"/>
      <c r="BG729" s="2"/>
      <c r="BH729" s="2"/>
      <c r="BI729" s="2"/>
      <c r="BJ729" s="2"/>
      <c r="BK729" s="2"/>
      <c r="BM729" s="2"/>
      <c r="BN729" s="2"/>
      <c r="BO729" s="2"/>
      <c r="BP729" s="2"/>
      <c r="BQ729" s="2"/>
      <c r="BR729" s="6"/>
      <c r="BS729" s="6"/>
      <c r="BT729" s="2"/>
      <c r="BU729" s="2"/>
      <c r="BV729" s="2"/>
      <c r="BW729" s="2"/>
      <c r="BX729" s="2"/>
      <c r="BY729" s="2"/>
      <c r="BZ729" s="2"/>
      <c r="CA729" s="2"/>
      <c r="CB729" s="2"/>
      <c r="CC729" s="2"/>
      <c r="CD729" s="3"/>
      <c r="CE729" s="2"/>
      <c r="CF729" s="4"/>
      <c r="CG729" s="4"/>
      <c r="CI729" s="2"/>
    </row>
    <row r="730" spans="1:87" s="101" customFormat="1" x14ac:dyDescent="0.35">
      <c r="A730" s="1"/>
      <c r="C730" s="1"/>
      <c r="G730" s="2"/>
      <c r="H730" s="2"/>
      <c r="I730" s="2"/>
      <c r="J730" s="2"/>
      <c r="K730" s="81"/>
      <c r="L730" s="4"/>
      <c r="M730" s="4"/>
      <c r="N730" s="4"/>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3"/>
      <c r="AP730" s="2"/>
      <c r="AQ730" s="2"/>
      <c r="AR730" s="2"/>
      <c r="AS730" s="2"/>
      <c r="AT730" s="2"/>
      <c r="AU730" s="2"/>
      <c r="AV730" s="2"/>
      <c r="AW730" s="2"/>
      <c r="AX730" s="2"/>
      <c r="AY730" s="2"/>
      <c r="AZ730" s="5"/>
      <c r="BA730" s="2"/>
      <c r="BD730" s="2"/>
      <c r="BE730" s="2"/>
      <c r="BF730" s="2"/>
      <c r="BG730" s="2"/>
      <c r="BH730" s="2"/>
      <c r="BI730" s="2"/>
      <c r="BJ730" s="2"/>
      <c r="BK730" s="2"/>
      <c r="BM730" s="2"/>
      <c r="BN730" s="2"/>
      <c r="BO730" s="2"/>
      <c r="BP730" s="2"/>
      <c r="BQ730" s="2"/>
      <c r="BR730" s="6"/>
      <c r="BS730" s="6"/>
      <c r="BT730" s="2"/>
      <c r="BU730" s="2"/>
      <c r="BV730" s="2"/>
      <c r="BW730" s="2"/>
      <c r="BX730" s="2"/>
      <c r="BY730" s="2"/>
      <c r="BZ730" s="2"/>
      <c r="CA730" s="2"/>
      <c r="CB730" s="2"/>
      <c r="CC730" s="2"/>
      <c r="CD730" s="3"/>
      <c r="CE730" s="2"/>
      <c r="CF730" s="4"/>
      <c r="CG730" s="4"/>
      <c r="CI730" s="2"/>
    </row>
    <row r="731" spans="1:87" s="101" customFormat="1" x14ac:dyDescent="0.35">
      <c r="A731" s="1"/>
      <c r="C731" s="1"/>
      <c r="G731" s="2"/>
      <c r="H731" s="2"/>
      <c r="I731" s="2"/>
      <c r="J731" s="2"/>
      <c r="K731" s="81"/>
      <c r="L731" s="4"/>
      <c r="M731" s="4"/>
      <c r="N731" s="4"/>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3"/>
      <c r="AP731" s="2"/>
      <c r="AQ731" s="2"/>
      <c r="AR731" s="2"/>
      <c r="AS731" s="2"/>
      <c r="AT731" s="2"/>
      <c r="AU731" s="2"/>
      <c r="AV731" s="2"/>
      <c r="AW731" s="2"/>
      <c r="AX731" s="2"/>
      <c r="AY731" s="2"/>
      <c r="AZ731" s="5"/>
      <c r="BA731" s="2"/>
      <c r="BD731" s="2"/>
      <c r="BE731" s="2"/>
      <c r="BF731" s="2"/>
      <c r="BG731" s="2"/>
      <c r="BH731" s="2"/>
      <c r="BI731" s="2"/>
      <c r="BJ731" s="2"/>
      <c r="BK731" s="2"/>
      <c r="BM731" s="2"/>
      <c r="BN731" s="2"/>
      <c r="BO731" s="2"/>
      <c r="BP731" s="2"/>
      <c r="BQ731" s="2"/>
      <c r="BR731" s="6"/>
      <c r="BS731" s="6"/>
      <c r="BT731" s="2"/>
      <c r="BU731" s="2"/>
      <c r="BV731" s="2"/>
      <c r="BW731" s="2"/>
      <c r="BX731" s="2"/>
      <c r="BY731" s="2"/>
      <c r="BZ731" s="2"/>
      <c r="CA731" s="2"/>
      <c r="CB731" s="2"/>
      <c r="CC731" s="2"/>
      <c r="CD731" s="3"/>
      <c r="CE731" s="2"/>
      <c r="CF731" s="4"/>
      <c r="CG731" s="4"/>
      <c r="CI731" s="2"/>
    </row>
    <row r="732" spans="1:87" s="101" customFormat="1" x14ac:dyDescent="0.35">
      <c r="A732" s="1"/>
      <c r="C732" s="1"/>
      <c r="G732" s="2"/>
      <c r="H732" s="2"/>
      <c r="I732" s="2"/>
      <c r="J732" s="2"/>
      <c r="K732" s="81"/>
      <c r="L732" s="4"/>
      <c r="M732" s="4"/>
      <c r="N732" s="4"/>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3"/>
      <c r="AP732" s="2"/>
      <c r="AQ732" s="2"/>
      <c r="AR732" s="2"/>
      <c r="AS732" s="2"/>
      <c r="AT732" s="2"/>
      <c r="AU732" s="2"/>
      <c r="AV732" s="2"/>
      <c r="AW732" s="2"/>
      <c r="AX732" s="2"/>
      <c r="AY732" s="2"/>
      <c r="AZ732" s="5"/>
      <c r="BA732" s="2"/>
      <c r="BD732" s="2"/>
      <c r="BE732" s="2"/>
      <c r="BF732" s="2"/>
      <c r="BG732" s="2"/>
      <c r="BH732" s="2"/>
      <c r="BI732" s="2"/>
      <c r="BJ732" s="2"/>
      <c r="BK732" s="2"/>
      <c r="BM732" s="2"/>
      <c r="BN732" s="2"/>
      <c r="BO732" s="2"/>
      <c r="BP732" s="2"/>
      <c r="BQ732" s="2"/>
      <c r="BR732" s="6"/>
      <c r="BS732" s="6"/>
      <c r="BT732" s="2"/>
      <c r="BU732" s="2"/>
      <c r="BV732" s="2"/>
      <c r="BW732" s="2"/>
      <c r="BX732" s="2"/>
      <c r="BY732" s="2"/>
      <c r="BZ732" s="2"/>
      <c r="CA732" s="2"/>
      <c r="CB732" s="2"/>
      <c r="CC732" s="2"/>
      <c r="CD732" s="3"/>
      <c r="CE732" s="2"/>
      <c r="CF732" s="4"/>
      <c r="CG732" s="4"/>
      <c r="CI732" s="2"/>
    </row>
    <row r="733" spans="1:87" s="101" customFormat="1" x14ac:dyDescent="0.35">
      <c r="A733" s="1"/>
      <c r="C733" s="1"/>
      <c r="G733" s="2"/>
      <c r="H733" s="2"/>
      <c r="I733" s="2"/>
      <c r="J733" s="2"/>
      <c r="K733" s="81"/>
      <c r="L733" s="4"/>
      <c r="M733" s="4"/>
      <c r="N733" s="4"/>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3"/>
      <c r="AP733" s="2"/>
      <c r="AQ733" s="2"/>
      <c r="AR733" s="2"/>
      <c r="AS733" s="2"/>
      <c r="AT733" s="2"/>
      <c r="AU733" s="2"/>
      <c r="AV733" s="2"/>
      <c r="AW733" s="2"/>
      <c r="AX733" s="2"/>
      <c r="AY733" s="2"/>
      <c r="AZ733" s="5"/>
      <c r="BA733" s="2"/>
      <c r="BD733" s="2"/>
      <c r="BE733" s="2"/>
      <c r="BF733" s="2"/>
      <c r="BG733" s="2"/>
      <c r="BH733" s="2"/>
      <c r="BI733" s="2"/>
      <c r="BJ733" s="2"/>
      <c r="BK733" s="2"/>
      <c r="BM733" s="2"/>
      <c r="BN733" s="2"/>
      <c r="BO733" s="2"/>
      <c r="BP733" s="2"/>
      <c r="BQ733" s="2"/>
      <c r="BR733" s="6"/>
      <c r="BS733" s="6"/>
      <c r="BT733" s="2"/>
      <c r="BU733" s="2"/>
      <c r="BV733" s="2"/>
      <c r="BW733" s="2"/>
      <c r="BX733" s="2"/>
      <c r="BY733" s="2"/>
      <c r="BZ733" s="2"/>
      <c r="CA733" s="2"/>
      <c r="CB733" s="2"/>
      <c r="CC733" s="2"/>
      <c r="CD733" s="3"/>
      <c r="CE733" s="2"/>
      <c r="CF733" s="4"/>
      <c r="CG733" s="4"/>
      <c r="CI733" s="2"/>
    </row>
    <row r="734" spans="1:87" s="101" customFormat="1" x14ac:dyDescent="0.35">
      <c r="A734" s="1"/>
      <c r="C734" s="1"/>
      <c r="G734" s="2"/>
      <c r="H734" s="2"/>
      <c r="I734" s="2"/>
      <c r="J734" s="2"/>
      <c r="K734" s="81"/>
      <c r="L734" s="4"/>
      <c r="M734" s="4"/>
      <c r="N734" s="4"/>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3"/>
      <c r="AP734" s="2"/>
      <c r="AQ734" s="2"/>
      <c r="AR734" s="2"/>
      <c r="AS734" s="2"/>
      <c r="AT734" s="2"/>
      <c r="AU734" s="2"/>
      <c r="AV734" s="2"/>
      <c r="AW734" s="2"/>
      <c r="AX734" s="2"/>
      <c r="AY734" s="2"/>
      <c r="AZ734" s="5"/>
      <c r="BA734" s="2"/>
      <c r="BD734" s="2"/>
      <c r="BE734" s="2"/>
      <c r="BF734" s="2"/>
      <c r="BG734" s="2"/>
      <c r="BH734" s="2"/>
      <c r="BI734" s="2"/>
      <c r="BJ734" s="2"/>
      <c r="BK734" s="2"/>
      <c r="BM734" s="2"/>
      <c r="BN734" s="2"/>
      <c r="BO734" s="2"/>
      <c r="BP734" s="2"/>
      <c r="BQ734" s="2"/>
      <c r="BR734" s="6"/>
      <c r="BS734" s="6"/>
      <c r="BT734" s="2"/>
      <c r="BU734" s="2"/>
      <c r="BV734" s="2"/>
      <c r="BW734" s="2"/>
      <c r="BX734" s="2"/>
      <c r="BY734" s="2"/>
      <c r="BZ734" s="2"/>
      <c r="CA734" s="2"/>
      <c r="CB734" s="2"/>
      <c r="CC734" s="2"/>
      <c r="CD734" s="3"/>
      <c r="CE734" s="2"/>
      <c r="CF734" s="4"/>
      <c r="CG734" s="4"/>
      <c r="CI734" s="2"/>
    </row>
    <row r="735" spans="1:87" s="101" customFormat="1" x14ac:dyDescent="0.35">
      <c r="A735" s="1"/>
      <c r="C735" s="1"/>
      <c r="G735" s="2"/>
      <c r="H735" s="2"/>
      <c r="I735" s="2"/>
      <c r="J735" s="2"/>
      <c r="K735" s="81"/>
      <c r="L735" s="4"/>
      <c r="M735" s="4"/>
      <c r="N735" s="4"/>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3"/>
      <c r="AP735" s="2"/>
      <c r="AQ735" s="2"/>
      <c r="AR735" s="2"/>
      <c r="AS735" s="2"/>
      <c r="AT735" s="2"/>
      <c r="AU735" s="2"/>
      <c r="AV735" s="2"/>
      <c r="AW735" s="2"/>
      <c r="AX735" s="2"/>
      <c r="AY735" s="2"/>
      <c r="AZ735" s="5"/>
      <c r="BA735" s="2"/>
      <c r="BD735" s="2"/>
      <c r="BE735" s="2"/>
      <c r="BF735" s="2"/>
      <c r="BG735" s="2"/>
      <c r="BH735" s="2"/>
      <c r="BI735" s="2"/>
      <c r="BJ735" s="2"/>
      <c r="BK735" s="2"/>
      <c r="BM735" s="2"/>
      <c r="BN735" s="2"/>
      <c r="BO735" s="2"/>
      <c r="BP735" s="2"/>
      <c r="BQ735" s="2"/>
      <c r="BR735" s="6"/>
      <c r="BS735" s="6"/>
      <c r="BT735" s="2"/>
      <c r="BU735" s="2"/>
      <c r="BV735" s="2"/>
      <c r="BW735" s="2"/>
      <c r="BX735" s="2"/>
      <c r="BY735" s="2"/>
      <c r="BZ735" s="2"/>
      <c r="CA735" s="2"/>
      <c r="CB735" s="2"/>
      <c r="CC735" s="2"/>
      <c r="CD735" s="3"/>
      <c r="CE735" s="2"/>
      <c r="CF735" s="4"/>
      <c r="CG735" s="4"/>
      <c r="CI735" s="2"/>
    </row>
    <row r="736" spans="1:87" s="101" customFormat="1" x14ac:dyDescent="0.35">
      <c r="A736" s="1"/>
      <c r="C736" s="1"/>
      <c r="G736" s="2"/>
      <c r="H736" s="2"/>
      <c r="I736" s="2"/>
      <c r="J736" s="2"/>
      <c r="K736" s="81"/>
      <c r="L736" s="4"/>
      <c r="M736" s="4"/>
      <c r="N736" s="4"/>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3"/>
      <c r="AP736" s="2"/>
      <c r="AQ736" s="2"/>
      <c r="AR736" s="2"/>
      <c r="AS736" s="2"/>
      <c r="AT736" s="2"/>
      <c r="AU736" s="2"/>
      <c r="AV736" s="2"/>
      <c r="AW736" s="2"/>
      <c r="AX736" s="2"/>
      <c r="AY736" s="2"/>
      <c r="AZ736" s="5"/>
      <c r="BA736" s="2"/>
      <c r="BD736" s="2"/>
      <c r="BE736" s="2"/>
      <c r="BF736" s="2"/>
      <c r="BG736" s="2"/>
      <c r="BH736" s="2"/>
      <c r="BI736" s="2"/>
      <c r="BJ736" s="2"/>
      <c r="BK736" s="2"/>
      <c r="BM736" s="2"/>
      <c r="BN736" s="2"/>
      <c r="BO736" s="2"/>
      <c r="BP736" s="2"/>
      <c r="BQ736" s="2"/>
      <c r="BR736" s="6"/>
      <c r="BS736" s="6"/>
      <c r="BT736" s="2"/>
      <c r="BU736" s="2"/>
      <c r="BV736" s="2"/>
      <c r="BW736" s="2"/>
      <c r="BX736" s="2"/>
      <c r="BY736" s="2"/>
      <c r="BZ736" s="2"/>
      <c r="CA736" s="2"/>
      <c r="CB736" s="2"/>
      <c r="CC736" s="2"/>
      <c r="CD736" s="3"/>
      <c r="CE736" s="2"/>
      <c r="CF736" s="4"/>
      <c r="CG736" s="4"/>
      <c r="CI736" s="2"/>
    </row>
    <row r="737" spans="1:87" s="101" customFormat="1" x14ac:dyDescent="0.35">
      <c r="A737" s="1"/>
      <c r="C737" s="1"/>
      <c r="G737" s="2"/>
      <c r="H737" s="2"/>
      <c r="I737" s="2"/>
      <c r="J737" s="2"/>
      <c r="K737" s="81"/>
      <c r="L737" s="4"/>
      <c r="M737" s="4"/>
      <c r="N737" s="4"/>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3"/>
      <c r="AP737" s="2"/>
      <c r="AQ737" s="2"/>
      <c r="AR737" s="2"/>
      <c r="AS737" s="2"/>
      <c r="AT737" s="2"/>
      <c r="AU737" s="2"/>
      <c r="AV737" s="2"/>
      <c r="AW737" s="2"/>
      <c r="AX737" s="2"/>
      <c r="AY737" s="2"/>
      <c r="AZ737" s="5"/>
      <c r="BA737" s="2"/>
      <c r="BD737" s="2"/>
      <c r="BE737" s="2"/>
      <c r="BF737" s="2"/>
      <c r="BG737" s="2"/>
      <c r="BH737" s="2"/>
      <c r="BI737" s="2"/>
      <c r="BJ737" s="2"/>
      <c r="BK737" s="2"/>
      <c r="BM737" s="2"/>
      <c r="BN737" s="2"/>
      <c r="BO737" s="2"/>
      <c r="BP737" s="2"/>
      <c r="BQ737" s="2"/>
      <c r="BR737" s="6"/>
      <c r="BS737" s="6"/>
      <c r="BT737" s="2"/>
      <c r="BU737" s="2"/>
      <c r="BV737" s="2"/>
      <c r="BW737" s="2"/>
      <c r="BX737" s="2"/>
      <c r="BY737" s="2"/>
      <c r="BZ737" s="2"/>
      <c r="CA737" s="2"/>
      <c r="CB737" s="2"/>
      <c r="CC737" s="2"/>
      <c r="CD737" s="3"/>
      <c r="CE737" s="2"/>
      <c r="CF737" s="4"/>
      <c r="CG737" s="4"/>
      <c r="CI737" s="2"/>
    </row>
    <row r="738" spans="1:87" s="101" customFormat="1" x14ac:dyDescent="0.35">
      <c r="A738" s="1"/>
      <c r="C738" s="1"/>
      <c r="G738" s="2"/>
      <c r="H738" s="2"/>
      <c r="I738" s="2"/>
      <c r="J738" s="2"/>
      <c r="K738" s="81"/>
      <c r="L738" s="4"/>
      <c r="M738" s="4"/>
      <c r="N738" s="4"/>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3"/>
      <c r="AP738" s="2"/>
      <c r="AQ738" s="2"/>
      <c r="AR738" s="2"/>
      <c r="AS738" s="2"/>
      <c r="AT738" s="2"/>
      <c r="AU738" s="2"/>
      <c r="AV738" s="2"/>
      <c r="AW738" s="2"/>
      <c r="AX738" s="2"/>
      <c r="AY738" s="2"/>
      <c r="AZ738" s="5"/>
      <c r="BA738" s="2"/>
      <c r="BD738" s="2"/>
      <c r="BE738" s="2"/>
      <c r="BF738" s="2"/>
      <c r="BG738" s="2"/>
      <c r="BH738" s="2"/>
      <c r="BI738" s="2"/>
      <c r="BJ738" s="2"/>
      <c r="BK738" s="2"/>
      <c r="BM738" s="2"/>
      <c r="BN738" s="2"/>
      <c r="BO738" s="2"/>
      <c r="BP738" s="2"/>
      <c r="BQ738" s="2"/>
      <c r="BR738" s="6"/>
      <c r="BS738" s="6"/>
      <c r="BT738" s="2"/>
      <c r="BU738" s="2"/>
      <c r="BV738" s="2"/>
      <c r="BW738" s="2"/>
      <c r="BX738" s="2"/>
      <c r="BY738" s="2"/>
      <c r="BZ738" s="2"/>
      <c r="CA738" s="2"/>
      <c r="CB738" s="2"/>
      <c r="CC738" s="2"/>
      <c r="CD738" s="3"/>
      <c r="CE738" s="2"/>
      <c r="CF738" s="4"/>
      <c r="CG738" s="4"/>
      <c r="CI738" s="2"/>
    </row>
    <row r="739" spans="1:87" s="101" customFormat="1" x14ac:dyDescent="0.35">
      <c r="A739" s="1"/>
      <c r="C739" s="1"/>
      <c r="G739" s="2"/>
      <c r="H739" s="2"/>
      <c r="I739" s="2"/>
      <c r="J739" s="2"/>
      <c r="K739" s="81"/>
      <c r="L739" s="4"/>
      <c r="M739" s="4"/>
      <c r="N739" s="4"/>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3"/>
      <c r="AP739" s="2"/>
      <c r="AQ739" s="2"/>
      <c r="AR739" s="2"/>
      <c r="AS739" s="2"/>
      <c r="AT739" s="2"/>
      <c r="AU739" s="2"/>
      <c r="AV739" s="2"/>
      <c r="AW739" s="2"/>
      <c r="AX739" s="2"/>
      <c r="AY739" s="2"/>
      <c r="AZ739" s="5"/>
      <c r="BA739" s="2"/>
      <c r="BD739" s="2"/>
      <c r="BE739" s="2"/>
      <c r="BF739" s="2"/>
      <c r="BG739" s="2"/>
      <c r="BH739" s="2"/>
      <c r="BI739" s="2"/>
      <c r="BJ739" s="2"/>
      <c r="BK739" s="2"/>
      <c r="BM739" s="2"/>
      <c r="BN739" s="2"/>
      <c r="BO739" s="2"/>
      <c r="BP739" s="2"/>
      <c r="BQ739" s="2"/>
      <c r="BR739" s="6"/>
      <c r="BS739" s="6"/>
      <c r="BT739" s="2"/>
      <c r="BU739" s="2"/>
      <c r="BV739" s="2"/>
      <c r="BW739" s="2"/>
      <c r="BX739" s="2"/>
      <c r="BY739" s="2"/>
      <c r="BZ739" s="2"/>
      <c r="CA739" s="2"/>
      <c r="CB739" s="2"/>
      <c r="CC739" s="2"/>
      <c r="CD739" s="3"/>
      <c r="CE739" s="2"/>
      <c r="CF739" s="4"/>
      <c r="CG739" s="4"/>
      <c r="CI739" s="2"/>
    </row>
    <row r="740" spans="1:87" s="101" customFormat="1" x14ac:dyDescent="0.35">
      <c r="A740" s="1"/>
      <c r="C740" s="1"/>
      <c r="G740" s="2"/>
      <c r="H740" s="2"/>
      <c r="I740" s="2"/>
      <c r="J740" s="2"/>
      <c r="K740" s="81"/>
      <c r="L740" s="4"/>
      <c r="M740" s="4"/>
      <c r="N740" s="4"/>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3"/>
      <c r="AP740" s="2"/>
      <c r="AQ740" s="2"/>
      <c r="AR740" s="2"/>
      <c r="AS740" s="2"/>
      <c r="AT740" s="2"/>
      <c r="AU740" s="2"/>
      <c r="AV740" s="2"/>
      <c r="AW740" s="2"/>
      <c r="AX740" s="2"/>
      <c r="AY740" s="2"/>
      <c r="AZ740" s="5"/>
      <c r="BA740" s="2"/>
      <c r="BD740" s="2"/>
      <c r="BE740" s="2"/>
      <c r="BF740" s="2"/>
      <c r="BG740" s="2"/>
      <c r="BH740" s="2"/>
      <c r="BI740" s="2"/>
      <c r="BJ740" s="2"/>
      <c r="BK740" s="2"/>
      <c r="BM740" s="2"/>
      <c r="BN740" s="2"/>
      <c r="BO740" s="2"/>
      <c r="BP740" s="2"/>
      <c r="BQ740" s="2"/>
      <c r="BR740" s="6"/>
      <c r="BS740" s="6"/>
      <c r="BT740" s="2"/>
      <c r="BU740" s="2"/>
      <c r="BV740" s="2"/>
      <c r="BW740" s="2"/>
      <c r="BX740" s="2"/>
      <c r="BY740" s="2"/>
      <c r="BZ740" s="2"/>
      <c r="CA740" s="2"/>
      <c r="CB740" s="2"/>
      <c r="CC740" s="2"/>
      <c r="CD740" s="3"/>
      <c r="CE740" s="2"/>
      <c r="CF740" s="4"/>
      <c r="CG740" s="4"/>
      <c r="CI740" s="2"/>
    </row>
    <row r="741" spans="1:87" s="101" customFormat="1" x14ac:dyDescent="0.35">
      <c r="A741" s="1"/>
      <c r="C741" s="1"/>
      <c r="G741" s="2"/>
      <c r="H741" s="2"/>
      <c r="I741" s="2"/>
      <c r="J741" s="2"/>
      <c r="K741" s="81"/>
      <c r="L741" s="4"/>
      <c r="M741" s="4"/>
      <c r="N741" s="4"/>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3"/>
      <c r="AP741" s="2"/>
      <c r="AQ741" s="2"/>
      <c r="AR741" s="2"/>
      <c r="AS741" s="2"/>
      <c r="AT741" s="2"/>
      <c r="AU741" s="2"/>
      <c r="AV741" s="2"/>
      <c r="AW741" s="2"/>
      <c r="AX741" s="2"/>
      <c r="AY741" s="2"/>
      <c r="AZ741" s="5"/>
      <c r="BA741" s="2"/>
      <c r="BD741" s="2"/>
      <c r="BE741" s="2"/>
      <c r="BF741" s="2"/>
      <c r="BG741" s="2"/>
      <c r="BH741" s="2"/>
      <c r="BI741" s="2"/>
      <c r="BJ741" s="2"/>
      <c r="BK741" s="2"/>
      <c r="BM741" s="2"/>
      <c r="BN741" s="2"/>
      <c r="BO741" s="2"/>
      <c r="BP741" s="2"/>
      <c r="BQ741" s="2"/>
      <c r="BR741" s="6"/>
      <c r="BS741" s="6"/>
      <c r="BT741" s="2"/>
      <c r="BU741" s="2"/>
      <c r="BV741" s="2"/>
      <c r="BW741" s="2"/>
      <c r="BX741" s="2"/>
      <c r="BY741" s="2"/>
      <c r="BZ741" s="2"/>
      <c r="CA741" s="2"/>
      <c r="CB741" s="2"/>
      <c r="CC741" s="2"/>
      <c r="CD741" s="3"/>
      <c r="CE741" s="2"/>
      <c r="CF741" s="4"/>
      <c r="CG741" s="4"/>
      <c r="CI741" s="2"/>
    </row>
    <row r="742" spans="1:87" s="101" customFormat="1" x14ac:dyDescent="0.35">
      <c r="A742" s="1"/>
      <c r="C742" s="1"/>
      <c r="G742" s="2"/>
      <c r="H742" s="2"/>
      <c r="I742" s="2"/>
      <c r="J742" s="2"/>
      <c r="K742" s="81"/>
      <c r="L742" s="4"/>
      <c r="M742" s="4"/>
      <c r="N742" s="4"/>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3"/>
      <c r="AP742" s="2"/>
      <c r="AQ742" s="2"/>
      <c r="AR742" s="2"/>
      <c r="AS742" s="2"/>
      <c r="AT742" s="2"/>
      <c r="AU742" s="2"/>
      <c r="AV742" s="2"/>
      <c r="AW742" s="2"/>
      <c r="AX742" s="2"/>
      <c r="AY742" s="2"/>
      <c r="AZ742" s="5"/>
      <c r="BA742" s="2"/>
      <c r="BD742" s="2"/>
      <c r="BE742" s="2"/>
      <c r="BF742" s="2"/>
      <c r="BG742" s="2"/>
      <c r="BH742" s="2"/>
      <c r="BI742" s="2"/>
      <c r="BJ742" s="2"/>
      <c r="BK742" s="2"/>
      <c r="BM742" s="2"/>
      <c r="BN742" s="2"/>
      <c r="BO742" s="2"/>
      <c r="BP742" s="2"/>
      <c r="BQ742" s="2"/>
      <c r="BR742" s="6"/>
      <c r="BS742" s="6"/>
      <c r="BT742" s="2"/>
      <c r="BU742" s="2"/>
      <c r="BV742" s="2"/>
      <c r="BW742" s="2"/>
      <c r="BX742" s="2"/>
      <c r="BY742" s="2"/>
      <c r="BZ742" s="2"/>
      <c r="CA742" s="2"/>
      <c r="CB742" s="2"/>
      <c r="CC742" s="2"/>
      <c r="CD742" s="3"/>
      <c r="CE742" s="2"/>
      <c r="CF742" s="4"/>
      <c r="CG742" s="4"/>
      <c r="CI742" s="2"/>
    </row>
    <row r="743" spans="1:87" s="101" customFormat="1" x14ac:dyDescent="0.35">
      <c r="A743" s="1"/>
      <c r="C743" s="1"/>
      <c r="G743" s="2"/>
      <c r="H743" s="2"/>
      <c r="I743" s="2"/>
      <c r="J743" s="2"/>
      <c r="K743" s="81"/>
      <c r="L743" s="4"/>
      <c r="M743" s="4"/>
      <c r="N743" s="4"/>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3"/>
      <c r="AP743" s="2"/>
      <c r="AQ743" s="2"/>
      <c r="AR743" s="2"/>
      <c r="AS743" s="2"/>
      <c r="AT743" s="2"/>
      <c r="AU743" s="2"/>
      <c r="AV743" s="2"/>
      <c r="AW743" s="2"/>
      <c r="AX743" s="2"/>
      <c r="AY743" s="2"/>
      <c r="AZ743" s="5"/>
      <c r="BA743" s="2"/>
      <c r="BD743" s="2"/>
      <c r="BE743" s="2"/>
      <c r="BF743" s="2"/>
      <c r="BG743" s="2"/>
      <c r="BH743" s="2"/>
      <c r="BI743" s="2"/>
      <c r="BJ743" s="2"/>
      <c r="BK743" s="2"/>
      <c r="BM743" s="2"/>
      <c r="BN743" s="2"/>
      <c r="BO743" s="2"/>
      <c r="BP743" s="2"/>
      <c r="BQ743" s="2"/>
      <c r="BR743" s="6"/>
      <c r="BS743" s="6"/>
      <c r="BT743" s="2"/>
      <c r="BU743" s="2"/>
      <c r="BV743" s="2"/>
      <c r="BW743" s="2"/>
      <c r="BX743" s="2"/>
      <c r="BY743" s="2"/>
      <c r="BZ743" s="2"/>
      <c r="CA743" s="2"/>
      <c r="CB743" s="2"/>
      <c r="CC743" s="2"/>
      <c r="CD743" s="3"/>
      <c r="CE743" s="2"/>
      <c r="CF743" s="4"/>
      <c r="CG743" s="4"/>
      <c r="CI743" s="2"/>
    </row>
    <row r="744" spans="1:87" s="101" customFormat="1" x14ac:dyDescent="0.35">
      <c r="A744" s="1"/>
      <c r="C744" s="1"/>
      <c r="G744" s="2"/>
      <c r="H744" s="2"/>
      <c r="I744" s="2"/>
      <c r="J744" s="2"/>
      <c r="K744" s="81"/>
      <c r="L744" s="4"/>
      <c r="M744" s="4"/>
      <c r="N744" s="4"/>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3"/>
      <c r="AP744" s="2"/>
      <c r="AQ744" s="2"/>
      <c r="AR744" s="2"/>
      <c r="AS744" s="2"/>
      <c r="AT744" s="2"/>
      <c r="AU744" s="2"/>
      <c r="AV744" s="2"/>
      <c r="AW744" s="2"/>
      <c r="AX744" s="2"/>
      <c r="AY744" s="2"/>
      <c r="AZ744" s="5"/>
      <c r="BA744" s="2"/>
      <c r="BD744" s="2"/>
      <c r="BE744" s="2"/>
      <c r="BF744" s="2"/>
      <c r="BG744" s="2"/>
      <c r="BH744" s="2"/>
      <c r="BI744" s="2"/>
      <c r="BJ744" s="2"/>
      <c r="BK744" s="2"/>
      <c r="BM744" s="2"/>
      <c r="BN744" s="2"/>
      <c r="BO744" s="2"/>
      <c r="BP744" s="2"/>
      <c r="BQ744" s="2"/>
      <c r="BR744" s="6"/>
      <c r="BS744" s="6"/>
      <c r="BT744" s="2"/>
      <c r="BU744" s="2"/>
      <c r="BV744" s="2"/>
      <c r="BW744" s="2"/>
      <c r="BX744" s="2"/>
      <c r="BY744" s="2"/>
      <c r="BZ744" s="2"/>
      <c r="CA744" s="2"/>
      <c r="CB744" s="2"/>
      <c r="CC744" s="2"/>
      <c r="CD744" s="3"/>
      <c r="CE744" s="2"/>
      <c r="CF744" s="4"/>
      <c r="CG744" s="4"/>
      <c r="CI744" s="2"/>
    </row>
    <row r="745" spans="1:87" s="101" customFormat="1" x14ac:dyDescent="0.35">
      <c r="A745" s="1"/>
      <c r="C745" s="1"/>
      <c r="G745" s="2"/>
      <c r="H745" s="2"/>
      <c r="I745" s="2"/>
      <c r="J745" s="2"/>
      <c r="K745" s="81"/>
      <c r="L745" s="4"/>
      <c r="M745" s="4"/>
      <c r="N745" s="4"/>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3"/>
      <c r="AP745" s="2"/>
      <c r="AQ745" s="2"/>
      <c r="AR745" s="2"/>
      <c r="AS745" s="2"/>
      <c r="AT745" s="2"/>
      <c r="AU745" s="2"/>
      <c r="AV745" s="2"/>
      <c r="AW745" s="2"/>
      <c r="AX745" s="2"/>
      <c r="AY745" s="2"/>
      <c r="AZ745" s="5"/>
      <c r="BA745" s="2"/>
      <c r="BD745" s="2"/>
      <c r="BE745" s="2"/>
      <c r="BF745" s="2"/>
      <c r="BG745" s="2"/>
      <c r="BH745" s="2"/>
      <c r="BI745" s="2"/>
      <c r="BJ745" s="2"/>
      <c r="BK745" s="2"/>
      <c r="BM745" s="2"/>
      <c r="BN745" s="2"/>
      <c r="BO745" s="2"/>
      <c r="BP745" s="2"/>
      <c r="BQ745" s="2"/>
      <c r="BR745" s="6"/>
      <c r="BS745" s="6"/>
      <c r="BT745" s="2"/>
      <c r="BU745" s="2"/>
      <c r="BV745" s="2"/>
      <c r="BW745" s="2"/>
      <c r="BX745" s="2"/>
      <c r="BY745" s="2"/>
      <c r="BZ745" s="2"/>
      <c r="CA745" s="2"/>
      <c r="CB745" s="2"/>
      <c r="CC745" s="2"/>
      <c r="CD745" s="3"/>
      <c r="CE745" s="2"/>
      <c r="CF745" s="4"/>
      <c r="CG745" s="4"/>
      <c r="CI745" s="2"/>
    </row>
    <row r="746" spans="1:87" s="101" customFormat="1" x14ac:dyDescent="0.35">
      <c r="A746" s="1"/>
      <c r="C746" s="1"/>
      <c r="G746" s="2"/>
      <c r="H746" s="2"/>
      <c r="I746" s="2"/>
      <c r="J746" s="2"/>
      <c r="K746" s="81"/>
      <c r="L746" s="4"/>
      <c r="M746" s="4"/>
      <c r="N746" s="4"/>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3"/>
      <c r="AP746" s="2"/>
      <c r="AQ746" s="2"/>
      <c r="AR746" s="2"/>
      <c r="AS746" s="2"/>
      <c r="AT746" s="2"/>
      <c r="AU746" s="2"/>
      <c r="AV746" s="2"/>
      <c r="AW746" s="2"/>
      <c r="AX746" s="2"/>
      <c r="AY746" s="2"/>
      <c r="AZ746" s="5"/>
      <c r="BA746" s="2"/>
      <c r="BD746" s="2"/>
      <c r="BE746" s="2"/>
      <c r="BF746" s="2"/>
      <c r="BG746" s="2"/>
      <c r="BH746" s="2"/>
      <c r="BI746" s="2"/>
      <c r="BJ746" s="2"/>
      <c r="BK746" s="2"/>
      <c r="BM746" s="2"/>
      <c r="BN746" s="2"/>
      <c r="BO746" s="2"/>
      <c r="BP746" s="2"/>
      <c r="BQ746" s="2"/>
      <c r="BR746" s="6"/>
      <c r="BS746" s="6"/>
      <c r="BT746" s="2"/>
      <c r="BU746" s="2"/>
      <c r="BV746" s="2"/>
      <c r="BW746" s="2"/>
      <c r="BX746" s="2"/>
      <c r="BY746" s="2"/>
      <c r="BZ746" s="2"/>
      <c r="CA746" s="2"/>
      <c r="CB746" s="2"/>
      <c r="CC746" s="2"/>
      <c r="CD746" s="3"/>
      <c r="CE746" s="2"/>
      <c r="CF746" s="4"/>
      <c r="CG746" s="4"/>
      <c r="CI746" s="2"/>
    </row>
    <row r="747" spans="1:87" s="101" customFormat="1" x14ac:dyDescent="0.35">
      <c r="A747" s="1"/>
      <c r="C747" s="1"/>
      <c r="G747" s="2"/>
      <c r="H747" s="2"/>
      <c r="I747" s="2"/>
      <c r="J747" s="2"/>
      <c r="K747" s="81"/>
      <c r="L747" s="4"/>
      <c r="M747" s="4"/>
      <c r="N747" s="4"/>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3"/>
      <c r="AP747" s="2"/>
      <c r="AQ747" s="2"/>
      <c r="AR747" s="2"/>
      <c r="AS747" s="2"/>
      <c r="AT747" s="2"/>
      <c r="AU747" s="2"/>
      <c r="AV747" s="2"/>
      <c r="AW747" s="2"/>
      <c r="AX747" s="2"/>
      <c r="AY747" s="2"/>
      <c r="AZ747" s="5"/>
      <c r="BA747" s="2"/>
      <c r="BD747" s="2"/>
      <c r="BE747" s="2"/>
      <c r="BF747" s="2"/>
      <c r="BG747" s="2"/>
      <c r="BH747" s="2"/>
      <c r="BI747" s="2"/>
      <c r="BJ747" s="2"/>
      <c r="BK747" s="2"/>
      <c r="BM747" s="2"/>
      <c r="BN747" s="2"/>
      <c r="BO747" s="2"/>
      <c r="BP747" s="2"/>
      <c r="BQ747" s="2"/>
      <c r="BR747" s="6"/>
      <c r="BS747" s="6"/>
      <c r="BT747" s="2"/>
      <c r="BU747" s="2"/>
      <c r="BV747" s="2"/>
      <c r="BW747" s="2"/>
      <c r="BX747" s="2"/>
      <c r="BY747" s="2"/>
      <c r="BZ747" s="2"/>
      <c r="CA747" s="2"/>
      <c r="CB747" s="2"/>
      <c r="CC747" s="2"/>
      <c r="CD747" s="3"/>
      <c r="CE747" s="2"/>
      <c r="CF747" s="4"/>
      <c r="CG747" s="4"/>
      <c r="CI747" s="2"/>
    </row>
    <row r="748" spans="1:87" s="101" customFormat="1" x14ac:dyDescent="0.35">
      <c r="A748" s="1"/>
      <c r="C748" s="1"/>
      <c r="G748" s="2"/>
      <c r="H748" s="2"/>
      <c r="I748" s="2"/>
      <c r="J748" s="2"/>
      <c r="K748" s="81"/>
      <c r="L748" s="4"/>
      <c r="M748" s="4"/>
      <c r="N748" s="4"/>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3"/>
      <c r="AP748" s="2"/>
      <c r="AQ748" s="2"/>
      <c r="AR748" s="2"/>
      <c r="AS748" s="2"/>
      <c r="AT748" s="2"/>
      <c r="AU748" s="2"/>
      <c r="AV748" s="2"/>
      <c r="AW748" s="2"/>
      <c r="AX748" s="2"/>
      <c r="AY748" s="2"/>
      <c r="AZ748" s="5"/>
      <c r="BA748" s="2"/>
      <c r="BD748" s="2"/>
      <c r="BE748" s="2"/>
      <c r="BF748" s="2"/>
      <c r="BG748" s="2"/>
      <c r="BH748" s="2"/>
      <c r="BI748" s="2"/>
      <c r="BJ748" s="2"/>
      <c r="BK748" s="2"/>
      <c r="BM748" s="2"/>
      <c r="BN748" s="2"/>
      <c r="BO748" s="2"/>
      <c r="BP748" s="2"/>
      <c r="BQ748" s="2"/>
      <c r="BR748" s="6"/>
      <c r="BS748" s="6"/>
      <c r="BT748" s="2"/>
      <c r="BU748" s="2"/>
      <c r="BV748" s="2"/>
      <c r="BW748" s="2"/>
      <c r="BX748" s="2"/>
      <c r="BY748" s="2"/>
      <c r="BZ748" s="2"/>
      <c r="CA748" s="2"/>
      <c r="CB748" s="2"/>
      <c r="CC748" s="2"/>
      <c r="CD748" s="3"/>
      <c r="CE748" s="2"/>
      <c r="CF748" s="4"/>
      <c r="CG748" s="4"/>
      <c r="CI748" s="2"/>
    </row>
    <row r="749" spans="1:87" s="101" customFormat="1" x14ac:dyDescent="0.35">
      <c r="A749" s="1"/>
      <c r="C749" s="1"/>
      <c r="G749" s="2"/>
      <c r="H749" s="2"/>
      <c r="I749" s="2"/>
      <c r="J749" s="2"/>
      <c r="K749" s="81"/>
      <c r="L749" s="4"/>
      <c r="M749" s="4"/>
      <c r="N749" s="4"/>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3"/>
      <c r="AP749" s="2"/>
      <c r="AQ749" s="2"/>
      <c r="AR749" s="2"/>
      <c r="AS749" s="2"/>
      <c r="AT749" s="2"/>
      <c r="AU749" s="2"/>
      <c r="AV749" s="2"/>
      <c r="AW749" s="2"/>
      <c r="AX749" s="2"/>
      <c r="AY749" s="2"/>
      <c r="AZ749" s="5"/>
      <c r="BA749" s="2"/>
      <c r="BD749" s="2"/>
      <c r="BE749" s="2"/>
      <c r="BF749" s="2"/>
      <c r="BG749" s="2"/>
      <c r="BH749" s="2"/>
      <c r="BI749" s="2"/>
      <c r="BJ749" s="2"/>
      <c r="BK749" s="2"/>
      <c r="BM749" s="2"/>
      <c r="BN749" s="2"/>
      <c r="BO749" s="2"/>
      <c r="BP749" s="2"/>
      <c r="BQ749" s="2"/>
      <c r="BR749" s="6"/>
      <c r="BS749" s="6"/>
      <c r="BT749" s="2"/>
      <c r="BU749" s="2"/>
      <c r="BV749" s="2"/>
      <c r="BW749" s="2"/>
      <c r="BX749" s="2"/>
      <c r="BY749" s="2"/>
      <c r="BZ749" s="2"/>
      <c r="CA749" s="2"/>
      <c r="CB749" s="2"/>
      <c r="CC749" s="2"/>
      <c r="CD749" s="3"/>
      <c r="CE749" s="2"/>
      <c r="CF749" s="4"/>
      <c r="CG749" s="4"/>
      <c r="CI749" s="2"/>
    </row>
    <row r="750" spans="1:87" s="101" customFormat="1" x14ac:dyDescent="0.35">
      <c r="A750" s="1"/>
      <c r="C750" s="1"/>
      <c r="G750" s="2"/>
      <c r="H750" s="2"/>
      <c r="I750" s="2"/>
      <c r="J750" s="2"/>
      <c r="K750" s="81"/>
      <c r="L750" s="4"/>
      <c r="M750" s="4"/>
      <c r="N750" s="4"/>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3"/>
      <c r="AP750" s="2"/>
      <c r="AQ750" s="2"/>
      <c r="AR750" s="2"/>
      <c r="AS750" s="2"/>
      <c r="AT750" s="2"/>
      <c r="AU750" s="2"/>
      <c r="AV750" s="2"/>
      <c r="AW750" s="2"/>
      <c r="AX750" s="2"/>
      <c r="AY750" s="2"/>
      <c r="AZ750" s="5"/>
      <c r="BA750" s="2"/>
      <c r="BD750" s="2"/>
      <c r="BE750" s="2"/>
      <c r="BF750" s="2"/>
      <c r="BG750" s="2"/>
      <c r="BH750" s="2"/>
      <c r="BI750" s="2"/>
      <c r="BJ750" s="2"/>
      <c r="BK750" s="2"/>
      <c r="BM750" s="2"/>
      <c r="BN750" s="2"/>
      <c r="BO750" s="2"/>
      <c r="BP750" s="2"/>
      <c r="BQ750" s="2"/>
      <c r="BR750" s="6"/>
      <c r="BS750" s="6"/>
      <c r="BT750" s="2"/>
      <c r="BU750" s="2"/>
      <c r="BV750" s="2"/>
      <c r="BW750" s="2"/>
      <c r="BX750" s="2"/>
      <c r="BY750" s="2"/>
      <c r="BZ750" s="2"/>
      <c r="CA750" s="2"/>
      <c r="CB750" s="2"/>
      <c r="CC750" s="2"/>
      <c r="CD750" s="3"/>
      <c r="CE750" s="2"/>
      <c r="CF750" s="4"/>
      <c r="CG750" s="4"/>
      <c r="CI750" s="2"/>
    </row>
    <row r="751" spans="1:87" s="101" customFormat="1" x14ac:dyDescent="0.35">
      <c r="A751" s="1"/>
      <c r="C751" s="1"/>
      <c r="G751" s="2"/>
      <c r="H751" s="2"/>
      <c r="I751" s="2"/>
      <c r="J751" s="2"/>
      <c r="K751" s="81"/>
      <c r="L751" s="4"/>
      <c r="M751" s="4"/>
      <c r="N751" s="4"/>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3"/>
      <c r="AP751" s="2"/>
      <c r="AQ751" s="2"/>
      <c r="AR751" s="2"/>
      <c r="AS751" s="2"/>
      <c r="AT751" s="2"/>
      <c r="AU751" s="2"/>
      <c r="AV751" s="2"/>
      <c r="AW751" s="2"/>
      <c r="AX751" s="2"/>
      <c r="AY751" s="2"/>
      <c r="AZ751" s="5"/>
      <c r="BA751" s="2"/>
      <c r="BD751" s="2"/>
      <c r="BE751" s="2"/>
      <c r="BF751" s="2"/>
      <c r="BG751" s="2"/>
      <c r="BH751" s="2"/>
      <c r="BI751" s="2"/>
      <c r="BJ751" s="2"/>
      <c r="BK751" s="2"/>
      <c r="BM751" s="2"/>
      <c r="BN751" s="2"/>
      <c r="BO751" s="2"/>
      <c r="BP751" s="2"/>
      <c r="BQ751" s="2"/>
      <c r="BR751" s="6"/>
      <c r="BS751" s="6"/>
      <c r="BT751" s="2"/>
      <c r="BU751" s="2"/>
      <c r="BV751" s="2"/>
      <c r="BW751" s="2"/>
      <c r="BX751" s="2"/>
      <c r="BY751" s="2"/>
      <c r="BZ751" s="2"/>
      <c r="CA751" s="2"/>
      <c r="CB751" s="2"/>
      <c r="CC751" s="2"/>
      <c r="CD751" s="3"/>
      <c r="CE751" s="2"/>
      <c r="CF751" s="4"/>
      <c r="CG751" s="4"/>
      <c r="CI751" s="2"/>
    </row>
    <row r="752" spans="1:87" s="101" customFormat="1" x14ac:dyDescent="0.35">
      <c r="A752" s="1"/>
      <c r="C752" s="1"/>
      <c r="G752" s="2"/>
      <c r="H752" s="2"/>
      <c r="I752" s="2"/>
      <c r="J752" s="2"/>
      <c r="K752" s="81"/>
      <c r="L752" s="4"/>
      <c r="M752" s="4"/>
      <c r="N752" s="4"/>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3"/>
      <c r="AP752" s="2"/>
      <c r="AQ752" s="2"/>
      <c r="AR752" s="2"/>
      <c r="AS752" s="2"/>
      <c r="AT752" s="2"/>
      <c r="AU752" s="2"/>
      <c r="AV752" s="2"/>
      <c r="AW752" s="2"/>
      <c r="AX752" s="2"/>
      <c r="AY752" s="2"/>
      <c r="AZ752" s="5"/>
      <c r="BA752" s="2"/>
      <c r="BD752" s="2"/>
      <c r="BE752" s="2"/>
      <c r="BF752" s="2"/>
      <c r="BG752" s="2"/>
      <c r="BH752" s="2"/>
      <c r="BI752" s="2"/>
      <c r="BJ752" s="2"/>
      <c r="BK752" s="2"/>
      <c r="BM752" s="2"/>
      <c r="BN752" s="2"/>
      <c r="BO752" s="2"/>
      <c r="BP752" s="2"/>
      <c r="BQ752" s="2"/>
      <c r="BR752" s="6"/>
      <c r="BS752" s="6"/>
      <c r="BT752" s="2"/>
      <c r="BU752" s="2"/>
      <c r="BV752" s="2"/>
      <c r="BW752" s="2"/>
      <c r="BX752" s="2"/>
      <c r="BY752" s="2"/>
      <c r="BZ752" s="2"/>
      <c r="CA752" s="2"/>
      <c r="CB752" s="2"/>
      <c r="CC752" s="2"/>
      <c r="CD752" s="3"/>
      <c r="CE752" s="2"/>
      <c r="CF752" s="4"/>
      <c r="CG752" s="4"/>
      <c r="CI752" s="2"/>
    </row>
    <row r="753" spans="1:87" s="101" customFormat="1" x14ac:dyDescent="0.35">
      <c r="A753" s="1"/>
      <c r="C753" s="1"/>
      <c r="G753" s="2"/>
      <c r="H753" s="2"/>
      <c r="I753" s="2"/>
      <c r="J753" s="2"/>
      <c r="K753" s="81"/>
      <c r="L753" s="4"/>
      <c r="M753" s="4"/>
      <c r="N753" s="4"/>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3"/>
      <c r="AP753" s="2"/>
      <c r="AQ753" s="2"/>
      <c r="AR753" s="2"/>
      <c r="AS753" s="2"/>
      <c r="AT753" s="2"/>
      <c r="AU753" s="2"/>
      <c r="AV753" s="2"/>
      <c r="AW753" s="2"/>
      <c r="AX753" s="2"/>
      <c r="AY753" s="2"/>
      <c r="AZ753" s="5"/>
      <c r="BA753" s="2"/>
      <c r="BD753" s="2"/>
      <c r="BE753" s="2"/>
      <c r="BF753" s="2"/>
      <c r="BG753" s="2"/>
      <c r="BH753" s="2"/>
      <c r="BI753" s="2"/>
      <c r="BJ753" s="2"/>
      <c r="BK753" s="2"/>
      <c r="BM753" s="2"/>
      <c r="BN753" s="2"/>
      <c r="BO753" s="2"/>
      <c r="BP753" s="2"/>
      <c r="BQ753" s="2"/>
      <c r="BR753" s="6"/>
      <c r="BS753" s="6"/>
      <c r="BT753" s="2"/>
      <c r="BU753" s="2"/>
      <c r="BV753" s="2"/>
      <c r="BW753" s="2"/>
      <c r="BX753" s="2"/>
      <c r="BY753" s="2"/>
      <c r="BZ753" s="2"/>
      <c r="CA753" s="2"/>
      <c r="CB753" s="2"/>
      <c r="CC753" s="2"/>
      <c r="CD753" s="3"/>
      <c r="CE753" s="2"/>
      <c r="CF753" s="4"/>
      <c r="CG753" s="4"/>
      <c r="CI753" s="2"/>
    </row>
    <row r="754" spans="1:87" s="101" customFormat="1" x14ac:dyDescent="0.35">
      <c r="A754" s="1"/>
      <c r="C754" s="1"/>
      <c r="G754" s="2"/>
      <c r="H754" s="2"/>
      <c r="I754" s="2"/>
      <c r="J754" s="2"/>
      <c r="K754" s="81"/>
      <c r="L754" s="4"/>
      <c r="M754" s="4"/>
      <c r="N754" s="4"/>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3"/>
      <c r="AP754" s="2"/>
      <c r="AQ754" s="2"/>
      <c r="AR754" s="2"/>
      <c r="AS754" s="2"/>
      <c r="AT754" s="2"/>
      <c r="AU754" s="2"/>
      <c r="AV754" s="2"/>
      <c r="AW754" s="2"/>
      <c r="AX754" s="2"/>
      <c r="AY754" s="2"/>
      <c r="AZ754" s="5"/>
      <c r="BA754" s="2"/>
      <c r="BD754" s="2"/>
      <c r="BE754" s="2"/>
      <c r="BF754" s="2"/>
      <c r="BG754" s="2"/>
      <c r="BH754" s="2"/>
      <c r="BI754" s="2"/>
      <c r="BJ754" s="2"/>
      <c r="BK754" s="2"/>
      <c r="BM754" s="2"/>
      <c r="BN754" s="2"/>
      <c r="BO754" s="2"/>
      <c r="BP754" s="2"/>
      <c r="BQ754" s="2"/>
      <c r="BR754" s="6"/>
      <c r="BS754" s="6"/>
      <c r="BT754" s="2"/>
      <c r="BU754" s="2"/>
      <c r="BV754" s="2"/>
      <c r="BW754" s="2"/>
      <c r="BX754" s="2"/>
      <c r="BY754" s="2"/>
      <c r="BZ754" s="2"/>
      <c r="CA754" s="2"/>
      <c r="CB754" s="2"/>
      <c r="CC754" s="2"/>
      <c r="CD754" s="3"/>
      <c r="CE754" s="2"/>
      <c r="CF754" s="4"/>
      <c r="CG754" s="4"/>
      <c r="CI754" s="2"/>
    </row>
    <row r="755" spans="1:87" s="101" customFormat="1" x14ac:dyDescent="0.35">
      <c r="A755" s="1"/>
      <c r="C755" s="1"/>
      <c r="G755" s="2"/>
      <c r="H755" s="2"/>
      <c r="I755" s="2"/>
      <c r="J755" s="2"/>
      <c r="K755" s="81"/>
      <c r="L755" s="4"/>
      <c r="M755" s="4"/>
      <c r="N755" s="4"/>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3"/>
      <c r="AP755" s="2"/>
      <c r="AQ755" s="2"/>
      <c r="AR755" s="2"/>
      <c r="AS755" s="2"/>
      <c r="AT755" s="2"/>
      <c r="AU755" s="2"/>
      <c r="AV755" s="2"/>
      <c r="AW755" s="2"/>
      <c r="AX755" s="2"/>
      <c r="AY755" s="2"/>
      <c r="AZ755" s="5"/>
      <c r="BA755" s="2"/>
      <c r="BD755" s="2"/>
      <c r="BE755" s="2"/>
      <c r="BF755" s="2"/>
      <c r="BG755" s="2"/>
      <c r="BH755" s="2"/>
      <c r="BI755" s="2"/>
      <c r="BJ755" s="2"/>
      <c r="BK755" s="2"/>
      <c r="BM755" s="2"/>
      <c r="BN755" s="2"/>
      <c r="BO755" s="2"/>
      <c r="BP755" s="2"/>
      <c r="BQ755" s="2"/>
      <c r="BR755" s="6"/>
      <c r="BS755" s="6"/>
      <c r="BT755" s="2"/>
      <c r="BU755" s="2"/>
      <c r="BV755" s="2"/>
      <c r="BW755" s="2"/>
      <c r="BX755" s="2"/>
      <c r="BY755" s="2"/>
      <c r="BZ755" s="2"/>
      <c r="CA755" s="2"/>
      <c r="CB755" s="2"/>
      <c r="CC755" s="2"/>
      <c r="CD755" s="3"/>
      <c r="CE755" s="2"/>
      <c r="CF755" s="4"/>
      <c r="CG755" s="4"/>
      <c r="CI755" s="2"/>
    </row>
    <row r="756" spans="1:87" s="101" customFormat="1" x14ac:dyDescent="0.35">
      <c r="A756" s="1"/>
      <c r="C756" s="1"/>
      <c r="G756" s="2"/>
      <c r="H756" s="2"/>
      <c r="I756" s="2"/>
      <c r="J756" s="2"/>
      <c r="K756" s="81"/>
      <c r="L756" s="4"/>
      <c r="M756" s="4"/>
      <c r="N756" s="4"/>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3"/>
      <c r="AP756" s="2"/>
      <c r="AQ756" s="2"/>
      <c r="AR756" s="2"/>
      <c r="AS756" s="2"/>
      <c r="AT756" s="2"/>
      <c r="AU756" s="2"/>
      <c r="AV756" s="2"/>
      <c r="AW756" s="2"/>
      <c r="AX756" s="2"/>
      <c r="AY756" s="2"/>
      <c r="AZ756" s="5"/>
      <c r="BA756" s="2"/>
      <c r="BD756" s="2"/>
      <c r="BE756" s="2"/>
      <c r="BF756" s="2"/>
      <c r="BG756" s="2"/>
      <c r="BH756" s="2"/>
      <c r="BI756" s="2"/>
      <c r="BJ756" s="2"/>
      <c r="BK756" s="2"/>
      <c r="BM756" s="2"/>
      <c r="BN756" s="2"/>
      <c r="BO756" s="2"/>
      <c r="BP756" s="2"/>
      <c r="BQ756" s="2"/>
      <c r="BR756" s="6"/>
      <c r="BS756" s="6"/>
      <c r="BT756" s="2"/>
      <c r="BU756" s="2"/>
      <c r="BV756" s="2"/>
      <c r="BW756" s="2"/>
      <c r="BX756" s="2"/>
      <c r="BY756" s="2"/>
      <c r="BZ756" s="2"/>
      <c r="CA756" s="2"/>
      <c r="CB756" s="2"/>
      <c r="CC756" s="2"/>
      <c r="CD756" s="3"/>
      <c r="CE756" s="2"/>
      <c r="CF756" s="4"/>
      <c r="CG756" s="4"/>
      <c r="CI756" s="2"/>
    </row>
    <row r="757" spans="1:87" s="101" customFormat="1" x14ac:dyDescent="0.35">
      <c r="A757" s="1"/>
      <c r="C757" s="1"/>
      <c r="G757" s="2"/>
      <c r="H757" s="2"/>
      <c r="I757" s="2"/>
      <c r="J757" s="2"/>
      <c r="K757" s="81"/>
      <c r="L757" s="4"/>
      <c r="M757" s="4"/>
      <c r="N757" s="4"/>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3"/>
      <c r="AP757" s="2"/>
      <c r="AQ757" s="2"/>
      <c r="AR757" s="2"/>
      <c r="AS757" s="2"/>
      <c r="AT757" s="2"/>
      <c r="AU757" s="2"/>
      <c r="AV757" s="2"/>
      <c r="AW757" s="2"/>
      <c r="AX757" s="2"/>
      <c r="AY757" s="2"/>
      <c r="AZ757" s="5"/>
      <c r="BA757" s="2"/>
      <c r="BD757" s="2"/>
      <c r="BE757" s="2"/>
      <c r="BF757" s="2"/>
      <c r="BG757" s="2"/>
      <c r="BH757" s="2"/>
      <c r="BI757" s="2"/>
      <c r="BJ757" s="2"/>
      <c r="BK757" s="2"/>
      <c r="BM757" s="2"/>
      <c r="BN757" s="2"/>
      <c r="BO757" s="2"/>
      <c r="BP757" s="2"/>
      <c r="BQ757" s="2"/>
      <c r="BR757" s="6"/>
      <c r="BS757" s="6"/>
      <c r="BT757" s="2"/>
      <c r="BU757" s="2"/>
      <c r="BV757" s="2"/>
      <c r="BW757" s="2"/>
      <c r="BX757" s="2"/>
      <c r="BY757" s="2"/>
      <c r="BZ757" s="2"/>
      <c r="CA757" s="2"/>
      <c r="CB757" s="2"/>
      <c r="CC757" s="2"/>
      <c r="CD757" s="3"/>
      <c r="CE757" s="2"/>
      <c r="CF757" s="4"/>
      <c r="CG757" s="4"/>
      <c r="CI757" s="2"/>
    </row>
    <row r="758" spans="1:87" s="101" customFormat="1" x14ac:dyDescent="0.35">
      <c r="A758" s="1"/>
      <c r="C758" s="1"/>
      <c r="G758" s="2"/>
      <c r="H758" s="2"/>
      <c r="I758" s="2"/>
      <c r="J758" s="2"/>
      <c r="K758" s="81"/>
      <c r="L758" s="4"/>
      <c r="M758" s="4"/>
      <c r="N758" s="4"/>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3"/>
      <c r="AP758" s="2"/>
      <c r="AQ758" s="2"/>
      <c r="AR758" s="2"/>
      <c r="AS758" s="2"/>
      <c r="AT758" s="2"/>
      <c r="AU758" s="2"/>
      <c r="AV758" s="2"/>
      <c r="AW758" s="2"/>
      <c r="AX758" s="2"/>
      <c r="AY758" s="2"/>
      <c r="AZ758" s="5"/>
      <c r="BA758" s="2"/>
      <c r="BD758" s="2"/>
      <c r="BE758" s="2"/>
      <c r="BF758" s="2"/>
      <c r="BG758" s="2"/>
      <c r="BH758" s="2"/>
      <c r="BI758" s="2"/>
      <c r="BJ758" s="2"/>
      <c r="BK758" s="2"/>
      <c r="BM758" s="2"/>
      <c r="BN758" s="2"/>
      <c r="BO758" s="2"/>
      <c r="BP758" s="2"/>
      <c r="BQ758" s="2"/>
      <c r="BR758" s="6"/>
      <c r="BS758" s="6"/>
      <c r="BT758" s="2"/>
      <c r="BU758" s="2"/>
      <c r="BV758" s="2"/>
      <c r="BW758" s="2"/>
      <c r="BX758" s="2"/>
      <c r="BY758" s="2"/>
      <c r="BZ758" s="2"/>
      <c r="CA758" s="2"/>
      <c r="CB758" s="2"/>
      <c r="CC758" s="2"/>
      <c r="CD758" s="3"/>
      <c r="CE758" s="2"/>
      <c r="CF758" s="4"/>
      <c r="CG758" s="4"/>
      <c r="CI758" s="2"/>
    </row>
    <row r="759" spans="1:87" s="101" customFormat="1" x14ac:dyDescent="0.35">
      <c r="A759" s="1"/>
      <c r="C759" s="1"/>
      <c r="G759" s="2"/>
      <c r="H759" s="2"/>
      <c r="I759" s="2"/>
      <c r="J759" s="2"/>
      <c r="K759" s="81"/>
      <c r="L759" s="4"/>
      <c r="M759" s="4"/>
      <c r="N759" s="4"/>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3"/>
      <c r="AP759" s="2"/>
      <c r="AQ759" s="2"/>
      <c r="AR759" s="2"/>
      <c r="AS759" s="2"/>
      <c r="AT759" s="2"/>
      <c r="AU759" s="2"/>
      <c r="AV759" s="2"/>
      <c r="AW759" s="2"/>
      <c r="AX759" s="2"/>
      <c r="AY759" s="2"/>
      <c r="AZ759" s="5"/>
      <c r="BA759" s="2"/>
      <c r="BD759" s="2"/>
      <c r="BE759" s="2"/>
      <c r="BF759" s="2"/>
      <c r="BG759" s="2"/>
      <c r="BH759" s="2"/>
      <c r="BI759" s="2"/>
      <c r="BJ759" s="2"/>
      <c r="BK759" s="2"/>
      <c r="BM759" s="2"/>
      <c r="BN759" s="2"/>
      <c r="BO759" s="2"/>
      <c r="BP759" s="2"/>
      <c r="BQ759" s="2"/>
      <c r="BR759" s="6"/>
      <c r="BS759" s="6"/>
      <c r="BT759" s="2"/>
      <c r="BU759" s="2"/>
      <c r="BV759" s="2"/>
      <c r="BW759" s="2"/>
      <c r="BX759" s="2"/>
      <c r="BY759" s="2"/>
      <c r="BZ759" s="2"/>
      <c r="CA759" s="2"/>
      <c r="CB759" s="2"/>
      <c r="CC759" s="2"/>
      <c r="CD759" s="3"/>
      <c r="CE759" s="2"/>
      <c r="CF759" s="4"/>
      <c r="CG759" s="4"/>
      <c r="CI759" s="2"/>
    </row>
    <row r="760" spans="1:87" s="101" customFormat="1" x14ac:dyDescent="0.35">
      <c r="A760" s="1"/>
      <c r="C760" s="1"/>
      <c r="G760" s="2"/>
      <c r="H760" s="2"/>
      <c r="I760" s="2"/>
      <c r="J760" s="2"/>
      <c r="K760" s="81"/>
      <c r="L760" s="4"/>
      <c r="M760" s="4"/>
      <c r="N760" s="4"/>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3"/>
      <c r="AP760" s="2"/>
      <c r="AQ760" s="2"/>
      <c r="AR760" s="2"/>
      <c r="AS760" s="2"/>
      <c r="AT760" s="2"/>
      <c r="AU760" s="2"/>
      <c r="AV760" s="2"/>
      <c r="AW760" s="2"/>
      <c r="AX760" s="2"/>
      <c r="AY760" s="2"/>
      <c r="AZ760" s="5"/>
      <c r="BA760" s="2"/>
      <c r="BD760" s="2"/>
      <c r="BE760" s="2"/>
      <c r="BF760" s="2"/>
      <c r="BG760" s="2"/>
      <c r="BH760" s="2"/>
      <c r="BI760" s="2"/>
      <c r="BJ760" s="2"/>
      <c r="BK760" s="2"/>
      <c r="BM760" s="2"/>
      <c r="BN760" s="2"/>
      <c r="BO760" s="2"/>
      <c r="BP760" s="2"/>
      <c r="BQ760" s="2"/>
      <c r="BR760" s="6"/>
      <c r="BS760" s="6"/>
      <c r="BT760" s="2"/>
      <c r="BU760" s="2"/>
      <c r="BV760" s="2"/>
      <c r="BW760" s="2"/>
      <c r="BX760" s="2"/>
      <c r="BY760" s="2"/>
      <c r="BZ760" s="2"/>
      <c r="CA760" s="2"/>
      <c r="CB760" s="2"/>
      <c r="CC760" s="2"/>
      <c r="CD760" s="3"/>
      <c r="CE760" s="2"/>
      <c r="CF760" s="4"/>
      <c r="CG760" s="4"/>
      <c r="CI760" s="2"/>
    </row>
    <row r="761" spans="1:87" s="101" customFormat="1" x14ac:dyDescent="0.35">
      <c r="A761" s="1"/>
      <c r="C761" s="1"/>
      <c r="G761" s="2"/>
      <c r="H761" s="2"/>
      <c r="I761" s="2"/>
      <c r="J761" s="2"/>
      <c r="K761" s="81"/>
      <c r="L761" s="4"/>
      <c r="M761" s="4"/>
      <c r="N761" s="4"/>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3"/>
      <c r="AP761" s="2"/>
      <c r="AQ761" s="2"/>
      <c r="AR761" s="2"/>
      <c r="AS761" s="2"/>
      <c r="AT761" s="2"/>
      <c r="AU761" s="2"/>
      <c r="AV761" s="2"/>
      <c r="AW761" s="2"/>
      <c r="AX761" s="2"/>
      <c r="AY761" s="2"/>
      <c r="AZ761" s="5"/>
      <c r="BA761" s="2"/>
      <c r="BD761" s="2"/>
      <c r="BE761" s="2"/>
      <c r="BF761" s="2"/>
      <c r="BG761" s="2"/>
      <c r="BH761" s="2"/>
      <c r="BI761" s="2"/>
      <c r="BJ761" s="2"/>
      <c r="BK761" s="2"/>
      <c r="BM761" s="2"/>
      <c r="BN761" s="2"/>
      <c r="BO761" s="2"/>
      <c r="BP761" s="2"/>
      <c r="BQ761" s="2"/>
      <c r="BR761" s="6"/>
      <c r="BS761" s="6"/>
      <c r="BT761" s="2"/>
      <c r="BU761" s="2"/>
      <c r="BV761" s="2"/>
      <c r="BW761" s="2"/>
      <c r="BX761" s="2"/>
      <c r="BY761" s="2"/>
      <c r="BZ761" s="2"/>
      <c r="CA761" s="2"/>
      <c r="CB761" s="2"/>
      <c r="CC761" s="2"/>
      <c r="CD761" s="3"/>
      <c r="CE761" s="2"/>
      <c r="CF761" s="4"/>
      <c r="CG761" s="4"/>
      <c r="CI761" s="2"/>
    </row>
    <row r="762" spans="1:87" s="101" customFormat="1" x14ac:dyDescent="0.35">
      <c r="A762" s="1"/>
      <c r="C762" s="1"/>
      <c r="G762" s="2"/>
      <c r="H762" s="2"/>
      <c r="I762" s="2"/>
      <c r="J762" s="2"/>
      <c r="K762" s="81"/>
      <c r="L762" s="4"/>
      <c r="M762" s="4"/>
      <c r="N762" s="4"/>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3"/>
      <c r="AP762" s="2"/>
      <c r="AQ762" s="2"/>
      <c r="AR762" s="2"/>
      <c r="AS762" s="2"/>
      <c r="AT762" s="2"/>
      <c r="AU762" s="2"/>
      <c r="AV762" s="2"/>
      <c r="AW762" s="2"/>
      <c r="AX762" s="2"/>
      <c r="AY762" s="2"/>
      <c r="AZ762" s="5"/>
      <c r="BA762" s="2"/>
      <c r="BD762" s="2"/>
      <c r="BE762" s="2"/>
      <c r="BF762" s="2"/>
      <c r="BG762" s="2"/>
      <c r="BH762" s="2"/>
      <c r="BI762" s="2"/>
      <c r="BJ762" s="2"/>
      <c r="BK762" s="2"/>
      <c r="BM762" s="2"/>
      <c r="BN762" s="2"/>
      <c r="BO762" s="2"/>
      <c r="BP762" s="2"/>
      <c r="BQ762" s="2"/>
      <c r="BR762" s="6"/>
      <c r="BS762" s="6"/>
      <c r="BT762" s="2"/>
      <c r="BU762" s="2"/>
      <c r="BV762" s="2"/>
      <c r="BW762" s="2"/>
      <c r="BX762" s="2"/>
      <c r="BY762" s="2"/>
      <c r="BZ762" s="2"/>
      <c r="CA762" s="2"/>
      <c r="CB762" s="2"/>
      <c r="CC762" s="2"/>
      <c r="CD762" s="3"/>
      <c r="CE762" s="2"/>
      <c r="CF762" s="4"/>
      <c r="CG762" s="4"/>
      <c r="CI762" s="2"/>
    </row>
    <row r="763" spans="1:87" s="101" customFormat="1" x14ac:dyDescent="0.35">
      <c r="A763" s="1"/>
      <c r="C763" s="1"/>
      <c r="G763" s="2"/>
      <c r="H763" s="2"/>
      <c r="I763" s="2"/>
      <c r="J763" s="2"/>
      <c r="K763" s="81"/>
      <c r="L763" s="4"/>
      <c r="M763" s="4"/>
      <c r="N763" s="4"/>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3"/>
      <c r="AP763" s="2"/>
      <c r="AQ763" s="2"/>
      <c r="AR763" s="2"/>
      <c r="AS763" s="2"/>
      <c r="AT763" s="2"/>
      <c r="AU763" s="2"/>
      <c r="AV763" s="2"/>
      <c r="AW763" s="2"/>
      <c r="AX763" s="2"/>
      <c r="AY763" s="2"/>
      <c r="AZ763" s="5"/>
      <c r="BA763" s="2"/>
      <c r="BD763" s="2"/>
      <c r="BE763" s="2"/>
      <c r="BF763" s="2"/>
      <c r="BG763" s="2"/>
      <c r="BH763" s="2"/>
      <c r="BI763" s="2"/>
      <c r="BJ763" s="2"/>
      <c r="BK763" s="2"/>
      <c r="BM763" s="2"/>
      <c r="BN763" s="2"/>
      <c r="BO763" s="2"/>
      <c r="BP763" s="2"/>
      <c r="BQ763" s="2"/>
      <c r="BR763" s="6"/>
      <c r="BS763" s="6"/>
      <c r="BT763" s="2"/>
      <c r="BU763" s="2"/>
      <c r="BV763" s="2"/>
      <c r="BW763" s="2"/>
      <c r="BX763" s="2"/>
      <c r="BY763" s="2"/>
      <c r="BZ763" s="2"/>
      <c r="CA763" s="2"/>
      <c r="CB763" s="2"/>
      <c r="CC763" s="2"/>
      <c r="CD763" s="3"/>
      <c r="CE763" s="2"/>
      <c r="CF763" s="4"/>
      <c r="CG763" s="4"/>
      <c r="CI763" s="2"/>
    </row>
    <row r="764" spans="1:87" s="101" customFormat="1" x14ac:dyDescent="0.35">
      <c r="A764" s="1"/>
      <c r="C764" s="1"/>
      <c r="G764" s="2"/>
      <c r="H764" s="2"/>
      <c r="I764" s="2"/>
      <c r="J764" s="2"/>
      <c r="K764" s="81"/>
      <c r="L764" s="4"/>
      <c r="M764" s="4"/>
      <c r="N764" s="4"/>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3"/>
      <c r="AP764" s="2"/>
      <c r="AQ764" s="2"/>
      <c r="AR764" s="2"/>
      <c r="AS764" s="2"/>
      <c r="AT764" s="2"/>
      <c r="AU764" s="2"/>
      <c r="AV764" s="2"/>
      <c r="AW764" s="2"/>
      <c r="AX764" s="2"/>
      <c r="AY764" s="2"/>
      <c r="AZ764" s="5"/>
      <c r="BA764" s="2"/>
      <c r="BD764" s="2"/>
      <c r="BE764" s="2"/>
      <c r="BF764" s="2"/>
      <c r="BG764" s="2"/>
      <c r="BH764" s="2"/>
      <c r="BI764" s="2"/>
      <c r="BJ764" s="2"/>
      <c r="BK764" s="2"/>
      <c r="BM764" s="2"/>
      <c r="BN764" s="2"/>
      <c r="BO764" s="2"/>
      <c r="BP764" s="2"/>
      <c r="BQ764" s="2"/>
      <c r="BR764" s="6"/>
      <c r="BS764" s="6"/>
      <c r="BT764" s="2"/>
      <c r="BU764" s="2"/>
      <c r="BV764" s="2"/>
      <c r="BW764" s="2"/>
      <c r="BX764" s="2"/>
      <c r="BY764" s="2"/>
      <c r="BZ764" s="2"/>
      <c r="CA764" s="2"/>
      <c r="CB764" s="2"/>
      <c r="CC764" s="2"/>
      <c r="CD764" s="3"/>
      <c r="CE764" s="2"/>
      <c r="CF764" s="4"/>
      <c r="CG764" s="4"/>
      <c r="CI764" s="2"/>
    </row>
    <row r="765" spans="1:87" s="101" customFormat="1" x14ac:dyDescent="0.35">
      <c r="A765" s="1"/>
      <c r="C765" s="1"/>
      <c r="G765" s="2"/>
      <c r="H765" s="2"/>
      <c r="I765" s="2"/>
      <c r="J765" s="2"/>
      <c r="K765" s="81"/>
      <c r="L765" s="4"/>
      <c r="M765" s="4"/>
      <c r="N765" s="4"/>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3"/>
      <c r="AP765" s="2"/>
      <c r="AQ765" s="2"/>
      <c r="AR765" s="2"/>
      <c r="AS765" s="2"/>
      <c r="AT765" s="2"/>
      <c r="AU765" s="2"/>
      <c r="AV765" s="2"/>
      <c r="AW765" s="2"/>
      <c r="AX765" s="2"/>
      <c r="AY765" s="2"/>
      <c r="AZ765" s="5"/>
      <c r="BA765" s="2"/>
      <c r="BD765" s="2"/>
      <c r="BE765" s="2"/>
      <c r="BF765" s="2"/>
      <c r="BG765" s="2"/>
      <c r="BH765" s="2"/>
      <c r="BI765" s="2"/>
      <c r="BJ765" s="2"/>
      <c r="BK765" s="2"/>
      <c r="BM765" s="2"/>
      <c r="BN765" s="2"/>
      <c r="BO765" s="2"/>
      <c r="BP765" s="2"/>
      <c r="BQ765" s="2"/>
      <c r="BR765" s="6"/>
      <c r="BS765" s="6"/>
      <c r="BT765" s="2"/>
      <c r="BU765" s="2"/>
      <c r="BV765" s="2"/>
      <c r="BW765" s="2"/>
      <c r="BX765" s="2"/>
      <c r="BY765" s="2"/>
      <c r="BZ765" s="2"/>
      <c r="CA765" s="2"/>
      <c r="CB765" s="2"/>
      <c r="CC765" s="2"/>
      <c r="CD765" s="3"/>
      <c r="CE765" s="2"/>
      <c r="CF765" s="4"/>
      <c r="CG765" s="4"/>
      <c r="CI765" s="2"/>
    </row>
    <row r="766" spans="1:87" s="101" customFormat="1" x14ac:dyDescent="0.35">
      <c r="A766" s="1"/>
      <c r="C766" s="1"/>
      <c r="G766" s="2"/>
      <c r="H766" s="2"/>
      <c r="I766" s="2"/>
      <c r="J766" s="2"/>
      <c r="K766" s="81"/>
      <c r="L766" s="4"/>
      <c r="M766" s="4"/>
      <c r="N766" s="4"/>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3"/>
      <c r="AP766" s="2"/>
      <c r="AQ766" s="2"/>
      <c r="AR766" s="2"/>
      <c r="AS766" s="2"/>
      <c r="AT766" s="2"/>
      <c r="AU766" s="2"/>
      <c r="AV766" s="2"/>
      <c r="AW766" s="2"/>
      <c r="AX766" s="2"/>
      <c r="AY766" s="2"/>
      <c r="AZ766" s="5"/>
      <c r="BA766" s="2"/>
      <c r="BD766" s="2"/>
      <c r="BE766" s="2"/>
      <c r="BF766" s="2"/>
      <c r="BG766" s="2"/>
      <c r="BH766" s="2"/>
      <c r="BI766" s="2"/>
      <c r="BJ766" s="2"/>
      <c r="BK766" s="2"/>
      <c r="BM766" s="2"/>
      <c r="BN766" s="2"/>
      <c r="BO766" s="2"/>
      <c r="BP766" s="2"/>
      <c r="BQ766" s="2"/>
      <c r="BR766" s="6"/>
      <c r="BS766" s="6"/>
      <c r="BT766" s="2"/>
      <c r="BU766" s="2"/>
      <c r="BV766" s="2"/>
      <c r="BW766" s="2"/>
      <c r="BX766" s="2"/>
      <c r="BY766" s="2"/>
      <c r="BZ766" s="2"/>
      <c r="CA766" s="2"/>
      <c r="CB766" s="2"/>
      <c r="CC766" s="2"/>
      <c r="CD766" s="3"/>
      <c r="CE766" s="2"/>
      <c r="CF766" s="4"/>
      <c r="CG766" s="4"/>
      <c r="CI766" s="2"/>
    </row>
    <row r="767" spans="1:87" s="101" customFormat="1" x14ac:dyDescent="0.35">
      <c r="A767" s="1"/>
      <c r="C767" s="1"/>
      <c r="G767" s="2"/>
      <c r="H767" s="2"/>
      <c r="I767" s="2"/>
      <c r="J767" s="2"/>
      <c r="K767" s="81"/>
      <c r="L767" s="4"/>
      <c r="M767" s="4"/>
      <c r="N767" s="4"/>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3"/>
      <c r="AP767" s="2"/>
      <c r="AQ767" s="2"/>
      <c r="AR767" s="2"/>
      <c r="AS767" s="2"/>
      <c r="AT767" s="2"/>
      <c r="AU767" s="2"/>
      <c r="AV767" s="2"/>
      <c r="AW767" s="2"/>
      <c r="AX767" s="2"/>
      <c r="AY767" s="2"/>
      <c r="AZ767" s="5"/>
      <c r="BA767" s="2"/>
      <c r="BD767" s="2"/>
      <c r="BE767" s="2"/>
      <c r="BF767" s="2"/>
      <c r="BG767" s="2"/>
      <c r="BH767" s="2"/>
      <c r="BI767" s="2"/>
      <c r="BJ767" s="2"/>
      <c r="BK767" s="2"/>
      <c r="BM767" s="2"/>
      <c r="BN767" s="2"/>
      <c r="BO767" s="2"/>
      <c r="BP767" s="2"/>
      <c r="BQ767" s="2"/>
      <c r="BR767" s="6"/>
      <c r="BS767" s="6"/>
      <c r="BT767" s="2"/>
      <c r="BU767" s="2"/>
      <c r="BV767" s="2"/>
      <c r="BW767" s="2"/>
      <c r="BX767" s="2"/>
      <c r="BY767" s="2"/>
      <c r="BZ767" s="2"/>
      <c r="CA767" s="2"/>
      <c r="CB767" s="2"/>
      <c r="CC767" s="2"/>
      <c r="CD767" s="3"/>
      <c r="CE767" s="2"/>
      <c r="CF767" s="4"/>
      <c r="CG767" s="4"/>
      <c r="CI767" s="2"/>
    </row>
    <row r="768" spans="1:87" s="101" customFormat="1" x14ac:dyDescent="0.35">
      <c r="A768" s="1"/>
      <c r="C768" s="1"/>
      <c r="G768" s="2"/>
      <c r="H768" s="2"/>
      <c r="I768" s="2"/>
      <c r="J768" s="2"/>
      <c r="K768" s="81"/>
      <c r="L768" s="4"/>
      <c r="M768" s="4"/>
      <c r="N768" s="4"/>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3"/>
      <c r="AP768" s="2"/>
      <c r="AQ768" s="2"/>
      <c r="AR768" s="2"/>
      <c r="AS768" s="2"/>
      <c r="AT768" s="2"/>
      <c r="AU768" s="2"/>
      <c r="AV768" s="2"/>
      <c r="AW768" s="2"/>
      <c r="AX768" s="2"/>
      <c r="AY768" s="2"/>
      <c r="AZ768" s="5"/>
      <c r="BA768" s="2"/>
      <c r="BD768" s="2"/>
      <c r="BE768" s="2"/>
      <c r="BF768" s="2"/>
      <c r="BG768" s="2"/>
      <c r="BH768" s="2"/>
      <c r="BI768" s="2"/>
      <c r="BJ768" s="2"/>
      <c r="BK768" s="2"/>
      <c r="BM768" s="2"/>
      <c r="BN768" s="2"/>
      <c r="BO768" s="2"/>
      <c r="BP768" s="2"/>
      <c r="BQ768" s="2"/>
      <c r="BR768" s="6"/>
      <c r="BS768" s="6"/>
      <c r="BT768" s="2"/>
      <c r="BU768" s="2"/>
      <c r="BV768" s="2"/>
      <c r="BW768" s="2"/>
      <c r="BX768" s="2"/>
      <c r="BY768" s="2"/>
      <c r="BZ768" s="2"/>
      <c r="CA768" s="2"/>
      <c r="CB768" s="2"/>
      <c r="CC768" s="2"/>
      <c r="CD768" s="3"/>
      <c r="CE768" s="2"/>
      <c r="CF768" s="4"/>
      <c r="CG768" s="4"/>
      <c r="CI768" s="2"/>
    </row>
    <row r="769" spans="1:87" s="101" customFormat="1" x14ac:dyDescent="0.35">
      <c r="A769" s="1"/>
      <c r="C769" s="1"/>
      <c r="G769" s="2"/>
      <c r="H769" s="2"/>
      <c r="I769" s="2"/>
      <c r="J769" s="2"/>
      <c r="K769" s="81"/>
      <c r="L769" s="4"/>
      <c r="M769" s="4"/>
      <c r="N769" s="4"/>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3"/>
      <c r="AP769" s="2"/>
      <c r="AQ769" s="2"/>
      <c r="AR769" s="2"/>
      <c r="AS769" s="2"/>
      <c r="AT769" s="2"/>
      <c r="AU769" s="2"/>
      <c r="AV769" s="2"/>
      <c r="AW769" s="2"/>
      <c r="AX769" s="2"/>
      <c r="AY769" s="2"/>
      <c r="AZ769" s="5"/>
      <c r="BA769" s="2"/>
      <c r="BD769" s="2"/>
      <c r="BE769" s="2"/>
      <c r="BF769" s="2"/>
      <c r="BG769" s="2"/>
      <c r="BH769" s="2"/>
      <c r="BI769" s="2"/>
      <c r="BJ769" s="2"/>
      <c r="BK769" s="2"/>
      <c r="BM769" s="2"/>
      <c r="BN769" s="2"/>
      <c r="BO769" s="2"/>
      <c r="BP769" s="2"/>
      <c r="BQ769" s="2"/>
      <c r="BR769" s="6"/>
      <c r="BS769" s="6"/>
      <c r="BT769" s="2"/>
      <c r="BU769" s="2"/>
      <c r="BV769" s="2"/>
      <c r="BW769" s="2"/>
      <c r="BX769" s="2"/>
      <c r="BY769" s="2"/>
      <c r="BZ769" s="2"/>
      <c r="CA769" s="2"/>
      <c r="CB769" s="2"/>
      <c r="CC769" s="2"/>
      <c r="CD769" s="3"/>
      <c r="CE769" s="2"/>
      <c r="CF769" s="4"/>
      <c r="CG769" s="4"/>
      <c r="CI769" s="2"/>
    </row>
    <row r="770" spans="1:87" s="101" customFormat="1" x14ac:dyDescent="0.35">
      <c r="A770" s="1"/>
      <c r="C770" s="1"/>
      <c r="G770" s="2"/>
      <c r="H770" s="2"/>
      <c r="I770" s="2"/>
      <c r="J770" s="2"/>
      <c r="K770" s="81"/>
      <c r="L770" s="4"/>
      <c r="M770" s="4"/>
      <c r="N770" s="4"/>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3"/>
      <c r="AP770" s="2"/>
      <c r="AQ770" s="2"/>
      <c r="AR770" s="2"/>
      <c r="AS770" s="2"/>
      <c r="AT770" s="2"/>
      <c r="AU770" s="2"/>
      <c r="AV770" s="2"/>
      <c r="AW770" s="2"/>
      <c r="AX770" s="2"/>
      <c r="AY770" s="2"/>
      <c r="AZ770" s="5"/>
      <c r="BA770" s="2"/>
      <c r="BD770" s="2"/>
      <c r="BE770" s="2"/>
      <c r="BF770" s="2"/>
      <c r="BG770" s="2"/>
      <c r="BH770" s="2"/>
      <c r="BI770" s="2"/>
      <c r="BJ770" s="2"/>
      <c r="BK770" s="2"/>
      <c r="BM770" s="2"/>
      <c r="BN770" s="2"/>
      <c r="BO770" s="2"/>
      <c r="BP770" s="2"/>
      <c r="BQ770" s="2"/>
      <c r="BR770" s="6"/>
      <c r="BS770" s="6"/>
      <c r="BT770" s="2"/>
      <c r="BU770" s="2"/>
      <c r="BV770" s="2"/>
      <c r="BW770" s="2"/>
      <c r="BX770" s="2"/>
      <c r="BY770" s="2"/>
      <c r="BZ770" s="2"/>
      <c r="CA770" s="2"/>
      <c r="CB770" s="2"/>
      <c r="CC770" s="2"/>
      <c r="CD770" s="3"/>
      <c r="CE770" s="2"/>
      <c r="CF770" s="4"/>
      <c r="CG770" s="4"/>
      <c r="CI770" s="2"/>
    </row>
    <row r="771" spans="1:87" s="101" customFormat="1" x14ac:dyDescent="0.35">
      <c r="A771" s="1"/>
      <c r="C771" s="1"/>
      <c r="G771" s="2"/>
      <c r="H771" s="2"/>
      <c r="I771" s="2"/>
      <c r="J771" s="2"/>
      <c r="K771" s="81"/>
      <c r="L771" s="4"/>
      <c r="M771" s="4"/>
      <c r="N771" s="4"/>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3"/>
      <c r="AP771" s="2"/>
      <c r="AQ771" s="2"/>
      <c r="AR771" s="2"/>
      <c r="AS771" s="2"/>
      <c r="AT771" s="2"/>
      <c r="AU771" s="2"/>
      <c r="AV771" s="2"/>
      <c r="AW771" s="2"/>
      <c r="AX771" s="2"/>
      <c r="AY771" s="2"/>
      <c r="AZ771" s="5"/>
      <c r="BA771" s="2"/>
      <c r="BD771" s="2"/>
      <c r="BE771" s="2"/>
      <c r="BF771" s="2"/>
      <c r="BG771" s="2"/>
      <c r="BH771" s="2"/>
      <c r="BI771" s="2"/>
      <c r="BJ771" s="2"/>
      <c r="BK771" s="2"/>
      <c r="BM771" s="2"/>
      <c r="BN771" s="2"/>
      <c r="BO771" s="2"/>
      <c r="BP771" s="2"/>
      <c r="BQ771" s="2"/>
      <c r="BR771" s="6"/>
      <c r="BS771" s="6"/>
      <c r="BT771" s="2"/>
      <c r="BU771" s="2"/>
      <c r="BV771" s="2"/>
      <c r="BW771" s="2"/>
      <c r="BX771" s="2"/>
      <c r="BY771" s="2"/>
      <c r="BZ771" s="2"/>
      <c r="CA771" s="2"/>
      <c r="CB771" s="2"/>
      <c r="CC771" s="2"/>
      <c r="CD771" s="3"/>
      <c r="CE771" s="2"/>
      <c r="CF771" s="4"/>
      <c r="CG771" s="4"/>
      <c r="CI771" s="2"/>
    </row>
    <row r="772" spans="1:87" s="101" customFormat="1" x14ac:dyDescent="0.35">
      <c r="A772" s="1"/>
      <c r="C772" s="1"/>
      <c r="G772" s="2"/>
      <c r="H772" s="2"/>
      <c r="I772" s="2"/>
      <c r="J772" s="2"/>
      <c r="K772" s="81"/>
      <c r="L772" s="4"/>
      <c r="M772" s="4"/>
      <c r="N772" s="4"/>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3"/>
      <c r="AP772" s="2"/>
      <c r="AQ772" s="2"/>
      <c r="AR772" s="2"/>
      <c r="AS772" s="2"/>
      <c r="AT772" s="2"/>
      <c r="AU772" s="2"/>
      <c r="AV772" s="2"/>
      <c r="AW772" s="2"/>
      <c r="AX772" s="2"/>
      <c r="AY772" s="2"/>
      <c r="AZ772" s="5"/>
      <c r="BA772" s="2"/>
      <c r="BD772" s="2"/>
      <c r="BE772" s="2"/>
      <c r="BF772" s="2"/>
      <c r="BG772" s="2"/>
      <c r="BH772" s="2"/>
      <c r="BI772" s="2"/>
      <c r="BJ772" s="2"/>
      <c r="BK772" s="2"/>
      <c r="BM772" s="2"/>
      <c r="BN772" s="2"/>
      <c r="BO772" s="2"/>
      <c r="BP772" s="2"/>
      <c r="BQ772" s="2"/>
      <c r="BR772" s="6"/>
      <c r="BS772" s="6"/>
      <c r="BT772" s="2"/>
      <c r="BU772" s="2"/>
      <c r="BV772" s="2"/>
      <c r="BW772" s="2"/>
      <c r="BX772" s="2"/>
      <c r="BY772" s="2"/>
      <c r="BZ772" s="2"/>
      <c r="CA772" s="2"/>
      <c r="CB772" s="2"/>
      <c r="CC772" s="2"/>
      <c r="CD772" s="3"/>
      <c r="CE772" s="2"/>
      <c r="CF772" s="4"/>
      <c r="CG772" s="4"/>
      <c r="CI772" s="2"/>
    </row>
    <row r="773" spans="1:87" s="101" customFormat="1" x14ac:dyDescent="0.35">
      <c r="A773" s="1"/>
      <c r="C773" s="1"/>
      <c r="G773" s="2"/>
      <c r="H773" s="2"/>
      <c r="I773" s="2"/>
      <c r="J773" s="2"/>
      <c r="K773" s="81"/>
      <c r="L773" s="4"/>
      <c r="M773" s="4"/>
      <c r="N773" s="4"/>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3"/>
      <c r="AP773" s="2"/>
      <c r="AQ773" s="2"/>
      <c r="AR773" s="2"/>
      <c r="AS773" s="2"/>
      <c r="AT773" s="2"/>
      <c r="AU773" s="2"/>
      <c r="AV773" s="2"/>
      <c r="AW773" s="2"/>
      <c r="AX773" s="2"/>
      <c r="AY773" s="2"/>
      <c r="AZ773" s="5"/>
      <c r="BA773" s="2"/>
      <c r="BD773" s="2"/>
      <c r="BE773" s="2"/>
      <c r="BF773" s="2"/>
      <c r="BG773" s="2"/>
      <c r="BH773" s="2"/>
      <c r="BI773" s="2"/>
      <c r="BJ773" s="2"/>
      <c r="BK773" s="2"/>
      <c r="BM773" s="2"/>
      <c r="BN773" s="2"/>
      <c r="BO773" s="2"/>
      <c r="BP773" s="2"/>
      <c r="BQ773" s="2"/>
      <c r="BR773" s="6"/>
      <c r="BS773" s="6"/>
      <c r="BT773" s="2"/>
      <c r="BU773" s="2"/>
      <c r="BV773" s="2"/>
      <c r="BW773" s="2"/>
      <c r="BX773" s="2"/>
      <c r="BY773" s="2"/>
      <c r="BZ773" s="2"/>
      <c r="CA773" s="2"/>
      <c r="CB773" s="2"/>
      <c r="CC773" s="2"/>
      <c r="CD773" s="3"/>
      <c r="CE773" s="2"/>
      <c r="CF773" s="4"/>
      <c r="CG773" s="4"/>
      <c r="CI773" s="2"/>
    </row>
    <row r="774" spans="1:87" s="101" customFormat="1" x14ac:dyDescent="0.35">
      <c r="A774" s="1"/>
      <c r="C774" s="1"/>
      <c r="G774" s="2"/>
      <c r="H774" s="2"/>
      <c r="I774" s="2"/>
      <c r="J774" s="2"/>
      <c r="K774" s="81"/>
      <c r="L774" s="4"/>
      <c r="M774" s="4"/>
      <c r="N774" s="4"/>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3"/>
      <c r="AP774" s="2"/>
      <c r="AQ774" s="2"/>
      <c r="AR774" s="2"/>
      <c r="AS774" s="2"/>
      <c r="AT774" s="2"/>
      <c r="AU774" s="2"/>
      <c r="AV774" s="2"/>
      <c r="AW774" s="2"/>
      <c r="AX774" s="2"/>
      <c r="AY774" s="2"/>
      <c r="AZ774" s="5"/>
      <c r="BA774" s="2"/>
      <c r="BD774" s="2"/>
      <c r="BE774" s="2"/>
      <c r="BF774" s="2"/>
      <c r="BG774" s="2"/>
      <c r="BH774" s="2"/>
      <c r="BI774" s="2"/>
      <c r="BJ774" s="2"/>
      <c r="BK774" s="2"/>
      <c r="BM774" s="2"/>
      <c r="BN774" s="2"/>
      <c r="BO774" s="2"/>
      <c r="BP774" s="2"/>
      <c r="BQ774" s="2"/>
      <c r="BR774" s="6"/>
      <c r="BS774" s="6"/>
      <c r="BT774" s="2"/>
      <c r="BU774" s="2"/>
      <c r="BV774" s="2"/>
      <c r="BW774" s="2"/>
      <c r="BX774" s="2"/>
      <c r="BY774" s="2"/>
      <c r="BZ774" s="2"/>
      <c r="CA774" s="2"/>
      <c r="CB774" s="2"/>
      <c r="CC774" s="2"/>
      <c r="CD774" s="3"/>
      <c r="CE774" s="2"/>
      <c r="CF774" s="4"/>
      <c r="CG774" s="4"/>
      <c r="CI774" s="2"/>
    </row>
    <row r="775" spans="1:87" s="101" customFormat="1" x14ac:dyDescent="0.35">
      <c r="A775" s="1"/>
      <c r="C775" s="1"/>
      <c r="G775" s="2"/>
      <c r="H775" s="2"/>
      <c r="I775" s="2"/>
      <c r="J775" s="2"/>
      <c r="K775" s="81"/>
      <c r="L775" s="4"/>
      <c r="M775" s="4"/>
      <c r="N775" s="4"/>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3"/>
      <c r="AP775" s="2"/>
      <c r="AQ775" s="2"/>
      <c r="AR775" s="2"/>
      <c r="AS775" s="2"/>
      <c r="AT775" s="2"/>
      <c r="AU775" s="2"/>
      <c r="AV775" s="2"/>
      <c r="AW775" s="2"/>
      <c r="AX775" s="2"/>
      <c r="AY775" s="2"/>
      <c r="AZ775" s="5"/>
      <c r="BA775" s="2"/>
      <c r="BD775" s="2"/>
      <c r="BE775" s="2"/>
      <c r="BF775" s="2"/>
      <c r="BG775" s="2"/>
      <c r="BH775" s="2"/>
      <c r="BI775" s="2"/>
      <c r="BJ775" s="2"/>
      <c r="BK775" s="2"/>
      <c r="BM775" s="2"/>
      <c r="BN775" s="2"/>
      <c r="BO775" s="2"/>
      <c r="BP775" s="2"/>
      <c r="BQ775" s="2"/>
      <c r="BR775" s="6"/>
      <c r="BS775" s="6"/>
      <c r="BT775" s="2"/>
      <c r="BU775" s="2"/>
      <c r="BV775" s="2"/>
      <c r="BW775" s="2"/>
      <c r="BX775" s="2"/>
      <c r="BY775" s="2"/>
      <c r="BZ775" s="2"/>
      <c r="CA775" s="2"/>
      <c r="CB775" s="2"/>
      <c r="CC775" s="2"/>
      <c r="CD775" s="3"/>
      <c r="CE775" s="2"/>
      <c r="CF775" s="4"/>
      <c r="CG775" s="4"/>
      <c r="CI775" s="2"/>
    </row>
    <row r="776" spans="1:87" s="101" customFormat="1" x14ac:dyDescent="0.35">
      <c r="A776" s="1"/>
      <c r="C776" s="1"/>
      <c r="G776" s="2"/>
      <c r="H776" s="2"/>
      <c r="I776" s="2"/>
      <c r="J776" s="2"/>
      <c r="K776" s="81"/>
      <c r="L776" s="4"/>
      <c r="M776" s="4"/>
      <c r="N776" s="4"/>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3"/>
      <c r="AP776" s="2"/>
      <c r="AQ776" s="2"/>
      <c r="AR776" s="2"/>
      <c r="AS776" s="2"/>
      <c r="AT776" s="2"/>
      <c r="AU776" s="2"/>
      <c r="AV776" s="2"/>
      <c r="AW776" s="2"/>
      <c r="AX776" s="2"/>
      <c r="AY776" s="2"/>
      <c r="AZ776" s="5"/>
      <c r="BA776" s="2"/>
      <c r="BD776" s="2"/>
      <c r="BE776" s="2"/>
      <c r="BF776" s="2"/>
      <c r="BG776" s="2"/>
      <c r="BH776" s="2"/>
      <c r="BI776" s="2"/>
      <c r="BJ776" s="2"/>
      <c r="BK776" s="2"/>
      <c r="BM776" s="2"/>
      <c r="BN776" s="2"/>
      <c r="BO776" s="2"/>
      <c r="BP776" s="2"/>
      <c r="BQ776" s="2"/>
      <c r="BR776" s="6"/>
      <c r="BS776" s="6"/>
      <c r="BT776" s="2"/>
      <c r="BU776" s="2"/>
      <c r="BV776" s="2"/>
      <c r="BW776" s="2"/>
      <c r="BX776" s="2"/>
      <c r="BY776" s="2"/>
      <c r="BZ776" s="2"/>
      <c r="CA776" s="2"/>
      <c r="CB776" s="2"/>
      <c r="CC776" s="2"/>
      <c r="CD776" s="3"/>
      <c r="CE776" s="2"/>
      <c r="CF776" s="4"/>
      <c r="CG776" s="4"/>
      <c r="CI776" s="2"/>
    </row>
    <row r="777" spans="1:87" s="101" customFormat="1" x14ac:dyDescent="0.35">
      <c r="A777" s="1"/>
      <c r="C777" s="1"/>
      <c r="G777" s="2"/>
      <c r="H777" s="2"/>
      <c r="I777" s="2"/>
      <c r="J777" s="2"/>
      <c r="K777" s="81"/>
      <c r="L777" s="4"/>
      <c r="M777" s="4"/>
      <c r="N777" s="4"/>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3"/>
      <c r="AP777" s="2"/>
      <c r="AQ777" s="2"/>
      <c r="AR777" s="2"/>
      <c r="AS777" s="2"/>
      <c r="AT777" s="2"/>
      <c r="AU777" s="2"/>
      <c r="AV777" s="2"/>
      <c r="AW777" s="2"/>
      <c r="AX777" s="2"/>
      <c r="AY777" s="2"/>
      <c r="AZ777" s="5"/>
      <c r="BA777" s="2"/>
      <c r="BD777" s="2"/>
      <c r="BE777" s="2"/>
      <c r="BF777" s="2"/>
      <c r="BG777" s="2"/>
      <c r="BH777" s="2"/>
      <c r="BI777" s="2"/>
      <c r="BJ777" s="2"/>
      <c r="BK777" s="2"/>
      <c r="BM777" s="2"/>
      <c r="BN777" s="2"/>
      <c r="BO777" s="2"/>
      <c r="BP777" s="2"/>
      <c r="BQ777" s="2"/>
      <c r="BR777" s="6"/>
      <c r="BS777" s="6"/>
      <c r="BT777" s="2"/>
      <c r="BU777" s="2"/>
      <c r="BV777" s="2"/>
      <c r="BW777" s="2"/>
      <c r="BX777" s="2"/>
      <c r="BY777" s="2"/>
      <c r="BZ777" s="2"/>
      <c r="CA777" s="2"/>
      <c r="CB777" s="2"/>
      <c r="CC777" s="2"/>
      <c r="CD777" s="3"/>
      <c r="CE777" s="2"/>
      <c r="CF777" s="4"/>
      <c r="CG777" s="4"/>
      <c r="CI777" s="2"/>
    </row>
    <row r="778" spans="1:87" s="101" customFormat="1" x14ac:dyDescent="0.35">
      <c r="A778" s="1"/>
      <c r="C778" s="1"/>
      <c r="G778" s="2"/>
      <c r="H778" s="2"/>
      <c r="I778" s="2"/>
      <c r="J778" s="2"/>
      <c r="K778" s="81"/>
      <c r="L778" s="4"/>
      <c r="M778" s="4"/>
      <c r="N778" s="4"/>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3"/>
      <c r="AP778" s="2"/>
      <c r="AQ778" s="2"/>
      <c r="AR778" s="2"/>
      <c r="AS778" s="2"/>
      <c r="AT778" s="2"/>
      <c r="AU778" s="2"/>
      <c r="AV778" s="2"/>
      <c r="AW778" s="2"/>
      <c r="AX778" s="2"/>
      <c r="AY778" s="2"/>
      <c r="AZ778" s="5"/>
      <c r="BA778" s="2"/>
      <c r="BD778" s="2"/>
      <c r="BE778" s="2"/>
      <c r="BF778" s="2"/>
      <c r="BG778" s="2"/>
      <c r="BH778" s="2"/>
      <c r="BI778" s="2"/>
      <c r="BJ778" s="2"/>
      <c r="BK778" s="2"/>
      <c r="BM778" s="2"/>
      <c r="BN778" s="2"/>
      <c r="BO778" s="2"/>
      <c r="BP778" s="2"/>
      <c r="BQ778" s="2"/>
      <c r="BR778" s="6"/>
      <c r="BS778" s="6"/>
      <c r="BT778" s="2"/>
      <c r="BU778" s="2"/>
      <c r="BV778" s="2"/>
      <c r="BW778" s="2"/>
      <c r="BX778" s="2"/>
      <c r="BY778" s="2"/>
      <c r="BZ778" s="2"/>
      <c r="CA778" s="2"/>
      <c r="CB778" s="2"/>
      <c r="CC778" s="2"/>
      <c r="CD778" s="3"/>
      <c r="CE778" s="2"/>
      <c r="CF778" s="4"/>
      <c r="CG778" s="4"/>
      <c r="CI778" s="2"/>
    </row>
    <row r="779" spans="1:87" s="101" customFormat="1" x14ac:dyDescent="0.35">
      <c r="A779" s="1"/>
      <c r="C779" s="1"/>
      <c r="G779" s="2"/>
      <c r="H779" s="2"/>
      <c r="I779" s="2"/>
      <c r="J779" s="2"/>
      <c r="K779" s="81"/>
      <c r="L779" s="4"/>
      <c r="M779" s="4"/>
      <c r="N779" s="4"/>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3"/>
      <c r="AP779" s="2"/>
      <c r="AQ779" s="2"/>
      <c r="AR779" s="2"/>
      <c r="AS779" s="2"/>
      <c r="AT779" s="2"/>
      <c r="AU779" s="2"/>
      <c r="AV779" s="2"/>
      <c r="AW779" s="2"/>
      <c r="AX779" s="2"/>
      <c r="AY779" s="2"/>
      <c r="AZ779" s="5"/>
      <c r="BA779" s="2"/>
      <c r="BD779" s="2"/>
      <c r="BE779" s="2"/>
      <c r="BF779" s="2"/>
      <c r="BG779" s="2"/>
      <c r="BH779" s="2"/>
      <c r="BI779" s="2"/>
      <c r="BJ779" s="2"/>
      <c r="BK779" s="2"/>
      <c r="BM779" s="2"/>
      <c r="BN779" s="2"/>
      <c r="BO779" s="2"/>
      <c r="BP779" s="2"/>
      <c r="BQ779" s="2"/>
      <c r="BR779" s="6"/>
      <c r="BS779" s="6"/>
      <c r="BT779" s="2"/>
      <c r="BU779" s="2"/>
      <c r="BV779" s="2"/>
      <c r="BW779" s="2"/>
      <c r="BX779" s="2"/>
      <c r="BY779" s="2"/>
      <c r="BZ779" s="2"/>
      <c r="CA779" s="2"/>
      <c r="CB779" s="2"/>
      <c r="CC779" s="2"/>
      <c r="CD779" s="3"/>
      <c r="CE779" s="2"/>
      <c r="CF779" s="4"/>
      <c r="CG779" s="4"/>
      <c r="CI779" s="2"/>
    </row>
    <row r="780" spans="1:87" s="101" customFormat="1" x14ac:dyDescent="0.35">
      <c r="A780" s="1"/>
      <c r="C780" s="1"/>
      <c r="G780" s="2"/>
      <c r="H780" s="2"/>
      <c r="I780" s="2"/>
      <c r="J780" s="2"/>
      <c r="K780" s="81"/>
      <c r="L780" s="4"/>
      <c r="M780" s="4"/>
      <c r="N780" s="4"/>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3"/>
      <c r="AP780" s="2"/>
      <c r="AQ780" s="2"/>
      <c r="AR780" s="2"/>
      <c r="AS780" s="2"/>
      <c r="AT780" s="2"/>
      <c r="AU780" s="2"/>
      <c r="AV780" s="2"/>
      <c r="AW780" s="2"/>
      <c r="AX780" s="2"/>
      <c r="AY780" s="2"/>
      <c r="AZ780" s="5"/>
      <c r="BA780" s="2"/>
      <c r="BD780" s="2"/>
      <c r="BE780" s="2"/>
      <c r="BF780" s="2"/>
      <c r="BG780" s="2"/>
      <c r="BH780" s="2"/>
      <c r="BI780" s="2"/>
      <c r="BJ780" s="2"/>
      <c r="BK780" s="2"/>
      <c r="BM780" s="2"/>
      <c r="BN780" s="2"/>
      <c r="BO780" s="2"/>
      <c r="BP780" s="2"/>
      <c r="BQ780" s="2"/>
      <c r="BR780" s="6"/>
      <c r="BS780" s="6"/>
      <c r="BT780" s="2"/>
      <c r="BU780" s="2"/>
      <c r="BV780" s="2"/>
      <c r="BW780" s="2"/>
      <c r="BX780" s="2"/>
      <c r="BY780" s="2"/>
      <c r="BZ780" s="2"/>
      <c r="CA780" s="2"/>
      <c r="CB780" s="2"/>
      <c r="CC780" s="2"/>
      <c r="CD780" s="3"/>
      <c r="CE780" s="2"/>
      <c r="CF780" s="4"/>
      <c r="CG780" s="4"/>
      <c r="CI780" s="2"/>
    </row>
    <row r="781" spans="1:87" s="101" customFormat="1" x14ac:dyDescent="0.35">
      <c r="A781" s="1"/>
      <c r="C781" s="1"/>
      <c r="G781" s="2"/>
      <c r="H781" s="2"/>
      <c r="I781" s="2"/>
      <c r="J781" s="2"/>
      <c r="K781" s="81"/>
      <c r="L781" s="4"/>
      <c r="M781" s="4"/>
      <c r="N781" s="4"/>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3"/>
      <c r="AP781" s="2"/>
      <c r="AQ781" s="2"/>
      <c r="AR781" s="2"/>
      <c r="AS781" s="2"/>
      <c r="AT781" s="2"/>
      <c r="AU781" s="2"/>
      <c r="AV781" s="2"/>
      <c r="AW781" s="2"/>
      <c r="AX781" s="2"/>
      <c r="AY781" s="2"/>
      <c r="AZ781" s="5"/>
      <c r="BA781" s="2"/>
      <c r="BD781" s="2"/>
      <c r="BE781" s="2"/>
      <c r="BF781" s="2"/>
      <c r="BG781" s="2"/>
      <c r="BH781" s="2"/>
      <c r="BI781" s="2"/>
      <c r="BJ781" s="2"/>
      <c r="BK781" s="2"/>
      <c r="BM781" s="2"/>
      <c r="BN781" s="2"/>
      <c r="BO781" s="2"/>
      <c r="BP781" s="2"/>
      <c r="BQ781" s="2"/>
      <c r="BR781" s="6"/>
      <c r="BS781" s="6"/>
      <c r="BT781" s="2"/>
      <c r="BU781" s="2"/>
      <c r="BV781" s="2"/>
      <c r="BW781" s="2"/>
      <c r="BX781" s="2"/>
      <c r="BY781" s="2"/>
      <c r="BZ781" s="2"/>
      <c r="CA781" s="2"/>
      <c r="CB781" s="2"/>
      <c r="CC781" s="2"/>
      <c r="CD781" s="3"/>
      <c r="CE781" s="2"/>
      <c r="CF781" s="4"/>
      <c r="CG781" s="4"/>
      <c r="CI781" s="2"/>
    </row>
    <row r="782" spans="1:87" s="101" customFormat="1" x14ac:dyDescent="0.35">
      <c r="A782" s="1"/>
      <c r="C782" s="1"/>
      <c r="G782" s="2"/>
      <c r="H782" s="2"/>
      <c r="I782" s="2"/>
      <c r="J782" s="2"/>
      <c r="K782" s="81"/>
      <c r="L782" s="4"/>
      <c r="M782" s="4"/>
      <c r="N782" s="4"/>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3"/>
      <c r="AP782" s="2"/>
      <c r="AQ782" s="2"/>
      <c r="AR782" s="2"/>
      <c r="AS782" s="2"/>
      <c r="AT782" s="2"/>
      <c r="AU782" s="2"/>
      <c r="AV782" s="2"/>
      <c r="AW782" s="2"/>
      <c r="AX782" s="2"/>
      <c r="AY782" s="2"/>
      <c r="AZ782" s="5"/>
      <c r="BA782" s="2"/>
      <c r="BD782" s="2"/>
      <c r="BE782" s="2"/>
      <c r="BF782" s="2"/>
      <c r="BG782" s="2"/>
      <c r="BH782" s="2"/>
      <c r="BI782" s="2"/>
      <c r="BJ782" s="2"/>
      <c r="BK782" s="2"/>
      <c r="BM782" s="2"/>
      <c r="BN782" s="2"/>
      <c r="BO782" s="2"/>
      <c r="BP782" s="2"/>
      <c r="BQ782" s="2"/>
      <c r="BR782" s="6"/>
      <c r="BS782" s="6"/>
      <c r="BT782" s="2"/>
      <c r="BU782" s="2"/>
      <c r="BV782" s="2"/>
      <c r="BW782" s="2"/>
      <c r="BX782" s="2"/>
      <c r="BY782" s="2"/>
      <c r="BZ782" s="2"/>
      <c r="CA782" s="2"/>
      <c r="CB782" s="2"/>
      <c r="CC782" s="2"/>
      <c r="CD782" s="3"/>
      <c r="CE782" s="2"/>
      <c r="CF782" s="4"/>
      <c r="CG782" s="4"/>
      <c r="CI782" s="2"/>
    </row>
    <row r="783" spans="1:87" s="101" customFormat="1" x14ac:dyDescent="0.35">
      <c r="A783" s="1"/>
      <c r="C783" s="1"/>
      <c r="G783" s="2"/>
      <c r="H783" s="2"/>
      <c r="I783" s="2"/>
      <c r="J783" s="2"/>
      <c r="K783" s="81"/>
      <c r="L783" s="4"/>
      <c r="M783" s="4"/>
      <c r="N783" s="4"/>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3"/>
      <c r="AP783" s="2"/>
      <c r="AQ783" s="2"/>
      <c r="AR783" s="2"/>
      <c r="AS783" s="2"/>
      <c r="AT783" s="2"/>
      <c r="AU783" s="2"/>
      <c r="AV783" s="2"/>
      <c r="AW783" s="2"/>
      <c r="AX783" s="2"/>
      <c r="AY783" s="2"/>
      <c r="AZ783" s="5"/>
      <c r="BA783" s="2"/>
      <c r="BD783" s="2"/>
      <c r="BE783" s="2"/>
      <c r="BF783" s="2"/>
      <c r="BG783" s="2"/>
      <c r="BH783" s="2"/>
      <c r="BI783" s="2"/>
      <c r="BJ783" s="2"/>
      <c r="BK783" s="2"/>
      <c r="BM783" s="2"/>
      <c r="BN783" s="2"/>
      <c r="BO783" s="2"/>
      <c r="BP783" s="2"/>
      <c r="BQ783" s="2"/>
      <c r="BR783" s="6"/>
      <c r="BS783" s="6"/>
      <c r="BT783" s="2"/>
      <c r="BU783" s="2"/>
      <c r="BV783" s="2"/>
      <c r="BW783" s="2"/>
      <c r="BX783" s="2"/>
      <c r="BY783" s="2"/>
      <c r="BZ783" s="2"/>
      <c r="CA783" s="2"/>
      <c r="CB783" s="2"/>
      <c r="CC783" s="2"/>
      <c r="CD783" s="3"/>
      <c r="CE783" s="2"/>
      <c r="CF783" s="4"/>
      <c r="CG783" s="4"/>
      <c r="CI783" s="2"/>
    </row>
    <row r="784" spans="1:87" s="101" customFormat="1" x14ac:dyDescent="0.35">
      <c r="A784" s="1"/>
      <c r="C784" s="1"/>
      <c r="G784" s="2"/>
      <c r="H784" s="2"/>
      <c r="I784" s="2"/>
      <c r="J784" s="2"/>
      <c r="K784" s="81"/>
      <c r="L784" s="4"/>
      <c r="M784" s="4"/>
      <c r="N784" s="4"/>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3"/>
      <c r="AP784" s="2"/>
      <c r="AQ784" s="2"/>
      <c r="AR784" s="2"/>
      <c r="AS784" s="2"/>
      <c r="AT784" s="2"/>
      <c r="AU784" s="2"/>
      <c r="AV784" s="2"/>
      <c r="AW784" s="2"/>
      <c r="AX784" s="2"/>
      <c r="AY784" s="2"/>
      <c r="AZ784" s="5"/>
      <c r="BA784" s="2"/>
      <c r="BD784" s="2"/>
      <c r="BE784" s="2"/>
      <c r="BF784" s="2"/>
      <c r="BG784" s="2"/>
      <c r="BH784" s="2"/>
      <c r="BI784" s="2"/>
      <c r="BJ784" s="2"/>
      <c r="BK784" s="2"/>
      <c r="BM784" s="2"/>
      <c r="BN784" s="2"/>
      <c r="BO784" s="2"/>
      <c r="BP784" s="2"/>
      <c r="BQ784" s="2"/>
      <c r="BR784" s="6"/>
      <c r="BS784" s="6"/>
      <c r="BT784" s="2"/>
      <c r="BU784" s="2"/>
      <c r="BV784" s="2"/>
      <c r="BW784" s="2"/>
      <c r="BX784" s="2"/>
      <c r="BY784" s="2"/>
      <c r="BZ784" s="2"/>
      <c r="CA784" s="2"/>
      <c r="CB784" s="2"/>
      <c r="CC784" s="2"/>
      <c r="CD784" s="3"/>
      <c r="CE784" s="2"/>
      <c r="CF784" s="4"/>
      <c r="CG784" s="4"/>
      <c r="CI784" s="2"/>
    </row>
    <row r="785" spans="1:87" s="101" customFormat="1" x14ac:dyDescent="0.35">
      <c r="A785" s="1"/>
      <c r="C785" s="1"/>
      <c r="G785" s="2"/>
      <c r="H785" s="2"/>
      <c r="I785" s="2"/>
      <c r="J785" s="2"/>
      <c r="K785" s="81"/>
      <c r="L785" s="4"/>
      <c r="M785" s="4"/>
      <c r="N785" s="4"/>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3"/>
      <c r="AP785" s="2"/>
      <c r="AQ785" s="2"/>
      <c r="AR785" s="2"/>
      <c r="AS785" s="2"/>
      <c r="AT785" s="2"/>
      <c r="AU785" s="2"/>
      <c r="AV785" s="2"/>
      <c r="AW785" s="2"/>
      <c r="AX785" s="2"/>
      <c r="AY785" s="2"/>
      <c r="AZ785" s="5"/>
      <c r="BA785" s="2"/>
      <c r="BD785" s="2"/>
      <c r="BE785" s="2"/>
      <c r="BF785" s="2"/>
      <c r="BG785" s="2"/>
      <c r="BH785" s="2"/>
      <c r="BI785" s="2"/>
      <c r="BJ785" s="2"/>
      <c r="BK785" s="2"/>
      <c r="BM785" s="2"/>
      <c r="BN785" s="2"/>
      <c r="BO785" s="2"/>
      <c r="BP785" s="2"/>
      <c r="BQ785" s="2"/>
      <c r="BR785" s="6"/>
      <c r="BS785" s="6"/>
      <c r="BT785" s="2"/>
      <c r="BU785" s="2"/>
      <c r="BV785" s="2"/>
      <c r="BW785" s="2"/>
      <c r="BX785" s="2"/>
      <c r="BY785" s="2"/>
      <c r="BZ785" s="2"/>
      <c r="CA785" s="2"/>
      <c r="CB785" s="2"/>
      <c r="CC785" s="2"/>
      <c r="CD785" s="3"/>
      <c r="CE785" s="2"/>
      <c r="CF785" s="4"/>
      <c r="CG785" s="4"/>
      <c r="CI785" s="2"/>
    </row>
    <row r="786" spans="1:87" s="101" customFormat="1" x14ac:dyDescent="0.35">
      <c r="A786" s="1"/>
      <c r="C786" s="1"/>
      <c r="G786" s="2"/>
      <c r="H786" s="2"/>
      <c r="I786" s="2"/>
      <c r="J786" s="2"/>
      <c r="K786" s="81"/>
      <c r="L786" s="4"/>
      <c r="M786" s="4"/>
      <c r="N786" s="4"/>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3"/>
      <c r="AP786" s="2"/>
      <c r="AQ786" s="2"/>
      <c r="AR786" s="2"/>
      <c r="AS786" s="2"/>
      <c r="AT786" s="2"/>
      <c r="AU786" s="2"/>
      <c r="AV786" s="2"/>
      <c r="AW786" s="2"/>
      <c r="AX786" s="2"/>
      <c r="AY786" s="2"/>
      <c r="AZ786" s="5"/>
      <c r="BA786" s="2"/>
      <c r="BD786" s="2"/>
      <c r="BE786" s="2"/>
      <c r="BF786" s="2"/>
      <c r="BG786" s="2"/>
      <c r="BH786" s="2"/>
      <c r="BI786" s="2"/>
      <c r="BJ786" s="2"/>
      <c r="BK786" s="2"/>
      <c r="BM786" s="2"/>
      <c r="BN786" s="2"/>
      <c r="BO786" s="2"/>
      <c r="BP786" s="2"/>
      <c r="BQ786" s="2"/>
      <c r="BR786" s="6"/>
      <c r="BS786" s="6"/>
      <c r="BT786" s="2"/>
      <c r="BU786" s="2"/>
      <c r="BV786" s="2"/>
      <c r="BW786" s="2"/>
      <c r="BX786" s="2"/>
      <c r="BY786" s="2"/>
      <c r="BZ786" s="2"/>
      <c r="CA786" s="2"/>
      <c r="CB786" s="2"/>
      <c r="CC786" s="2"/>
      <c r="CD786" s="3"/>
      <c r="CE786" s="2"/>
      <c r="CF786" s="4"/>
      <c r="CG786" s="4"/>
      <c r="CI786" s="2"/>
    </row>
    <row r="787" spans="1:87" s="101" customFormat="1" x14ac:dyDescent="0.35">
      <c r="A787" s="1"/>
      <c r="C787" s="1"/>
      <c r="G787" s="2"/>
      <c r="H787" s="2"/>
      <c r="I787" s="2"/>
      <c r="J787" s="2"/>
      <c r="K787" s="81"/>
      <c r="L787" s="4"/>
      <c r="M787" s="4"/>
      <c r="N787" s="4"/>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3"/>
      <c r="AP787" s="2"/>
      <c r="AQ787" s="2"/>
      <c r="AR787" s="2"/>
      <c r="AS787" s="2"/>
      <c r="AT787" s="2"/>
      <c r="AU787" s="2"/>
      <c r="AV787" s="2"/>
      <c r="AW787" s="2"/>
      <c r="AX787" s="2"/>
      <c r="AY787" s="2"/>
      <c r="AZ787" s="5"/>
      <c r="BA787" s="2"/>
      <c r="BD787" s="2"/>
      <c r="BE787" s="2"/>
      <c r="BF787" s="2"/>
      <c r="BG787" s="2"/>
      <c r="BH787" s="2"/>
      <c r="BI787" s="2"/>
      <c r="BJ787" s="2"/>
      <c r="BK787" s="2"/>
      <c r="BM787" s="2"/>
      <c r="BN787" s="2"/>
      <c r="BO787" s="2"/>
      <c r="BP787" s="2"/>
      <c r="BQ787" s="2"/>
      <c r="BR787" s="6"/>
      <c r="BS787" s="6"/>
      <c r="BT787" s="2"/>
      <c r="BU787" s="2"/>
      <c r="BV787" s="2"/>
      <c r="BW787" s="2"/>
      <c r="BX787" s="2"/>
      <c r="BY787" s="2"/>
      <c r="BZ787" s="2"/>
      <c r="CA787" s="2"/>
      <c r="CB787" s="2"/>
      <c r="CC787" s="2"/>
      <c r="CD787" s="3"/>
      <c r="CE787" s="2"/>
      <c r="CF787" s="4"/>
      <c r="CG787" s="4"/>
      <c r="CI787" s="2"/>
    </row>
    <row r="788" spans="1:87" s="101" customFormat="1" x14ac:dyDescent="0.35">
      <c r="A788" s="1"/>
      <c r="C788" s="1"/>
      <c r="G788" s="2"/>
      <c r="H788" s="2"/>
      <c r="I788" s="2"/>
      <c r="J788" s="2"/>
      <c r="K788" s="81"/>
      <c r="L788" s="4"/>
      <c r="M788" s="4"/>
      <c r="N788" s="4"/>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3"/>
      <c r="AP788" s="2"/>
      <c r="AQ788" s="2"/>
      <c r="AR788" s="2"/>
      <c r="AS788" s="2"/>
      <c r="AT788" s="2"/>
      <c r="AU788" s="2"/>
      <c r="AV788" s="2"/>
      <c r="AW788" s="2"/>
      <c r="AX788" s="2"/>
      <c r="AY788" s="2"/>
      <c r="AZ788" s="5"/>
      <c r="BA788" s="2"/>
      <c r="BD788" s="2"/>
      <c r="BE788" s="2"/>
      <c r="BF788" s="2"/>
      <c r="BG788" s="2"/>
      <c r="BH788" s="2"/>
      <c r="BI788" s="2"/>
      <c r="BJ788" s="2"/>
      <c r="BK788" s="2"/>
      <c r="BM788" s="2"/>
      <c r="BN788" s="2"/>
      <c r="BO788" s="2"/>
      <c r="BP788" s="2"/>
      <c r="BQ788" s="2"/>
      <c r="BR788" s="6"/>
      <c r="BS788" s="6"/>
      <c r="BT788" s="2"/>
      <c r="BU788" s="2"/>
      <c r="BV788" s="2"/>
      <c r="BW788" s="2"/>
      <c r="BX788" s="2"/>
      <c r="BY788" s="2"/>
      <c r="BZ788" s="2"/>
      <c r="CA788" s="2"/>
      <c r="CB788" s="2"/>
      <c r="CC788" s="2"/>
      <c r="CD788" s="3"/>
      <c r="CE788" s="2"/>
      <c r="CF788" s="4"/>
      <c r="CG788" s="4"/>
      <c r="CI788" s="2"/>
    </row>
    <row r="789" spans="1:87" s="101" customFormat="1" x14ac:dyDescent="0.35">
      <c r="A789" s="1"/>
      <c r="C789" s="1"/>
      <c r="G789" s="2"/>
      <c r="H789" s="2"/>
      <c r="I789" s="2"/>
      <c r="J789" s="2"/>
      <c r="K789" s="81"/>
      <c r="L789" s="4"/>
      <c r="M789" s="4"/>
      <c r="N789" s="4"/>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3"/>
      <c r="AP789" s="2"/>
      <c r="AQ789" s="2"/>
      <c r="AR789" s="2"/>
      <c r="AS789" s="2"/>
      <c r="AT789" s="2"/>
      <c r="AU789" s="2"/>
      <c r="AV789" s="2"/>
      <c r="AW789" s="2"/>
      <c r="AX789" s="2"/>
      <c r="AY789" s="2"/>
      <c r="AZ789" s="5"/>
      <c r="BA789" s="2"/>
      <c r="BD789" s="2"/>
      <c r="BE789" s="2"/>
      <c r="BF789" s="2"/>
      <c r="BG789" s="2"/>
      <c r="BH789" s="2"/>
      <c r="BI789" s="2"/>
      <c r="BJ789" s="2"/>
      <c r="BK789" s="2"/>
      <c r="BM789" s="2"/>
      <c r="BN789" s="2"/>
      <c r="BO789" s="2"/>
      <c r="BP789" s="2"/>
      <c r="BQ789" s="2"/>
      <c r="BR789" s="6"/>
      <c r="BS789" s="6"/>
      <c r="BT789" s="2"/>
      <c r="BU789" s="2"/>
      <c r="BV789" s="2"/>
      <c r="BW789" s="2"/>
      <c r="BX789" s="2"/>
      <c r="BY789" s="2"/>
      <c r="BZ789" s="2"/>
      <c r="CA789" s="2"/>
      <c r="CB789" s="2"/>
      <c r="CC789" s="2"/>
      <c r="CD789" s="3"/>
      <c r="CE789" s="2"/>
      <c r="CF789" s="4"/>
      <c r="CG789" s="4"/>
      <c r="CI789" s="2"/>
    </row>
    <row r="790" spans="1:87" s="101" customFormat="1" x14ac:dyDescent="0.35">
      <c r="A790" s="1"/>
      <c r="C790" s="1"/>
      <c r="G790" s="2"/>
      <c r="H790" s="2"/>
      <c r="I790" s="2"/>
      <c r="J790" s="2"/>
      <c r="K790" s="81"/>
      <c r="L790" s="4"/>
      <c r="M790" s="4"/>
      <c r="N790" s="4"/>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3"/>
      <c r="AP790" s="2"/>
      <c r="AQ790" s="2"/>
      <c r="AR790" s="2"/>
      <c r="AS790" s="2"/>
      <c r="AT790" s="2"/>
      <c r="AU790" s="2"/>
      <c r="AV790" s="2"/>
      <c r="AW790" s="2"/>
      <c r="AX790" s="2"/>
      <c r="AY790" s="2"/>
      <c r="AZ790" s="5"/>
      <c r="BA790" s="2"/>
      <c r="BD790" s="2"/>
      <c r="BE790" s="2"/>
      <c r="BF790" s="2"/>
      <c r="BG790" s="2"/>
      <c r="BH790" s="2"/>
      <c r="BI790" s="2"/>
      <c r="BJ790" s="2"/>
      <c r="BK790" s="2"/>
      <c r="BM790" s="2"/>
      <c r="BN790" s="2"/>
      <c r="BO790" s="2"/>
      <c r="BP790" s="2"/>
      <c r="BQ790" s="2"/>
      <c r="BR790" s="6"/>
      <c r="BS790" s="6"/>
      <c r="BT790" s="2"/>
      <c r="BU790" s="2"/>
      <c r="BV790" s="2"/>
      <c r="BW790" s="2"/>
      <c r="BX790" s="2"/>
      <c r="BY790" s="2"/>
      <c r="BZ790" s="2"/>
      <c r="CA790" s="2"/>
      <c r="CB790" s="2"/>
      <c r="CC790" s="2"/>
      <c r="CD790" s="3"/>
      <c r="CE790" s="2"/>
      <c r="CF790" s="4"/>
      <c r="CG790" s="4"/>
      <c r="CI790" s="2"/>
    </row>
    <row r="791" spans="1:87" s="101" customFormat="1" x14ac:dyDescent="0.35">
      <c r="A791" s="1"/>
      <c r="C791" s="1"/>
      <c r="G791" s="2"/>
      <c r="H791" s="2"/>
      <c r="I791" s="2"/>
      <c r="J791" s="2"/>
      <c r="K791" s="81"/>
      <c r="L791" s="4"/>
      <c r="M791" s="4"/>
      <c r="N791" s="4"/>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3"/>
      <c r="AP791" s="2"/>
      <c r="AQ791" s="2"/>
      <c r="AR791" s="2"/>
      <c r="AS791" s="2"/>
      <c r="AT791" s="2"/>
      <c r="AU791" s="2"/>
      <c r="AV791" s="2"/>
      <c r="AW791" s="2"/>
      <c r="AX791" s="2"/>
      <c r="AY791" s="2"/>
      <c r="AZ791" s="5"/>
      <c r="BA791" s="2"/>
      <c r="BD791" s="2"/>
      <c r="BE791" s="2"/>
      <c r="BF791" s="2"/>
      <c r="BG791" s="2"/>
      <c r="BH791" s="2"/>
      <c r="BI791" s="2"/>
      <c r="BJ791" s="2"/>
      <c r="BK791" s="2"/>
      <c r="BM791" s="2"/>
      <c r="BN791" s="2"/>
      <c r="BO791" s="2"/>
      <c r="BP791" s="2"/>
      <c r="BQ791" s="2"/>
      <c r="BR791" s="6"/>
      <c r="BS791" s="6"/>
      <c r="BT791" s="2"/>
      <c r="BU791" s="2"/>
      <c r="BV791" s="2"/>
      <c r="BW791" s="2"/>
      <c r="BX791" s="2"/>
      <c r="BY791" s="2"/>
      <c r="BZ791" s="2"/>
      <c r="CA791" s="2"/>
      <c r="CB791" s="2"/>
      <c r="CC791" s="2"/>
      <c r="CD791" s="3"/>
      <c r="CE791" s="2"/>
      <c r="CF791" s="4"/>
      <c r="CG791" s="4"/>
      <c r="CI791" s="2"/>
    </row>
    <row r="792" spans="1:87" s="101" customFormat="1" x14ac:dyDescent="0.35">
      <c r="A792" s="1"/>
      <c r="C792" s="1"/>
      <c r="G792" s="2"/>
      <c r="H792" s="2"/>
      <c r="I792" s="2"/>
      <c r="J792" s="2"/>
      <c r="K792" s="81"/>
      <c r="L792" s="4"/>
      <c r="M792" s="4"/>
      <c r="N792" s="4"/>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3"/>
      <c r="AP792" s="2"/>
      <c r="AQ792" s="2"/>
      <c r="AR792" s="2"/>
      <c r="AS792" s="2"/>
      <c r="AT792" s="2"/>
      <c r="AU792" s="2"/>
      <c r="AV792" s="2"/>
      <c r="AW792" s="2"/>
      <c r="AX792" s="2"/>
      <c r="AY792" s="2"/>
      <c r="AZ792" s="5"/>
      <c r="BA792" s="2"/>
      <c r="BD792" s="2"/>
      <c r="BE792" s="2"/>
      <c r="BF792" s="2"/>
      <c r="BG792" s="2"/>
      <c r="BH792" s="2"/>
      <c r="BI792" s="2"/>
      <c r="BJ792" s="2"/>
      <c r="BK792" s="2"/>
      <c r="BM792" s="2"/>
      <c r="BN792" s="2"/>
      <c r="BO792" s="2"/>
      <c r="BP792" s="2"/>
      <c r="BQ792" s="2"/>
      <c r="BR792" s="6"/>
      <c r="BS792" s="6"/>
      <c r="BT792" s="2"/>
      <c r="BU792" s="2"/>
      <c r="BV792" s="2"/>
      <c r="BW792" s="2"/>
      <c r="BX792" s="2"/>
      <c r="BY792" s="2"/>
      <c r="BZ792" s="2"/>
      <c r="CA792" s="2"/>
      <c r="CB792" s="2"/>
      <c r="CC792" s="2"/>
      <c r="CD792" s="3"/>
      <c r="CE792" s="2"/>
      <c r="CF792" s="4"/>
      <c r="CG792" s="4"/>
      <c r="CI792" s="2"/>
    </row>
    <row r="793" spans="1:87" s="101" customFormat="1" x14ac:dyDescent="0.35">
      <c r="A793" s="1"/>
      <c r="C793" s="1"/>
      <c r="G793" s="2"/>
      <c r="H793" s="2"/>
      <c r="I793" s="2"/>
      <c r="J793" s="2"/>
      <c r="K793" s="81"/>
      <c r="L793" s="4"/>
      <c r="M793" s="4"/>
      <c r="N793" s="4"/>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3"/>
      <c r="AP793" s="2"/>
      <c r="AQ793" s="2"/>
      <c r="AR793" s="2"/>
      <c r="AS793" s="2"/>
      <c r="AT793" s="2"/>
      <c r="AU793" s="2"/>
      <c r="AV793" s="2"/>
      <c r="AW793" s="2"/>
      <c r="AX793" s="2"/>
      <c r="AY793" s="2"/>
      <c r="AZ793" s="5"/>
      <c r="BA793" s="2"/>
      <c r="BD793" s="2"/>
      <c r="BE793" s="2"/>
      <c r="BF793" s="2"/>
      <c r="BG793" s="2"/>
      <c r="BH793" s="2"/>
      <c r="BI793" s="2"/>
      <c r="BJ793" s="2"/>
      <c r="BK793" s="2"/>
      <c r="BM793" s="2"/>
      <c r="BN793" s="2"/>
      <c r="BO793" s="2"/>
      <c r="BP793" s="2"/>
      <c r="BQ793" s="2"/>
      <c r="BR793" s="6"/>
      <c r="BS793" s="6"/>
      <c r="BT793" s="2"/>
      <c r="BU793" s="2"/>
      <c r="BV793" s="2"/>
      <c r="BW793" s="2"/>
      <c r="BX793" s="2"/>
      <c r="BY793" s="2"/>
      <c r="BZ793" s="2"/>
      <c r="CA793" s="2"/>
      <c r="CB793" s="2"/>
      <c r="CC793" s="2"/>
      <c r="CD793" s="3"/>
      <c r="CE793" s="2"/>
      <c r="CF793" s="4"/>
      <c r="CG793" s="4"/>
      <c r="CI793" s="2"/>
    </row>
    <row r="794" spans="1:87" s="101" customFormat="1" x14ac:dyDescent="0.35">
      <c r="A794" s="1"/>
      <c r="C794" s="1"/>
      <c r="G794" s="2"/>
      <c r="H794" s="2"/>
      <c r="I794" s="2"/>
      <c r="J794" s="2"/>
      <c r="K794" s="81"/>
      <c r="L794" s="4"/>
      <c r="M794" s="4"/>
      <c r="N794" s="4"/>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3"/>
      <c r="AP794" s="2"/>
      <c r="AQ794" s="2"/>
      <c r="AR794" s="2"/>
      <c r="AS794" s="2"/>
      <c r="AT794" s="2"/>
      <c r="AU794" s="2"/>
      <c r="AV794" s="2"/>
      <c r="AW794" s="2"/>
      <c r="AX794" s="2"/>
      <c r="AY794" s="2"/>
      <c r="AZ794" s="5"/>
      <c r="BA794" s="2"/>
      <c r="BD794" s="2"/>
      <c r="BE794" s="2"/>
      <c r="BF794" s="2"/>
      <c r="BG794" s="2"/>
      <c r="BH794" s="2"/>
      <c r="BI794" s="2"/>
      <c r="BJ794" s="2"/>
      <c r="BK794" s="2"/>
      <c r="BM794" s="2"/>
      <c r="BN794" s="2"/>
      <c r="BO794" s="2"/>
      <c r="BP794" s="2"/>
      <c r="BQ794" s="2"/>
      <c r="BR794" s="6"/>
      <c r="BS794" s="6"/>
      <c r="BT794" s="2"/>
      <c r="BU794" s="2"/>
      <c r="BV794" s="2"/>
      <c r="BW794" s="2"/>
      <c r="BX794" s="2"/>
      <c r="BY794" s="2"/>
      <c r="BZ794" s="2"/>
      <c r="CA794" s="2"/>
      <c r="CB794" s="2"/>
      <c r="CC794" s="2"/>
      <c r="CD794" s="3"/>
      <c r="CE794" s="2"/>
      <c r="CF794" s="4"/>
      <c r="CG794" s="4"/>
      <c r="CI794" s="2"/>
    </row>
    <row r="795" spans="1:87" s="101" customFormat="1" x14ac:dyDescent="0.35">
      <c r="A795" s="1"/>
      <c r="C795" s="1"/>
      <c r="G795" s="2"/>
      <c r="H795" s="2"/>
      <c r="I795" s="2"/>
      <c r="J795" s="2"/>
      <c r="K795" s="81"/>
      <c r="L795" s="4"/>
      <c r="M795" s="4"/>
      <c r="N795" s="4"/>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3"/>
      <c r="AP795" s="2"/>
      <c r="AQ795" s="2"/>
      <c r="AR795" s="2"/>
      <c r="AS795" s="2"/>
      <c r="AT795" s="2"/>
      <c r="AU795" s="2"/>
      <c r="AV795" s="2"/>
      <c r="AW795" s="2"/>
      <c r="AX795" s="2"/>
      <c r="AY795" s="2"/>
      <c r="AZ795" s="5"/>
      <c r="BA795" s="2"/>
      <c r="BD795" s="2"/>
      <c r="BE795" s="2"/>
      <c r="BF795" s="2"/>
      <c r="BG795" s="2"/>
      <c r="BH795" s="2"/>
      <c r="BI795" s="2"/>
      <c r="BJ795" s="2"/>
      <c r="BK795" s="2"/>
      <c r="BM795" s="2"/>
      <c r="BN795" s="2"/>
      <c r="BO795" s="2"/>
      <c r="BP795" s="2"/>
      <c r="BQ795" s="2"/>
      <c r="BR795" s="6"/>
      <c r="BS795" s="6"/>
      <c r="BT795" s="2"/>
      <c r="BU795" s="2"/>
      <c r="BV795" s="2"/>
      <c r="BW795" s="2"/>
      <c r="BX795" s="2"/>
      <c r="BY795" s="2"/>
      <c r="BZ795" s="2"/>
      <c r="CA795" s="2"/>
      <c r="CB795" s="2"/>
      <c r="CC795" s="2"/>
      <c r="CD795" s="3"/>
      <c r="CE795" s="2"/>
      <c r="CF795" s="4"/>
      <c r="CG795" s="4"/>
      <c r="CI795" s="2"/>
    </row>
    <row r="796" spans="1:87" s="101" customFormat="1" x14ac:dyDescent="0.35">
      <c r="A796" s="1"/>
      <c r="C796" s="1"/>
      <c r="G796" s="2"/>
      <c r="H796" s="2"/>
      <c r="I796" s="2"/>
      <c r="J796" s="2"/>
      <c r="K796" s="81"/>
      <c r="L796" s="4"/>
      <c r="M796" s="4"/>
      <c r="N796" s="4"/>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3"/>
      <c r="AP796" s="2"/>
      <c r="AQ796" s="2"/>
      <c r="AR796" s="2"/>
      <c r="AS796" s="2"/>
      <c r="AT796" s="2"/>
      <c r="AU796" s="2"/>
      <c r="AV796" s="2"/>
      <c r="AW796" s="2"/>
      <c r="AX796" s="2"/>
      <c r="AY796" s="2"/>
      <c r="AZ796" s="5"/>
      <c r="BA796" s="2"/>
      <c r="BD796" s="2"/>
      <c r="BE796" s="2"/>
      <c r="BF796" s="2"/>
      <c r="BG796" s="2"/>
      <c r="BH796" s="2"/>
      <c r="BI796" s="2"/>
      <c r="BJ796" s="2"/>
      <c r="BK796" s="2"/>
      <c r="BM796" s="2"/>
      <c r="BN796" s="2"/>
      <c r="BO796" s="2"/>
      <c r="BP796" s="2"/>
      <c r="BQ796" s="2"/>
      <c r="BR796" s="6"/>
      <c r="BS796" s="6"/>
      <c r="BT796" s="2"/>
      <c r="BU796" s="2"/>
      <c r="BV796" s="2"/>
      <c r="BW796" s="2"/>
      <c r="BX796" s="2"/>
      <c r="BY796" s="2"/>
      <c r="BZ796" s="2"/>
      <c r="CA796" s="2"/>
      <c r="CB796" s="2"/>
      <c r="CC796" s="2"/>
      <c r="CD796" s="3"/>
      <c r="CE796" s="2"/>
      <c r="CF796" s="4"/>
      <c r="CG796" s="4"/>
      <c r="CI796" s="2"/>
    </row>
    <row r="797" spans="1:87" s="101" customFormat="1" x14ac:dyDescent="0.35">
      <c r="A797" s="1"/>
      <c r="C797" s="1"/>
      <c r="G797" s="2"/>
      <c r="H797" s="2"/>
      <c r="I797" s="2"/>
      <c r="J797" s="2"/>
      <c r="K797" s="81"/>
      <c r="L797" s="4"/>
      <c r="M797" s="4"/>
      <c r="N797" s="4"/>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3"/>
      <c r="AP797" s="2"/>
      <c r="AQ797" s="2"/>
      <c r="AR797" s="2"/>
      <c r="AS797" s="2"/>
      <c r="AT797" s="2"/>
      <c r="AU797" s="2"/>
      <c r="AV797" s="2"/>
      <c r="AW797" s="2"/>
      <c r="AX797" s="2"/>
      <c r="AY797" s="2"/>
      <c r="AZ797" s="5"/>
      <c r="BA797" s="2"/>
      <c r="BD797" s="2"/>
      <c r="BE797" s="2"/>
      <c r="BF797" s="2"/>
      <c r="BG797" s="2"/>
      <c r="BH797" s="2"/>
      <c r="BI797" s="2"/>
      <c r="BJ797" s="2"/>
      <c r="BK797" s="2"/>
      <c r="BM797" s="2"/>
      <c r="BN797" s="2"/>
      <c r="BO797" s="2"/>
      <c r="BP797" s="2"/>
      <c r="BQ797" s="2"/>
      <c r="BR797" s="6"/>
      <c r="BS797" s="6"/>
      <c r="BT797" s="2"/>
      <c r="BU797" s="2"/>
      <c r="BV797" s="2"/>
      <c r="BW797" s="2"/>
      <c r="BX797" s="2"/>
      <c r="BY797" s="2"/>
      <c r="BZ797" s="2"/>
      <c r="CA797" s="2"/>
      <c r="CB797" s="2"/>
      <c r="CC797" s="2"/>
      <c r="CD797" s="3"/>
      <c r="CE797" s="2"/>
      <c r="CF797" s="4"/>
      <c r="CG797" s="4"/>
      <c r="CI797" s="2"/>
    </row>
    <row r="798" spans="1:87" s="101" customFormat="1" x14ac:dyDescent="0.35">
      <c r="A798" s="1"/>
      <c r="C798" s="1"/>
      <c r="G798" s="2"/>
      <c r="H798" s="2"/>
      <c r="I798" s="2"/>
      <c r="J798" s="2"/>
      <c r="K798" s="81"/>
      <c r="L798" s="4"/>
      <c r="M798" s="4"/>
      <c r="N798" s="4"/>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3"/>
      <c r="AP798" s="2"/>
      <c r="AQ798" s="2"/>
      <c r="AR798" s="2"/>
      <c r="AS798" s="2"/>
      <c r="AT798" s="2"/>
      <c r="AU798" s="2"/>
      <c r="AV798" s="2"/>
      <c r="AW798" s="2"/>
      <c r="AX798" s="2"/>
      <c r="AY798" s="2"/>
      <c r="AZ798" s="5"/>
      <c r="BA798" s="2"/>
      <c r="BD798" s="2"/>
      <c r="BE798" s="2"/>
      <c r="BF798" s="2"/>
      <c r="BG798" s="2"/>
      <c r="BH798" s="2"/>
      <c r="BI798" s="2"/>
      <c r="BJ798" s="2"/>
      <c r="BK798" s="2"/>
      <c r="BM798" s="2"/>
      <c r="BN798" s="2"/>
      <c r="BO798" s="2"/>
      <c r="BP798" s="2"/>
      <c r="BQ798" s="2"/>
      <c r="BR798" s="6"/>
      <c r="BS798" s="6"/>
      <c r="BT798" s="2"/>
      <c r="BU798" s="2"/>
      <c r="BV798" s="2"/>
      <c r="BW798" s="2"/>
      <c r="BX798" s="2"/>
      <c r="BY798" s="2"/>
      <c r="BZ798" s="2"/>
      <c r="CA798" s="2"/>
      <c r="CB798" s="2"/>
      <c r="CC798" s="2"/>
      <c r="CD798" s="3"/>
      <c r="CE798" s="2"/>
      <c r="CF798" s="4"/>
      <c r="CG798" s="4"/>
      <c r="CI798" s="2"/>
    </row>
    <row r="799" spans="1:87" s="101" customFormat="1" x14ac:dyDescent="0.35">
      <c r="A799" s="1"/>
      <c r="C799" s="1"/>
      <c r="G799" s="2"/>
      <c r="H799" s="2"/>
      <c r="I799" s="2"/>
      <c r="J799" s="2"/>
      <c r="K799" s="81"/>
      <c r="L799" s="4"/>
      <c r="M799" s="4"/>
      <c r="N799" s="4"/>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3"/>
      <c r="AP799" s="2"/>
      <c r="AQ799" s="2"/>
      <c r="AR799" s="2"/>
      <c r="AS799" s="2"/>
      <c r="AT799" s="2"/>
      <c r="AU799" s="2"/>
      <c r="AV799" s="2"/>
      <c r="AW799" s="2"/>
      <c r="AX799" s="2"/>
      <c r="AY799" s="2"/>
      <c r="AZ799" s="5"/>
      <c r="BA799" s="2"/>
      <c r="BD799" s="2"/>
      <c r="BE799" s="2"/>
      <c r="BF799" s="2"/>
      <c r="BG799" s="2"/>
      <c r="BH799" s="2"/>
      <c r="BI799" s="2"/>
      <c r="BJ799" s="2"/>
      <c r="BK799" s="2"/>
      <c r="BM799" s="2"/>
      <c r="BN799" s="2"/>
      <c r="BO799" s="2"/>
      <c r="BP799" s="2"/>
      <c r="BQ799" s="2"/>
      <c r="BR799" s="6"/>
      <c r="BS799" s="6"/>
      <c r="BT799" s="2"/>
      <c r="BU799" s="2"/>
      <c r="BV799" s="2"/>
      <c r="BW799" s="2"/>
      <c r="BX799" s="2"/>
      <c r="BY799" s="2"/>
      <c r="BZ799" s="2"/>
      <c r="CA799" s="2"/>
      <c r="CB799" s="2"/>
      <c r="CC799" s="2"/>
      <c r="CD799" s="3"/>
      <c r="CE799" s="2"/>
      <c r="CF799" s="4"/>
      <c r="CG799" s="4"/>
      <c r="CI799" s="2"/>
    </row>
    <row r="800" spans="1:87" s="101" customFormat="1" x14ac:dyDescent="0.35">
      <c r="A800" s="1"/>
      <c r="C800" s="1"/>
      <c r="G800" s="2"/>
      <c r="H800" s="2"/>
      <c r="I800" s="2"/>
      <c r="J800" s="2"/>
      <c r="K800" s="81"/>
      <c r="L800" s="4"/>
      <c r="M800" s="4"/>
      <c r="N800" s="4"/>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3"/>
      <c r="AP800" s="2"/>
      <c r="AQ800" s="2"/>
      <c r="AR800" s="2"/>
      <c r="AS800" s="2"/>
      <c r="AT800" s="2"/>
      <c r="AU800" s="2"/>
      <c r="AV800" s="2"/>
      <c r="AW800" s="2"/>
      <c r="AX800" s="2"/>
      <c r="AY800" s="2"/>
      <c r="AZ800" s="5"/>
      <c r="BA800" s="2"/>
      <c r="BD800" s="2"/>
      <c r="BE800" s="2"/>
      <c r="BF800" s="2"/>
      <c r="BG800" s="2"/>
      <c r="BH800" s="2"/>
      <c r="BI800" s="2"/>
      <c r="BJ800" s="2"/>
      <c r="BK800" s="2"/>
      <c r="BM800" s="2"/>
      <c r="BN800" s="2"/>
      <c r="BO800" s="2"/>
      <c r="BP800" s="2"/>
      <c r="BQ800" s="2"/>
      <c r="BR800" s="6"/>
      <c r="BS800" s="6"/>
      <c r="BT800" s="2"/>
      <c r="BU800" s="2"/>
      <c r="BV800" s="2"/>
      <c r="BW800" s="2"/>
      <c r="BX800" s="2"/>
      <c r="BY800" s="2"/>
      <c r="BZ800" s="2"/>
      <c r="CA800" s="2"/>
      <c r="CB800" s="2"/>
      <c r="CC800" s="2"/>
      <c r="CD800" s="3"/>
      <c r="CE800" s="2"/>
      <c r="CF800" s="4"/>
      <c r="CG800" s="4"/>
      <c r="CI800" s="2"/>
    </row>
    <row r="801" spans="1:87" s="101" customFormat="1" x14ac:dyDescent="0.35">
      <c r="A801" s="1"/>
      <c r="C801" s="1"/>
      <c r="G801" s="2"/>
      <c r="H801" s="2"/>
      <c r="I801" s="2"/>
      <c r="J801" s="2"/>
      <c r="K801" s="81"/>
      <c r="L801" s="4"/>
      <c r="M801" s="4"/>
      <c r="N801" s="4"/>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3"/>
      <c r="AP801" s="2"/>
      <c r="AQ801" s="2"/>
      <c r="AR801" s="2"/>
      <c r="AS801" s="2"/>
      <c r="AT801" s="2"/>
      <c r="AU801" s="2"/>
      <c r="AV801" s="2"/>
      <c r="AW801" s="2"/>
      <c r="AX801" s="2"/>
      <c r="AY801" s="2"/>
      <c r="AZ801" s="5"/>
      <c r="BA801" s="2"/>
      <c r="BD801" s="2"/>
      <c r="BE801" s="2"/>
      <c r="BF801" s="2"/>
      <c r="BG801" s="2"/>
      <c r="BH801" s="2"/>
      <c r="BI801" s="2"/>
      <c r="BJ801" s="2"/>
      <c r="BK801" s="2"/>
      <c r="BM801" s="2"/>
      <c r="BN801" s="2"/>
      <c r="BO801" s="2"/>
      <c r="BP801" s="2"/>
      <c r="BQ801" s="2"/>
      <c r="BR801" s="6"/>
      <c r="BS801" s="6"/>
      <c r="BT801" s="2"/>
      <c r="BU801" s="2"/>
      <c r="BV801" s="2"/>
      <c r="BW801" s="2"/>
      <c r="BX801" s="2"/>
      <c r="BY801" s="2"/>
      <c r="BZ801" s="2"/>
      <c r="CA801" s="2"/>
      <c r="CB801" s="2"/>
      <c r="CC801" s="2"/>
      <c r="CD801" s="3"/>
      <c r="CE801" s="2"/>
      <c r="CF801" s="4"/>
      <c r="CG801" s="4"/>
      <c r="CI801" s="2"/>
    </row>
    <row r="802" spans="1:87" s="101" customFormat="1" x14ac:dyDescent="0.35">
      <c r="A802" s="1"/>
      <c r="C802" s="1"/>
      <c r="G802" s="2"/>
      <c r="H802" s="2"/>
      <c r="I802" s="2"/>
      <c r="J802" s="2"/>
      <c r="K802" s="81"/>
      <c r="L802" s="4"/>
      <c r="M802" s="4"/>
      <c r="N802" s="4"/>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3"/>
      <c r="AP802" s="2"/>
      <c r="AQ802" s="2"/>
      <c r="AR802" s="2"/>
      <c r="AS802" s="2"/>
      <c r="AT802" s="2"/>
      <c r="AU802" s="2"/>
      <c r="AV802" s="2"/>
      <c r="AW802" s="2"/>
      <c r="AX802" s="2"/>
      <c r="AY802" s="2"/>
      <c r="AZ802" s="5"/>
      <c r="BA802" s="2"/>
      <c r="BD802" s="2"/>
      <c r="BE802" s="2"/>
      <c r="BF802" s="2"/>
      <c r="BG802" s="2"/>
      <c r="BH802" s="2"/>
      <c r="BI802" s="2"/>
      <c r="BJ802" s="2"/>
      <c r="BK802" s="2"/>
      <c r="BM802" s="2"/>
      <c r="BN802" s="2"/>
      <c r="BO802" s="2"/>
      <c r="BP802" s="2"/>
      <c r="BQ802" s="2"/>
      <c r="BR802" s="6"/>
      <c r="BS802" s="6"/>
      <c r="BT802" s="2"/>
      <c r="BU802" s="2"/>
      <c r="BV802" s="2"/>
      <c r="BW802" s="2"/>
      <c r="BX802" s="2"/>
      <c r="BY802" s="2"/>
      <c r="BZ802" s="2"/>
      <c r="CA802" s="2"/>
      <c r="CB802" s="2"/>
      <c r="CC802" s="2"/>
      <c r="CD802" s="3"/>
      <c r="CE802" s="2"/>
      <c r="CF802" s="4"/>
      <c r="CG802" s="4"/>
      <c r="CI802" s="2"/>
    </row>
    <row r="803" spans="1:87" s="101" customFormat="1" x14ac:dyDescent="0.35">
      <c r="A803" s="1"/>
      <c r="C803" s="1"/>
      <c r="G803" s="2"/>
      <c r="H803" s="2"/>
      <c r="I803" s="2"/>
      <c r="J803" s="2"/>
      <c r="K803" s="81"/>
      <c r="L803" s="4"/>
      <c r="M803" s="4"/>
      <c r="N803" s="4"/>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3"/>
      <c r="AP803" s="2"/>
      <c r="AQ803" s="2"/>
      <c r="AR803" s="2"/>
      <c r="AS803" s="2"/>
      <c r="AT803" s="2"/>
      <c r="AU803" s="2"/>
      <c r="AV803" s="2"/>
      <c r="AW803" s="2"/>
      <c r="AX803" s="2"/>
      <c r="AY803" s="2"/>
      <c r="AZ803" s="5"/>
      <c r="BA803" s="2"/>
      <c r="BD803" s="2"/>
      <c r="BE803" s="2"/>
      <c r="BF803" s="2"/>
      <c r="BG803" s="2"/>
      <c r="BH803" s="2"/>
      <c r="BI803" s="2"/>
      <c r="BJ803" s="2"/>
      <c r="BK803" s="2"/>
      <c r="BM803" s="2"/>
      <c r="BN803" s="2"/>
      <c r="BO803" s="2"/>
      <c r="BP803" s="2"/>
      <c r="BQ803" s="2"/>
      <c r="BR803" s="6"/>
      <c r="BS803" s="6"/>
      <c r="BT803" s="2"/>
      <c r="BU803" s="2"/>
      <c r="BV803" s="2"/>
      <c r="BW803" s="2"/>
      <c r="BX803" s="2"/>
      <c r="BY803" s="2"/>
      <c r="BZ803" s="2"/>
      <c r="CA803" s="2"/>
      <c r="CB803" s="2"/>
      <c r="CC803" s="2"/>
      <c r="CD803" s="3"/>
      <c r="CE803" s="2"/>
      <c r="CF803" s="4"/>
      <c r="CG803" s="4"/>
      <c r="CI803" s="2"/>
    </row>
    <row r="804" spans="1:87" s="101" customFormat="1" x14ac:dyDescent="0.35">
      <c r="A804" s="1"/>
      <c r="C804" s="1"/>
      <c r="G804" s="2"/>
      <c r="H804" s="2"/>
      <c r="I804" s="2"/>
      <c r="J804" s="2"/>
      <c r="K804" s="81"/>
      <c r="L804" s="4"/>
      <c r="M804" s="4"/>
      <c r="N804" s="4"/>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3"/>
      <c r="AP804" s="2"/>
      <c r="AQ804" s="2"/>
      <c r="AR804" s="2"/>
      <c r="AS804" s="2"/>
      <c r="AT804" s="2"/>
      <c r="AU804" s="2"/>
      <c r="AV804" s="2"/>
      <c r="AW804" s="2"/>
      <c r="AX804" s="2"/>
      <c r="AY804" s="2"/>
      <c r="AZ804" s="5"/>
      <c r="BA804" s="2"/>
      <c r="BD804" s="2"/>
      <c r="BE804" s="2"/>
      <c r="BF804" s="2"/>
      <c r="BG804" s="2"/>
      <c r="BH804" s="2"/>
      <c r="BI804" s="2"/>
      <c r="BJ804" s="2"/>
      <c r="BK804" s="2"/>
      <c r="BM804" s="2"/>
      <c r="BN804" s="2"/>
      <c r="BO804" s="2"/>
      <c r="BP804" s="2"/>
      <c r="BQ804" s="2"/>
      <c r="BR804" s="6"/>
      <c r="BS804" s="6"/>
      <c r="BT804" s="2"/>
      <c r="BU804" s="2"/>
      <c r="BV804" s="2"/>
      <c r="BW804" s="2"/>
      <c r="BX804" s="2"/>
      <c r="BY804" s="2"/>
      <c r="BZ804" s="2"/>
      <c r="CA804" s="2"/>
      <c r="CB804" s="2"/>
      <c r="CC804" s="2"/>
      <c r="CD804" s="3"/>
      <c r="CE804" s="2"/>
      <c r="CF804" s="4"/>
      <c r="CG804" s="4"/>
      <c r="CI804" s="2"/>
    </row>
    <row r="805" spans="1:87" s="101" customFormat="1" x14ac:dyDescent="0.35">
      <c r="A805" s="1"/>
      <c r="C805" s="1"/>
      <c r="G805" s="2"/>
      <c r="H805" s="2"/>
      <c r="I805" s="2"/>
      <c r="J805" s="2"/>
      <c r="K805" s="81"/>
      <c r="L805" s="4"/>
      <c r="M805" s="4"/>
      <c r="N805" s="4"/>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3"/>
      <c r="AP805" s="2"/>
      <c r="AQ805" s="2"/>
      <c r="AR805" s="2"/>
      <c r="AS805" s="2"/>
      <c r="AT805" s="2"/>
      <c r="AU805" s="2"/>
      <c r="AV805" s="2"/>
      <c r="AW805" s="2"/>
      <c r="AX805" s="2"/>
      <c r="AY805" s="2"/>
      <c r="AZ805" s="5"/>
      <c r="BA805" s="2"/>
      <c r="BD805" s="2"/>
      <c r="BE805" s="2"/>
      <c r="BF805" s="2"/>
      <c r="BG805" s="2"/>
      <c r="BH805" s="2"/>
      <c r="BI805" s="2"/>
      <c r="BJ805" s="2"/>
      <c r="BK805" s="2"/>
      <c r="BM805" s="2"/>
      <c r="BN805" s="2"/>
      <c r="BO805" s="2"/>
      <c r="BP805" s="2"/>
      <c r="BQ805" s="2"/>
      <c r="BR805" s="6"/>
      <c r="BS805" s="6"/>
      <c r="BT805" s="2"/>
      <c r="BU805" s="2"/>
      <c r="BV805" s="2"/>
      <c r="BW805" s="2"/>
      <c r="BX805" s="2"/>
      <c r="BY805" s="2"/>
      <c r="BZ805" s="2"/>
      <c r="CA805" s="2"/>
      <c r="CB805" s="2"/>
      <c r="CC805" s="2"/>
      <c r="CD805" s="3"/>
      <c r="CE805" s="2"/>
      <c r="CF805" s="4"/>
      <c r="CG805" s="4"/>
      <c r="CI805" s="2"/>
    </row>
    <row r="806" spans="1:87" s="101" customFormat="1" x14ac:dyDescent="0.35">
      <c r="A806" s="1"/>
      <c r="C806" s="1"/>
      <c r="G806" s="2"/>
      <c r="H806" s="2"/>
      <c r="I806" s="2"/>
      <c r="J806" s="2"/>
      <c r="K806" s="81"/>
      <c r="L806" s="4"/>
      <c r="M806" s="4"/>
      <c r="N806" s="4"/>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3"/>
      <c r="AP806" s="2"/>
      <c r="AQ806" s="2"/>
      <c r="AR806" s="2"/>
      <c r="AS806" s="2"/>
      <c r="AT806" s="2"/>
      <c r="AU806" s="2"/>
      <c r="AV806" s="2"/>
      <c r="AW806" s="2"/>
      <c r="AX806" s="2"/>
      <c r="AY806" s="2"/>
      <c r="AZ806" s="5"/>
      <c r="BA806" s="2"/>
      <c r="BD806" s="2"/>
      <c r="BE806" s="2"/>
      <c r="BF806" s="2"/>
      <c r="BG806" s="2"/>
      <c r="BH806" s="2"/>
      <c r="BI806" s="2"/>
      <c r="BJ806" s="2"/>
      <c r="BK806" s="2"/>
      <c r="BM806" s="2"/>
      <c r="BN806" s="2"/>
      <c r="BO806" s="2"/>
      <c r="BP806" s="2"/>
      <c r="BQ806" s="2"/>
      <c r="BR806" s="6"/>
      <c r="BS806" s="6"/>
      <c r="BT806" s="2"/>
      <c r="BU806" s="2"/>
      <c r="BV806" s="2"/>
      <c r="BW806" s="2"/>
      <c r="BX806" s="2"/>
      <c r="BY806" s="2"/>
      <c r="BZ806" s="2"/>
      <c r="CA806" s="2"/>
      <c r="CB806" s="2"/>
      <c r="CC806" s="2"/>
      <c r="CD806" s="3"/>
      <c r="CE806" s="2"/>
      <c r="CF806" s="4"/>
      <c r="CG806" s="4"/>
      <c r="CI806" s="2"/>
    </row>
    <row r="807" spans="1:87" s="101" customFormat="1" x14ac:dyDescent="0.35">
      <c r="A807" s="1"/>
      <c r="C807" s="1"/>
      <c r="G807" s="2"/>
      <c r="H807" s="2"/>
      <c r="I807" s="2"/>
      <c r="J807" s="2"/>
      <c r="K807" s="81"/>
      <c r="L807" s="4"/>
      <c r="M807" s="4"/>
      <c r="N807" s="4"/>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3"/>
      <c r="AP807" s="2"/>
      <c r="AQ807" s="2"/>
      <c r="AR807" s="2"/>
      <c r="AS807" s="2"/>
      <c r="AT807" s="2"/>
      <c r="AU807" s="2"/>
      <c r="AV807" s="2"/>
      <c r="AW807" s="2"/>
      <c r="AX807" s="2"/>
      <c r="AY807" s="2"/>
      <c r="AZ807" s="5"/>
      <c r="BA807" s="2"/>
      <c r="BD807" s="2"/>
      <c r="BE807" s="2"/>
      <c r="BF807" s="2"/>
      <c r="BG807" s="2"/>
      <c r="BH807" s="2"/>
      <c r="BI807" s="2"/>
      <c r="BJ807" s="2"/>
      <c r="BK807" s="2"/>
      <c r="BM807" s="2"/>
      <c r="BN807" s="2"/>
      <c r="BO807" s="2"/>
      <c r="BP807" s="2"/>
      <c r="BQ807" s="2"/>
      <c r="BR807" s="6"/>
      <c r="BS807" s="6"/>
      <c r="BT807" s="2"/>
      <c r="BU807" s="2"/>
      <c r="BV807" s="2"/>
      <c r="BW807" s="2"/>
      <c r="BX807" s="2"/>
      <c r="BY807" s="2"/>
      <c r="BZ807" s="2"/>
      <c r="CA807" s="2"/>
      <c r="CB807" s="2"/>
      <c r="CC807" s="2"/>
      <c r="CD807" s="3"/>
      <c r="CE807" s="2"/>
      <c r="CF807" s="4"/>
      <c r="CG807" s="4"/>
      <c r="CI807" s="2"/>
    </row>
    <row r="808" spans="1:87" s="101" customFormat="1" x14ac:dyDescent="0.35">
      <c r="A808" s="1"/>
      <c r="C808" s="1"/>
      <c r="G808" s="2"/>
      <c r="H808" s="2"/>
      <c r="I808" s="2"/>
      <c r="J808" s="2"/>
      <c r="K808" s="81"/>
      <c r="L808" s="4"/>
      <c r="M808" s="4"/>
      <c r="N808" s="4"/>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3"/>
      <c r="AP808" s="2"/>
      <c r="AQ808" s="2"/>
      <c r="AR808" s="2"/>
      <c r="AS808" s="2"/>
      <c r="AT808" s="2"/>
      <c r="AU808" s="2"/>
      <c r="AV808" s="2"/>
      <c r="AW808" s="2"/>
      <c r="AX808" s="2"/>
      <c r="AY808" s="2"/>
      <c r="AZ808" s="5"/>
      <c r="BA808" s="2"/>
      <c r="BD808" s="2"/>
      <c r="BE808" s="2"/>
      <c r="BF808" s="2"/>
      <c r="BG808" s="2"/>
      <c r="BH808" s="2"/>
      <c r="BI808" s="2"/>
      <c r="BJ808" s="2"/>
      <c r="BK808" s="2"/>
      <c r="BM808" s="2"/>
      <c r="BN808" s="2"/>
      <c r="BO808" s="2"/>
      <c r="BP808" s="2"/>
      <c r="BQ808" s="2"/>
      <c r="BR808" s="6"/>
      <c r="BS808" s="6"/>
      <c r="BT808" s="2"/>
      <c r="BU808" s="2"/>
      <c r="BV808" s="2"/>
      <c r="BW808" s="2"/>
      <c r="BX808" s="2"/>
      <c r="BY808" s="2"/>
      <c r="BZ808" s="2"/>
      <c r="CA808" s="2"/>
      <c r="CB808" s="2"/>
      <c r="CC808" s="2"/>
      <c r="CD808" s="3"/>
      <c r="CE808" s="2"/>
      <c r="CF808" s="4"/>
      <c r="CG808" s="4"/>
      <c r="CI808" s="2"/>
    </row>
    <row r="809" spans="1:87" s="101" customFormat="1" x14ac:dyDescent="0.35">
      <c r="A809" s="1"/>
      <c r="C809" s="1"/>
      <c r="G809" s="2"/>
      <c r="H809" s="2"/>
      <c r="I809" s="2"/>
      <c r="J809" s="2"/>
      <c r="K809" s="81"/>
      <c r="L809" s="4"/>
      <c r="M809" s="4"/>
      <c r="N809" s="4"/>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3"/>
      <c r="AP809" s="2"/>
      <c r="AQ809" s="2"/>
      <c r="AR809" s="2"/>
      <c r="AS809" s="2"/>
      <c r="AT809" s="2"/>
      <c r="AU809" s="2"/>
      <c r="AV809" s="2"/>
      <c r="AW809" s="2"/>
      <c r="AX809" s="2"/>
      <c r="AY809" s="2"/>
      <c r="AZ809" s="5"/>
      <c r="BA809" s="2"/>
      <c r="BD809" s="2"/>
      <c r="BE809" s="2"/>
      <c r="BF809" s="2"/>
      <c r="BG809" s="2"/>
      <c r="BH809" s="2"/>
      <c r="BI809" s="2"/>
      <c r="BJ809" s="2"/>
      <c r="BK809" s="2"/>
      <c r="BM809" s="2"/>
      <c r="BN809" s="2"/>
      <c r="BO809" s="2"/>
      <c r="BP809" s="2"/>
      <c r="BQ809" s="2"/>
      <c r="BR809" s="6"/>
      <c r="BS809" s="6"/>
      <c r="BT809" s="2"/>
      <c r="BU809" s="2"/>
      <c r="BV809" s="2"/>
      <c r="BW809" s="2"/>
      <c r="BX809" s="2"/>
      <c r="BY809" s="2"/>
      <c r="BZ809" s="2"/>
      <c r="CA809" s="2"/>
      <c r="CB809" s="2"/>
      <c r="CC809" s="2"/>
      <c r="CD809" s="3"/>
      <c r="CE809" s="2"/>
      <c r="CF809" s="4"/>
      <c r="CG809" s="4"/>
      <c r="CI809" s="2"/>
    </row>
    <row r="810" spans="1:87" s="101" customFormat="1" x14ac:dyDescent="0.35">
      <c r="A810" s="1"/>
      <c r="C810" s="1"/>
      <c r="G810" s="2"/>
      <c r="H810" s="2"/>
      <c r="I810" s="2"/>
      <c r="J810" s="2"/>
      <c r="K810" s="81"/>
      <c r="L810" s="4"/>
      <c r="M810" s="4"/>
      <c r="N810" s="4"/>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3"/>
      <c r="AP810" s="2"/>
      <c r="AQ810" s="2"/>
      <c r="AR810" s="2"/>
      <c r="AS810" s="2"/>
      <c r="AT810" s="2"/>
      <c r="AU810" s="2"/>
      <c r="AV810" s="2"/>
      <c r="AW810" s="2"/>
      <c r="AX810" s="2"/>
      <c r="AY810" s="2"/>
      <c r="AZ810" s="5"/>
      <c r="BA810" s="2"/>
      <c r="BD810" s="2"/>
      <c r="BE810" s="2"/>
      <c r="BF810" s="2"/>
      <c r="BG810" s="2"/>
      <c r="BH810" s="2"/>
      <c r="BI810" s="2"/>
      <c r="BJ810" s="2"/>
      <c r="BK810" s="2"/>
      <c r="BM810" s="2"/>
      <c r="BN810" s="2"/>
      <c r="BO810" s="2"/>
      <c r="BP810" s="2"/>
      <c r="BQ810" s="2"/>
      <c r="BR810" s="6"/>
      <c r="BS810" s="6"/>
      <c r="BT810" s="2"/>
      <c r="BU810" s="2"/>
      <c r="BV810" s="2"/>
      <c r="BW810" s="2"/>
      <c r="BX810" s="2"/>
      <c r="BY810" s="2"/>
      <c r="BZ810" s="2"/>
      <c r="CA810" s="2"/>
      <c r="CB810" s="2"/>
      <c r="CC810" s="2"/>
      <c r="CD810" s="3"/>
      <c r="CE810" s="2"/>
      <c r="CF810" s="4"/>
      <c r="CG810" s="4"/>
      <c r="CI810" s="2"/>
    </row>
    <row r="811" spans="1:87" s="101" customFormat="1" x14ac:dyDescent="0.35">
      <c r="A811" s="1"/>
      <c r="C811" s="1"/>
      <c r="G811" s="2"/>
      <c r="H811" s="2"/>
      <c r="I811" s="2"/>
      <c r="J811" s="2"/>
      <c r="K811" s="81"/>
      <c r="L811" s="4"/>
      <c r="M811" s="4"/>
      <c r="N811" s="4"/>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3"/>
      <c r="AP811" s="2"/>
      <c r="AQ811" s="2"/>
      <c r="AR811" s="2"/>
      <c r="AS811" s="2"/>
      <c r="AT811" s="2"/>
      <c r="AU811" s="2"/>
      <c r="AV811" s="2"/>
      <c r="AW811" s="2"/>
      <c r="AX811" s="2"/>
      <c r="AY811" s="2"/>
      <c r="AZ811" s="5"/>
      <c r="BA811" s="2"/>
      <c r="BD811" s="2"/>
      <c r="BE811" s="2"/>
      <c r="BF811" s="2"/>
      <c r="BG811" s="2"/>
      <c r="BH811" s="2"/>
      <c r="BI811" s="2"/>
      <c r="BJ811" s="2"/>
      <c r="BK811" s="2"/>
      <c r="BM811" s="2"/>
      <c r="BN811" s="2"/>
      <c r="BO811" s="2"/>
      <c r="BP811" s="2"/>
      <c r="BQ811" s="2"/>
      <c r="BR811" s="6"/>
      <c r="BS811" s="6"/>
      <c r="BT811" s="2"/>
      <c r="BU811" s="2"/>
      <c r="BV811" s="2"/>
      <c r="BW811" s="2"/>
      <c r="BX811" s="2"/>
      <c r="BY811" s="2"/>
      <c r="BZ811" s="2"/>
      <c r="CA811" s="2"/>
      <c r="CB811" s="2"/>
      <c r="CC811" s="2"/>
      <c r="CD811" s="3"/>
      <c r="CE811" s="2"/>
      <c r="CF811" s="4"/>
      <c r="CG811" s="4"/>
      <c r="CI811" s="2"/>
    </row>
    <row r="812" spans="1:87" s="101" customFormat="1" x14ac:dyDescent="0.35">
      <c r="A812" s="1"/>
      <c r="C812" s="1"/>
      <c r="G812" s="2"/>
      <c r="H812" s="2"/>
      <c r="I812" s="2"/>
      <c r="J812" s="2"/>
      <c r="K812" s="81"/>
      <c r="L812" s="4"/>
      <c r="M812" s="4"/>
      <c r="N812" s="4"/>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3"/>
      <c r="AP812" s="2"/>
      <c r="AQ812" s="2"/>
      <c r="AR812" s="2"/>
      <c r="AS812" s="2"/>
      <c r="AT812" s="2"/>
      <c r="AU812" s="2"/>
      <c r="AV812" s="2"/>
      <c r="AW812" s="2"/>
      <c r="AX812" s="2"/>
      <c r="AY812" s="2"/>
      <c r="AZ812" s="5"/>
      <c r="BA812" s="2"/>
      <c r="BD812" s="2"/>
      <c r="BE812" s="2"/>
      <c r="BF812" s="2"/>
      <c r="BG812" s="2"/>
      <c r="BH812" s="2"/>
      <c r="BI812" s="2"/>
      <c r="BJ812" s="2"/>
      <c r="BK812" s="2"/>
      <c r="BM812" s="2"/>
      <c r="BN812" s="2"/>
      <c r="BO812" s="2"/>
      <c r="BP812" s="2"/>
      <c r="BQ812" s="2"/>
      <c r="BR812" s="6"/>
      <c r="BS812" s="6"/>
      <c r="BT812" s="2"/>
      <c r="BU812" s="2"/>
      <c r="BV812" s="2"/>
      <c r="BW812" s="2"/>
      <c r="BX812" s="2"/>
      <c r="BY812" s="2"/>
      <c r="BZ812" s="2"/>
      <c r="CA812" s="2"/>
      <c r="CB812" s="2"/>
      <c r="CC812" s="2"/>
      <c r="CD812" s="3"/>
      <c r="CE812" s="2"/>
      <c r="CF812" s="4"/>
      <c r="CG812" s="4"/>
      <c r="CI812" s="2"/>
    </row>
    <row r="813" spans="1:87" s="101" customFormat="1" x14ac:dyDescent="0.35">
      <c r="A813" s="1"/>
      <c r="C813" s="1"/>
      <c r="G813" s="2"/>
      <c r="H813" s="2"/>
      <c r="I813" s="2"/>
      <c r="J813" s="2"/>
      <c r="K813" s="81"/>
      <c r="L813" s="4"/>
      <c r="M813" s="4"/>
      <c r="N813" s="4"/>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3"/>
      <c r="AP813" s="2"/>
      <c r="AQ813" s="2"/>
      <c r="AR813" s="2"/>
      <c r="AS813" s="2"/>
      <c r="AT813" s="2"/>
      <c r="AU813" s="2"/>
      <c r="AV813" s="2"/>
      <c r="AW813" s="2"/>
      <c r="AX813" s="2"/>
      <c r="AY813" s="2"/>
      <c r="AZ813" s="5"/>
      <c r="BA813" s="2"/>
      <c r="BD813" s="2"/>
      <c r="BE813" s="2"/>
      <c r="BF813" s="2"/>
      <c r="BG813" s="2"/>
      <c r="BH813" s="2"/>
      <c r="BI813" s="2"/>
      <c r="BJ813" s="2"/>
      <c r="BK813" s="2"/>
      <c r="BM813" s="2"/>
      <c r="BN813" s="2"/>
      <c r="BO813" s="2"/>
      <c r="BP813" s="2"/>
      <c r="BQ813" s="2"/>
      <c r="BR813" s="6"/>
      <c r="BS813" s="6"/>
      <c r="BT813" s="2"/>
      <c r="BU813" s="2"/>
      <c r="BV813" s="2"/>
      <c r="BW813" s="2"/>
      <c r="BX813" s="2"/>
      <c r="BY813" s="2"/>
      <c r="BZ813" s="2"/>
      <c r="CA813" s="2"/>
      <c r="CB813" s="2"/>
      <c r="CC813" s="2"/>
      <c r="CD813" s="3"/>
      <c r="CE813" s="2"/>
      <c r="CF813" s="4"/>
      <c r="CG813" s="4"/>
      <c r="CI813" s="2"/>
    </row>
    <row r="814" spans="1:87" s="101" customFormat="1" x14ac:dyDescent="0.35">
      <c r="A814" s="1"/>
      <c r="C814" s="1"/>
      <c r="G814" s="2"/>
      <c r="H814" s="2"/>
      <c r="I814" s="2"/>
      <c r="J814" s="2"/>
      <c r="K814" s="81"/>
      <c r="L814" s="4"/>
      <c r="M814" s="4"/>
      <c r="N814" s="4"/>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3"/>
      <c r="AP814" s="2"/>
      <c r="AQ814" s="2"/>
      <c r="AR814" s="2"/>
      <c r="AS814" s="2"/>
      <c r="AT814" s="2"/>
      <c r="AU814" s="2"/>
      <c r="AV814" s="2"/>
      <c r="AW814" s="2"/>
      <c r="AX814" s="2"/>
      <c r="AY814" s="2"/>
      <c r="AZ814" s="5"/>
      <c r="BA814" s="2"/>
      <c r="BD814" s="2"/>
      <c r="BE814" s="2"/>
      <c r="BF814" s="2"/>
      <c r="BG814" s="2"/>
      <c r="BH814" s="2"/>
      <c r="BI814" s="2"/>
      <c r="BJ814" s="2"/>
      <c r="BK814" s="2"/>
      <c r="BM814" s="2"/>
      <c r="BN814" s="2"/>
      <c r="BO814" s="2"/>
      <c r="BP814" s="2"/>
      <c r="BQ814" s="2"/>
      <c r="BR814" s="6"/>
      <c r="BS814" s="6"/>
      <c r="BT814" s="2"/>
      <c r="BU814" s="2"/>
      <c r="BV814" s="2"/>
      <c r="BW814" s="2"/>
      <c r="BX814" s="2"/>
      <c r="BY814" s="2"/>
      <c r="BZ814" s="2"/>
      <c r="CA814" s="2"/>
      <c r="CB814" s="2"/>
      <c r="CC814" s="2"/>
      <c r="CD814" s="3"/>
      <c r="CE814" s="2"/>
      <c r="CF814" s="4"/>
      <c r="CG814" s="4"/>
      <c r="CI814" s="2"/>
    </row>
    <row r="815" spans="1:87" s="101" customFormat="1" x14ac:dyDescent="0.35">
      <c r="A815" s="1"/>
      <c r="C815" s="1"/>
      <c r="G815" s="2"/>
      <c r="H815" s="2"/>
      <c r="I815" s="2"/>
      <c r="J815" s="2"/>
      <c r="K815" s="81"/>
      <c r="L815" s="4"/>
      <c r="M815" s="4"/>
      <c r="N815" s="4"/>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3"/>
      <c r="AP815" s="2"/>
      <c r="AQ815" s="2"/>
      <c r="AR815" s="2"/>
      <c r="AS815" s="2"/>
      <c r="AT815" s="2"/>
      <c r="AU815" s="2"/>
      <c r="AV815" s="2"/>
      <c r="AW815" s="2"/>
      <c r="AX815" s="2"/>
      <c r="AY815" s="2"/>
      <c r="AZ815" s="5"/>
      <c r="BA815" s="2"/>
      <c r="BD815" s="2"/>
      <c r="BE815" s="2"/>
      <c r="BF815" s="2"/>
      <c r="BG815" s="2"/>
      <c r="BH815" s="2"/>
      <c r="BI815" s="2"/>
      <c r="BJ815" s="2"/>
      <c r="BK815" s="2"/>
      <c r="BM815" s="2"/>
      <c r="BN815" s="2"/>
      <c r="BO815" s="2"/>
      <c r="BP815" s="2"/>
      <c r="BQ815" s="2"/>
      <c r="BR815" s="6"/>
      <c r="BS815" s="6"/>
      <c r="BT815" s="2"/>
      <c r="BU815" s="2"/>
      <c r="BV815" s="2"/>
      <c r="BW815" s="2"/>
      <c r="BX815" s="2"/>
      <c r="BY815" s="2"/>
      <c r="BZ815" s="2"/>
      <c r="CA815" s="2"/>
      <c r="CB815" s="2"/>
      <c r="CC815" s="2"/>
      <c r="CD815" s="3"/>
      <c r="CE815" s="2"/>
      <c r="CF815" s="4"/>
      <c r="CG815" s="4"/>
      <c r="CI815" s="2"/>
    </row>
    <row r="816" spans="1:87" s="101" customFormat="1" x14ac:dyDescent="0.35">
      <c r="A816" s="1"/>
      <c r="C816" s="1"/>
      <c r="G816" s="2"/>
      <c r="H816" s="2"/>
      <c r="I816" s="2"/>
      <c r="J816" s="2"/>
      <c r="K816" s="81"/>
      <c r="L816" s="4"/>
      <c r="M816" s="4"/>
      <c r="N816" s="4"/>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3"/>
      <c r="AP816" s="2"/>
      <c r="AQ816" s="2"/>
      <c r="AR816" s="2"/>
      <c r="AS816" s="2"/>
      <c r="AT816" s="2"/>
      <c r="AU816" s="2"/>
      <c r="AV816" s="2"/>
      <c r="AW816" s="2"/>
      <c r="AX816" s="2"/>
      <c r="AY816" s="2"/>
      <c r="AZ816" s="5"/>
      <c r="BA816" s="2"/>
      <c r="BD816" s="2"/>
      <c r="BE816" s="2"/>
      <c r="BF816" s="2"/>
      <c r="BG816" s="2"/>
      <c r="BH816" s="2"/>
      <c r="BI816" s="2"/>
      <c r="BJ816" s="2"/>
      <c r="BK816" s="2"/>
      <c r="BM816" s="2"/>
      <c r="BN816" s="2"/>
      <c r="BO816" s="2"/>
      <c r="BP816" s="2"/>
      <c r="BQ816" s="2"/>
      <c r="BR816" s="6"/>
      <c r="BS816" s="6"/>
      <c r="BT816" s="2"/>
      <c r="BU816" s="2"/>
      <c r="BV816" s="2"/>
      <c r="BW816" s="2"/>
      <c r="BX816" s="2"/>
      <c r="BY816" s="2"/>
      <c r="BZ816" s="2"/>
      <c r="CA816" s="2"/>
      <c r="CB816" s="2"/>
      <c r="CC816" s="2"/>
      <c r="CD816" s="3"/>
      <c r="CE816" s="2"/>
      <c r="CF816" s="4"/>
      <c r="CG816" s="4"/>
      <c r="CI816" s="2"/>
    </row>
    <row r="817" spans="1:87" s="101" customFormat="1" x14ac:dyDescent="0.35">
      <c r="A817" s="1"/>
      <c r="C817" s="1"/>
      <c r="G817" s="2"/>
      <c r="H817" s="2"/>
      <c r="I817" s="2"/>
      <c r="J817" s="2"/>
      <c r="K817" s="81"/>
      <c r="L817" s="4"/>
      <c r="M817" s="4"/>
      <c r="N817" s="4"/>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3"/>
      <c r="AP817" s="2"/>
      <c r="AQ817" s="2"/>
      <c r="AR817" s="2"/>
      <c r="AS817" s="2"/>
      <c r="AT817" s="2"/>
      <c r="AU817" s="2"/>
      <c r="AV817" s="2"/>
      <c r="AW817" s="2"/>
      <c r="AX817" s="2"/>
      <c r="AY817" s="2"/>
      <c r="AZ817" s="5"/>
      <c r="BA817" s="2"/>
      <c r="BD817" s="2"/>
      <c r="BE817" s="2"/>
      <c r="BF817" s="2"/>
      <c r="BG817" s="2"/>
      <c r="BH817" s="2"/>
      <c r="BI817" s="2"/>
      <c r="BJ817" s="2"/>
      <c r="BK817" s="2"/>
      <c r="BM817" s="2"/>
      <c r="BN817" s="2"/>
      <c r="BO817" s="2"/>
      <c r="BP817" s="2"/>
      <c r="BQ817" s="2"/>
      <c r="BR817" s="6"/>
      <c r="BS817" s="6"/>
      <c r="BT817" s="2"/>
      <c r="BU817" s="2"/>
      <c r="BV817" s="2"/>
      <c r="BW817" s="2"/>
      <c r="BX817" s="2"/>
      <c r="BY817" s="2"/>
      <c r="BZ817" s="2"/>
      <c r="CA817" s="2"/>
      <c r="CB817" s="2"/>
      <c r="CC817" s="2"/>
      <c r="CD817" s="3"/>
      <c r="CE817" s="2"/>
      <c r="CF817" s="4"/>
      <c r="CG817" s="4"/>
      <c r="CI817" s="2"/>
    </row>
    <row r="818" spans="1:87" s="101" customFormat="1" x14ac:dyDescent="0.35">
      <c r="A818" s="1"/>
      <c r="C818" s="1"/>
      <c r="G818" s="2"/>
      <c r="H818" s="2"/>
      <c r="I818" s="2"/>
      <c r="J818" s="2"/>
      <c r="K818" s="81"/>
      <c r="L818" s="4"/>
      <c r="M818" s="4"/>
      <c r="N818" s="4"/>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3"/>
      <c r="AP818" s="2"/>
      <c r="AQ818" s="2"/>
      <c r="AR818" s="2"/>
      <c r="AS818" s="2"/>
      <c r="AT818" s="2"/>
      <c r="AU818" s="2"/>
      <c r="AV818" s="2"/>
      <c r="AW818" s="2"/>
      <c r="AX818" s="2"/>
      <c r="AY818" s="2"/>
      <c r="AZ818" s="5"/>
      <c r="BA818" s="2"/>
      <c r="BD818" s="2"/>
      <c r="BE818" s="2"/>
      <c r="BF818" s="2"/>
      <c r="BG818" s="2"/>
      <c r="BH818" s="2"/>
      <c r="BI818" s="2"/>
      <c r="BJ818" s="2"/>
      <c r="BK818" s="2"/>
      <c r="BM818" s="2"/>
      <c r="BN818" s="2"/>
      <c r="BO818" s="2"/>
      <c r="BP818" s="2"/>
      <c r="BQ818" s="2"/>
      <c r="BR818" s="6"/>
      <c r="BS818" s="6"/>
      <c r="BT818" s="2"/>
      <c r="BU818" s="2"/>
      <c r="BV818" s="2"/>
      <c r="BW818" s="2"/>
      <c r="BX818" s="2"/>
      <c r="BY818" s="2"/>
      <c r="BZ818" s="2"/>
      <c r="CA818" s="2"/>
      <c r="CB818" s="2"/>
      <c r="CC818" s="2"/>
      <c r="CD818" s="3"/>
      <c r="CE818" s="2"/>
      <c r="CF818" s="4"/>
      <c r="CG818" s="4"/>
      <c r="CI818" s="2"/>
    </row>
    <row r="819" spans="1:87" s="101" customFormat="1" x14ac:dyDescent="0.35">
      <c r="A819" s="1"/>
      <c r="C819" s="1"/>
      <c r="G819" s="2"/>
      <c r="H819" s="2"/>
      <c r="I819" s="2"/>
      <c r="J819" s="2"/>
      <c r="K819" s="81"/>
      <c r="L819" s="4"/>
      <c r="M819" s="4"/>
      <c r="N819" s="4"/>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3"/>
      <c r="AP819" s="2"/>
      <c r="AQ819" s="2"/>
      <c r="AR819" s="2"/>
      <c r="AS819" s="2"/>
      <c r="AT819" s="2"/>
      <c r="AU819" s="2"/>
      <c r="AV819" s="2"/>
      <c r="AW819" s="2"/>
      <c r="AX819" s="2"/>
      <c r="AY819" s="2"/>
      <c r="AZ819" s="5"/>
      <c r="BA819" s="2"/>
      <c r="BD819" s="2"/>
      <c r="BE819" s="2"/>
      <c r="BF819" s="2"/>
      <c r="BG819" s="2"/>
      <c r="BH819" s="2"/>
      <c r="BI819" s="2"/>
      <c r="BJ819" s="2"/>
      <c r="BK819" s="2"/>
      <c r="BM819" s="2"/>
      <c r="BN819" s="2"/>
      <c r="BO819" s="2"/>
      <c r="BP819" s="2"/>
      <c r="BQ819" s="2"/>
      <c r="BR819" s="6"/>
      <c r="BS819" s="6"/>
      <c r="BT819" s="2"/>
      <c r="BU819" s="2"/>
      <c r="BV819" s="2"/>
      <c r="BW819" s="2"/>
      <c r="BX819" s="2"/>
      <c r="BY819" s="2"/>
      <c r="BZ819" s="2"/>
      <c r="CA819" s="2"/>
      <c r="CB819" s="2"/>
      <c r="CC819" s="2"/>
      <c r="CD819" s="3"/>
      <c r="CE819" s="2"/>
      <c r="CF819" s="4"/>
      <c r="CG819" s="4"/>
      <c r="CI819" s="2"/>
    </row>
    <row r="820" spans="1:87" s="101" customFormat="1" x14ac:dyDescent="0.35">
      <c r="A820" s="1"/>
      <c r="C820" s="1"/>
      <c r="G820" s="2"/>
      <c r="H820" s="2"/>
      <c r="I820" s="2"/>
      <c r="J820" s="2"/>
      <c r="K820" s="81"/>
      <c r="L820" s="4"/>
      <c r="M820" s="4"/>
      <c r="N820" s="4"/>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3"/>
      <c r="AP820" s="2"/>
      <c r="AQ820" s="2"/>
      <c r="AR820" s="2"/>
      <c r="AS820" s="2"/>
      <c r="AT820" s="2"/>
      <c r="AU820" s="2"/>
      <c r="AV820" s="2"/>
      <c r="AW820" s="2"/>
      <c r="AX820" s="2"/>
      <c r="AY820" s="2"/>
      <c r="AZ820" s="5"/>
      <c r="BA820" s="2"/>
      <c r="BD820" s="2"/>
      <c r="BE820" s="2"/>
      <c r="BF820" s="2"/>
      <c r="BG820" s="2"/>
      <c r="BH820" s="2"/>
      <c r="BI820" s="2"/>
      <c r="BJ820" s="2"/>
      <c r="BK820" s="2"/>
      <c r="BM820" s="2"/>
      <c r="BN820" s="2"/>
      <c r="BO820" s="2"/>
      <c r="BP820" s="2"/>
      <c r="BQ820" s="2"/>
      <c r="BR820" s="6"/>
      <c r="BS820" s="6"/>
      <c r="BT820" s="2"/>
      <c r="BU820" s="2"/>
      <c r="BV820" s="2"/>
      <c r="BW820" s="2"/>
      <c r="BX820" s="2"/>
      <c r="BY820" s="2"/>
      <c r="BZ820" s="2"/>
      <c r="CA820" s="2"/>
      <c r="CB820" s="2"/>
      <c r="CC820" s="2"/>
      <c r="CD820" s="3"/>
      <c r="CE820" s="2"/>
      <c r="CF820" s="4"/>
      <c r="CG820" s="4"/>
      <c r="CI820" s="2"/>
    </row>
    <row r="821" spans="1:87" s="101" customFormat="1" x14ac:dyDescent="0.35">
      <c r="A821" s="1"/>
      <c r="C821" s="1"/>
      <c r="G821" s="2"/>
      <c r="H821" s="2"/>
      <c r="I821" s="2"/>
      <c r="J821" s="2"/>
      <c r="K821" s="81"/>
      <c r="L821" s="4"/>
      <c r="M821" s="4"/>
      <c r="N821" s="4"/>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3"/>
      <c r="AP821" s="2"/>
      <c r="AQ821" s="2"/>
      <c r="AR821" s="2"/>
      <c r="AS821" s="2"/>
      <c r="AT821" s="2"/>
      <c r="AU821" s="2"/>
      <c r="AV821" s="2"/>
      <c r="AW821" s="2"/>
      <c r="AX821" s="2"/>
      <c r="AY821" s="2"/>
      <c r="AZ821" s="5"/>
      <c r="BA821" s="2"/>
      <c r="BD821" s="2"/>
      <c r="BE821" s="2"/>
      <c r="BF821" s="2"/>
      <c r="BG821" s="2"/>
      <c r="BH821" s="2"/>
      <c r="BI821" s="2"/>
      <c r="BJ821" s="2"/>
      <c r="BK821" s="2"/>
      <c r="BM821" s="2"/>
      <c r="BN821" s="2"/>
      <c r="BO821" s="2"/>
      <c r="BP821" s="2"/>
      <c r="BQ821" s="2"/>
      <c r="BR821" s="6"/>
      <c r="BS821" s="6"/>
      <c r="BT821" s="2"/>
      <c r="BU821" s="2"/>
      <c r="BV821" s="2"/>
      <c r="BW821" s="2"/>
      <c r="BX821" s="2"/>
      <c r="BY821" s="2"/>
      <c r="BZ821" s="2"/>
      <c r="CA821" s="2"/>
      <c r="CB821" s="2"/>
      <c r="CC821" s="2"/>
      <c r="CD821" s="3"/>
      <c r="CE821" s="2"/>
      <c r="CF821" s="4"/>
      <c r="CG821" s="4"/>
      <c r="CI821" s="2"/>
    </row>
    <row r="822" spans="1:87" s="101" customFormat="1" x14ac:dyDescent="0.35">
      <c r="A822" s="1"/>
      <c r="C822" s="1"/>
      <c r="G822" s="2"/>
      <c r="H822" s="2"/>
      <c r="I822" s="2"/>
      <c r="J822" s="2"/>
      <c r="K822" s="81"/>
      <c r="L822" s="4"/>
      <c r="M822" s="4"/>
      <c r="N822" s="4"/>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3"/>
      <c r="AP822" s="2"/>
      <c r="AQ822" s="2"/>
      <c r="AR822" s="2"/>
      <c r="AS822" s="2"/>
      <c r="AT822" s="2"/>
      <c r="AU822" s="2"/>
      <c r="AV822" s="2"/>
      <c r="AW822" s="2"/>
      <c r="AX822" s="2"/>
      <c r="AY822" s="2"/>
      <c r="AZ822" s="5"/>
      <c r="BA822" s="2"/>
      <c r="BD822" s="2"/>
      <c r="BE822" s="2"/>
      <c r="BF822" s="2"/>
      <c r="BG822" s="2"/>
      <c r="BH822" s="2"/>
      <c r="BI822" s="2"/>
      <c r="BJ822" s="2"/>
      <c r="BK822" s="2"/>
      <c r="BM822" s="2"/>
      <c r="BN822" s="2"/>
      <c r="BO822" s="2"/>
      <c r="BP822" s="2"/>
      <c r="BQ822" s="2"/>
      <c r="BR822" s="6"/>
      <c r="BS822" s="6"/>
      <c r="BT822" s="2"/>
      <c r="BU822" s="2"/>
      <c r="BV822" s="2"/>
      <c r="BW822" s="2"/>
      <c r="BX822" s="2"/>
      <c r="BY822" s="2"/>
      <c r="BZ822" s="2"/>
      <c r="CA822" s="2"/>
      <c r="CB822" s="2"/>
      <c r="CC822" s="2"/>
      <c r="CD822" s="3"/>
      <c r="CE822" s="2"/>
      <c r="CF822" s="4"/>
      <c r="CG822" s="4"/>
      <c r="CI822" s="2"/>
    </row>
    <row r="823" spans="1:87" s="101" customFormat="1" x14ac:dyDescent="0.35">
      <c r="A823" s="1"/>
      <c r="C823" s="1"/>
      <c r="G823" s="2"/>
      <c r="H823" s="2"/>
      <c r="I823" s="2"/>
      <c r="J823" s="2"/>
      <c r="K823" s="81"/>
      <c r="L823" s="4"/>
      <c r="M823" s="4"/>
      <c r="N823" s="4"/>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3"/>
      <c r="AP823" s="2"/>
      <c r="AQ823" s="2"/>
      <c r="AR823" s="2"/>
      <c r="AS823" s="2"/>
      <c r="AT823" s="2"/>
      <c r="AU823" s="2"/>
      <c r="AV823" s="2"/>
      <c r="AW823" s="2"/>
      <c r="AX823" s="2"/>
      <c r="AY823" s="2"/>
      <c r="AZ823" s="5"/>
      <c r="BA823" s="2"/>
      <c r="BD823" s="2"/>
      <c r="BE823" s="2"/>
      <c r="BF823" s="2"/>
      <c r="BG823" s="2"/>
      <c r="BH823" s="2"/>
      <c r="BI823" s="2"/>
      <c r="BJ823" s="2"/>
      <c r="BK823" s="2"/>
      <c r="BM823" s="2"/>
      <c r="BN823" s="2"/>
      <c r="BO823" s="2"/>
      <c r="BP823" s="2"/>
      <c r="BQ823" s="2"/>
      <c r="BR823" s="6"/>
      <c r="BS823" s="6"/>
      <c r="BT823" s="2"/>
      <c r="BU823" s="2"/>
      <c r="BV823" s="2"/>
      <c r="BW823" s="2"/>
      <c r="BX823" s="2"/>
      <c r="BY823" s="2"/>
      <c r="BZ823" s="2"/>
      <c r="CA823" s="2"/>
      <c r="CB823" s="2"/>
      <c r="CC823" s="2"/>
      <c r="CD823" s="3"/>
      <c r="CE823" s="2"/>
      <c r="CF823" s="4"/>
      <c r="CG823" s="4"/>
      <c r="CI823" s="2"/>
    </row>
    <row r="824" spans="1:87" s="101" customFormat="1" x14ac:dyDescent="0.35">
      <c r="A824" s="1"/>
      <c r="C824" s="1"/>
      <c r="G824" s="2"/>
      <c r="H824" s="2"/>
      <c r="I824" s="2"/>
      <c r="J824" s="2"/>
      <c r="K824" s="81"/>
      <c r="L824" s="4"/>
      <c r="M824" s="4"/>
      <c r="N824" s="4"/>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3"/>
      <c r="AP824" s="2"/>
      <c r="AQ824" s="2"/>
      <c r="AR824" s="2"/>
      <c r="AS824" s="2"/>
      <c r="AT824" s="2"/>
      <c r="AU824" s="2"/>
      <c r="AV824" s="2"/>
      <c r="AW824" s="2"/>
      <c r="AX824" s="2"/>
      <c r="AY824" s="2"/>
      <c r="AZ824" s="5"/>
      <c r="BA824" s="2"/>
      <c r="BD824" s="2"/>
      <c r="BE824" s="2"/>
      <c r="BF824" s="2"/>
      <c r="BG824" s="2"/>
      <c r="BH824" s="2"/>
      <c r="BI824" s="2"/>
      <c r="BJ824" s="2"/>
      <c r="BK824" s="2"/>
      <c r="BM824" s="2"/>
      <c r="BN824" s="2"/>
      <c r="BO824" s="2"/>
      <c r="BP824" s="2"/>
      <c r="BQ824" s="2"/>
      <c r="BR824" s="6"/>
      <c r="BS824" s="6"/>
      <c r="BT824" s="2"/>
      <c r="BU824" s="2"/>
      <c r="BV824" s="2"/>
      <c r="BW824" s="2"/>
      <c r="BX824" s="2"/>
      <c r="BY824" s="2"/>
      <c r="BZ824" s="2"/>
      <c r="CA824" s="2"/>
      <c r="CB824" s="2"/>
      <c r="CC824" s="2"/>
      <c r="CD824" s="3"/>
      <c r="CE824" s="2"/>
      <c r="CF824" s="4"/>
      <c r="CG824" s="4"/>
      <c r="CI824" s="2"/>
    </row>
    <row r="825" spans="1:87" s="101" customFormat="1" x14ac:dyDescent="0.35">
      <c r="A825" s="1"/>
      <c r="C825" s="1"/>
      <c r="G825" s="2"/>
      <c r="H825" s="2"/>
      <c r="I825" s="2"/>
      <c r="J825" s="2"/>
      <c r="K825" s="81"/>
      <c r="L825" s="4"/>
      <c r="M825" s="4"/>
      <c r="N825" s="4"/>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3"/>
      <c r="AP825" s="2"/>
      <c r="AQ825" s="2"/>
      <c r="AR825" s="2"/>
      <c r="AS825" s="2"/>
      <c r="AT825" s="2"/>
      <c r="AU825" s="2"/>
      <c r="AV825" s="2"/>
      <c r="AW825" s="2"/>
      <c r="AX825" s="2"/>
      <c r="AY825" s="2"/>
      <c r="AZ825" s="5"/>
      <c r="BA825" s="2"/>
      <c r="BD825" s="2"/>
      <c r="BE825" s="2"/>
      <c r="BF825" s="2"/>
      <c r="BG825" s="2"/>
      <c r="BH825" s="2"/>
      <c r="BI825" s="2"/>
      <c r="BJ825" s="2"/>
      <c r="BK825" s="2"/>
      <c r="BM825" s="2"/>
      <c r="BN825" s="2"/>
      <c r="BO825" s="2"/>
      <c r="BP825" s="2"/>
      <c r="BQ825" s="2"/>
      <c r="BR825" s="6"/>
      <c r="BS825" s="6"/>
      <c r="BT825" s="2"/>
      <c r="BU825" s="2"/>
      <c r="BV825" s="2"/>
      <c r="BW825" s="2"/>
      <c r="BX825" s="2"/>
      <c r="BY825" s="2"/>
      <c r="BZ825" s="2"/>
      <c r="CA825" s="2"/>
      <c r="CB825" s="2"/>
      <c r="CC825" s="2"/>
      <c r="CD825" s="3"/>
      <c r="CE825" s="2"/>
      <c r="CF825" s="4"/>
      <c r="CG825" s="4"/>
      <c r="CI825" s="2"/>
    </row>
    <row r="826" spans="1:87" s="101" customFormat="1" x14ac:dyDescent="0.35">
      <c r="A826" s="1"/>
      <c r="C826" s="1"/>
      <c r="G826" s="2"/>
      <c r="H826" s="2"/>
      <c r="I826" s="2"/>
      <c r="J826" s="2"/>
      <c r="K826" s="81"/>
      <c r="L826" s="4"/>
      <c r="M826" s="4"/>
      <c r="N826" s="4"/>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3"/>
      <c r="AP826" s="2"/>
      <c r="AQ826" s="2"/>
      <c r="AR826" s="2"/>
      <c r="AS826" s="2"/>
      <c r="AT826" s="2"/>
      <c r="AU826" s="2"/>
      <c r="AV826" s="2"/>
      <c r="AW826" s="2"/>
      <c r="AX826" s="2"/>
      <c r="AY826" s="2"/>
      <c r="AZ826" s="5"/>
      <c r="BA826" s="2"/>
      <c r="BD826" s="2"/>
      <c r="BE826" s="2"/>
      <c r="BF826" s="2"/>
      <c r="BG826" s="2"/>
      <c r="BH826" s="2"/>
      <c r="BI826" s="2"/>
      <c r="BJ826" s="2"/>
      <c r="BK826" s="2"/>
      <c r="BM826" s="2"/>
      <c r="BN826" s="2"/>
      <c r="BO826" s="2"/>
      <c r="BP826" s="2"/>
      <c r="BQ826" s="2"/>
      <c r="BR826" s="6"/>
      <c r="BS826" s="6"/>
      <c r="BT826" s="2"/>
      <c r="BU826" s="2"/>
      <c r="BV826" s="2"/>
      <c r="BW826" s="2"/>
      <c r="BX826" s="2"/>
      <c r="BY826" s="2"/>
      <c r="BZ826" s="2"/>
      <c r="CA826" s="2"/>
      <c r="CB826" s="2"/>
      <c r="CC826" s="2"/>
      <c r="CD826" s="3"/>
      <c r="CE826" s="2"/>
      <c r="CF826" s="4"/>
      <c r="CG826" s="4"/>
      <c r="CI826" s="2"/>
    </row>
    <row r="827" spans="1:87" s="101" customFormat="1" x14ac:dyDescent="0.35">
      <c r="A827" s="1"/>
      <c r="C827" s="1"/>
      <c r="G827" s="2"/>
      <c r="H827" s="2"/>
      <c r="I827" s="2"/>
      <c r="J827" s="2"/>
      <c r="K827" s="81"/>
      <c r="L827" s="4"/>
      <c r="M827" s="4"/>
      <c r="N827" s="4"/>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3"/>
      <c r="AP827" s="2"/>
      <c r="AQ827" s="2"/>
      <c r="AR827" s="2"/>
      <c r="AS827" s="2"/>
      <c r="AT827" s="2"/>
      <c r="AU827" s="2"/>
      <c r="AV827" s="2"/>
      <c r="AW827" s="2"/>
      <c r="AX827" s="2"/>
      <c r="AY827" s="2"/>
      <c r="AZ827" s="5"/>
      <c r="BA827" s="2"/>
      <c r="BD827" s="2"/>
      <c r="BE827" s="2"/>
      <c r="BF827" s="2"/>
      <c r="BG827" s="2"/>
      <c r="BH827" s="2"/>
      <c r="BI827" s="2"/>
      <c r="BJ827" s="2"/>
      <c r="BK827" s="2"/>
      <c r="BM827" s="2"/>
      <c r="BN827" s="2"/>
      <c r="BO827" s="2"/>
      <c r="BP827" s="2"/>
      <c r="BQ827" s="2"/>
      <c r="BR827" s="6"/>
      <c r="BS827" s="6"/>
      <c r="BT827" s="2"/>
      <c r="BU827" s="2"/>
      <c r="BV827" s="2"/>
      <c r="BW827" s="2"/>
      <c r="BX827" s="2"/>
      <c r="BY827" s="2"/>
      <c r="BZ827" s="2"/>
      <c r="CA827" s="2"/>
      <c r="CB827" s="2"/>
      <c r="CC827" s="2"/>
      <c r="CD827" s="3"/>
      <c r="CE827" s="2"/>
      <c r="CF827" s="4"/>
      <c r="CG827" s="4"/>
      <c r="CI827" s="2"/>
    </row>
    <row r="828" spans="1:87" s="101" customFormat="1" x14ac:dyDescent="0.35">
      <c r="A828" s="1"/>
      <c r="C828" s="1"/>
      <c r="G828" s="2"/>
      <c r="H828" s="2"/>
      <c r="I828" s="2"/>
      <c r="J828" s="2"/>
      <c r="K828" s="81"/>
      <c r="L828" s="4"/>
      <c r="M828" s="4"/>
      <c r="N828" s="4"/>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3"/>
      <c r="AP828" s="2"/>
      <c r="AQ828" s="2"/>
      <c r="AR828" s="2"/>
      <c r="AS828" s="2"/>
      <c r="AT828" s="2"/>
      <c r="AU828" s="2"/>
      <c r="AV828" s="2"/>
      <c r="AW828" s="2"/>
      <c r="AX828" s="2"/>
      <c r="AY828" s="2"/>
      <c r="AZ828" s="5"/>
      <c r="BA828" s="2"/>
      <c r="BD828" s="2"/>
      <c r="BE828" s="2"/>
      <c r="BF828" s="2"/>
      <c r="BG828" s="2"/>
      <c r="BH828" s="2"/>
      <c r="BI828" s="2"/>
      <c r="BJ828" s="2"/>
      <c r="BK828" s="2"/>
      <c r="BM828" s="2"/>
      <c r="BN828" s="2"/>
      <c r="BO828" s="2"/>
      <c r="BP828" s="2"/>
      <c r="BQ828" s="2"/>
      <c r="BR828" s="6"/>
      <c r="BS828" s="6"/>
      <c r="BT828" s="2"/>
      <c r="BU828" s="2"/>
      <c r="BV828" s="2"/>
      <c r="BW828" s="2"/>
      <c r="BX828" s="2"/>
      <c r="BY828" s="2"/>
      <c r="BZ828" s="2"/>
      <c r="CA828" s="2"/>
      <c r="CB828" s="2"/>
      <c r="CC828" s="2"/>
      <c r="CD828" s="3"/>
      <c r="CE828" s="2"/>
      <c r="CF828" s="4"/>
      <c r="CG828" s="4"/>
      <c r="CI828" s="2"/>
    </row>
    <row r="829" spans="1:87" s="101" customFormat="1" x14ac:dyDescent="0.35">
      <c r="A829" s="1"/>
      <c r="C829" s="1"/>
      <c r="G829" s="2"/>
      <c r="H829" s="2"/>
      <c r="I829" s="2"/>
      <c r="J829" s="2"/>
      <c r="K829" s="81"/>
      <c r="L829" s="4"/>
      <c r="M829" s="4"/>
      <c r="N829" s="4"/>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3"/>
      <c r="AP829" s="2"/>
      <c r="AQ829" s="2"/>
      <c r="AR829" s="2"/>
      <c r="AS829" s="2"/>
      <c r="AT829" s="2"/>
      <c r="AU829" s="2"/>
      <c r="AV829" s="2"/>
      <c r="AW829" s="2"/>
      <c r="AX829" s="2"/>
      <c r="AY829" s="2"/>
      <c r="AZ829" s="5"/>
      <c r="BA829" s="2"/>
      <c r="BD829" s="2"/>
      <c r="BE829" s="2"/>
      <c r="BF829" s="2"/>
      <c r="BG829" s="2"/>
      <c r="BH829" s="2"/>
      <c r="BI829" s="2"/>
      <c r="BJ829" s="2"/>
      <c r="BK829" s="2"/>
      <c r="BM829" s="2"/>
      <c r="BN829" s="2"/>
      <c r="BO829" s="2"/>
      <c r="BP829" s="2"/>
      <c r="BQ829" s="2"/>
      <c r="BR829" s="6"/>
      <c r="BS829" s="6"/>
      <c r="BT829" s="2"/>
      <c r="BU829" s="2"/>
      <c r="BV829" s="2"/>
      <c r="BW829" s="2"/>
      <c r="BX829" s="2"/>
      <c r="BY829" s="2"/>
      <c r="BZ829" s="2"/>
      <c r="CA829" s="2"/>
      <c r="CB829" s="2"/>
      <c r="CC829" s="2"/>
      <c r="CD829" s="3"/>
      <c r="CE829" s="2"/>
      <c r="CF829" s="4"/>
      <c r="CG829" s="4"/>
      <c r="CI829" s="2"/>
    </row>
    <row r="830" spans="1:87" s="101" customFormat="1" x14ac:dyDescent="0.35">
      <c r="A830" s="1"/>
      <c r="C830" s="1"/>
      <c r="G830" s="2"/>
      <c r="H830" s="2"/>
      <c r="I830" s="2"/>
      <c r="J830" s="2"/>
      <c r="K830" s="81"/>
      <c r="L830" s="4"/>
      <c r="M830" s="4"/>
      <c r="N830" s="4"/>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3"/>
      <c r="AP830" s="2"/>
      <c r="AQ830" s="2"/>
      <c r="AR830" s="2"/>
      <c r="AS830" s="2"/>
      <c r="AT830" s="2"/>
      <c r="AU830" s="2"/>
      <c r="AV830" s="2"/>
      <c r="AW830" s="2"/>
      <c r="AX830" s="2"/>
      <c r="AY830" s="2"/>
      <c r="AZ830" s="5"/>
      <c r="BA830" s="2"/>
      <c r="BD830" s="2"/>
      <c r="BE830" s="2"/>
      <c r="BF830" s="2"/>
      <c r="BG830" s="2"/>
      <c r="BH830" s="2"/>
      <c r="BI830" s="2"/>
      <c r="BJ830" s="2"/>
      <c r="BK830" s="2"/>
      <c r="BM830" s="2"/>
      <c r="BN830" s="2"/>
      <c r="BO830" s="2"/>
      <c r="BP830" s="2"/>
      <c r="BQ830" s="2"/>
      <c r="BR830" s="6"/>
      <c r="BS830" s="6"/>
      <c r="BT830" s="2"/>
      <c r="BU830" s="2"/>
      <c r="BV830" s="2"/>
      <c r="BW830" s="2"/>
      <c r="BX830" s="2"/>
      <c r="BY830" s="2"/>
      <c r="BZ830" s="2"/>
      <c r="CA830" s="2"/>
      <c r="CB830" s="2"/>
      <c r="CC830" s="2"/>
      <c r="CD830" s="3"/>
      <c r="CE830" s="2"/>
      <c r="CF830" s="4"/>
      <c r="CG830" s="4"/>
      <c r="CI830" s="2"/>
    </row>
    <row r="831" spans="1:87" s="101" customFormat="1" x14ac:dyDescent="0.35">
      <c r="A831" s="1"/>
      <c r="C831" s="1"/>
      <c r="G831" s="2"/>
      <c r="H831" s="2"/>
      <c r="I831" s="2"/>
      <c r="J831" s="2"/>
      <c r="K831" s="81"/>
      <c r="L831" s="4"/>
      <c r="M831" s="4"/>
      <c r="N831" s="4"/>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3"/>
      <c r="AP831" s="2"/>
      <c r="AQ831" s="2"/>
      <c r="AR831" s="2"/>
      <c r="AS831" s="2"/>
      <c r="AT831" s="2"/>
      <c r="AU831" s="2"/>
      <c r="AV831" s="2"/>
      <c r="AW831" s="2"/>
      <c r="AX831" s="2"/>
      <c r="AY831" s="2"/>
      <c r="AZ831" s="5"/>
      <c r="BA831" s="2"/>
      <c r="BD831" s="2"/>
      <c r="BE831" s="2"/>
      <c r="BF831" s="2"/>
      <c r="BG831" s="2"/>
      <c r="BH831" s="2"/>
      <c r="BI831" s="2"/>
      <c r="BJ831" s="2"/>
      <c r="BK831" s="2"/>
      <c r="BM831" s="2"/>
      <c r="BN831" s="2"/>
      <c r="BO831" s="2"/>
      <c r="BP831" s="2"/>
      <c r="BQ831" s="2"/>
      <c r="BR831" s="6"/>
      <c r="BS831" s="6"/>
      <c r="BT831" s="2"/>
      <c r="BU831" s="2"/>
      <c r="BV831" s="2"/>
      <c r="BW831" s="2"/>
      <c r="BX831" s="2"/>
      <c r="BY831" s="2"/>
      <c r="BZ831" s="2"/>
      <c r="CA831" s="2"/>
      <c r="CB831" s="2"/>
      <c r="CC831" s="2"/>
      <c r="CD831" s="3"/>
      <c r="CE831" s="2"/>
      <c r="CF831" s="4"/>
      <c r="CG831" s="4"/>
      <c r="CI831" s="2"/>
    </row>
    <row r="832" spans="1:87" s="101" customFormat="1" x14ac:dyDescent="0.35">
      <c r="A832" s="1"/>
      <c r="C832" s="1"/>
      <c r="G832" s="2"/>
      <c r="H832" s="2"/>
      <c r="I832" s="2"/>
      <c r="J832" s="2"/>
      <c r="K832" s="81"/>
      <c r="L832" s="4"/>
      <c r="M832" s="4"/>
      <c r="N832" s="4"/>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3"/>
      <c r="AP832" s="2"/>
      <c r="AQ832" s="2"/>
      <c r="AR832" s="2"/>
      <c r="AS832" s="2"/>
      <c r="AT832" s="2"/>
      <c r="AU832" s="2"/>
      <c r="AV832" s="2"/>
      <c r="AW832" s="2"/>
      <c r="AX832" s="2"/>
      <c r="AY832" s="2"/>
      <c r="AZ832" s="5"/>
      <c r="BA832" s="2"/>
      <c r="BD832" s="2"/>
      <c r="BE832" s="2"/>
      <c r="BF832" s="2"/>
      <c r="BG832" s="2"/>
      <c r="BH832" s="2"/>
      <c r="BI832" s="2"/>
      <c r="BJ832" s="2"/>
      <c r="BK832" s="2"/>
      <c r="BM832" s="2"/>
      <c r="BN832" s="2"/>
      <c r="BO832" s="2"/>
      <c r="BP832" s="2"/>
      <c r="BQ832" s="2"/>
      <c r="BR832" s="6"/>
      <c r="BS832" s="6"/>
      <c r="BT832" s="2"/>
      <c r="BU832" s="2"/>
      <c r="BV832" s="2"/>
      <c r="BW832" s="2"/>
      <c r="BX832" s="2"/>
      <c r="BY832" s="2"/>
      <c r="BZ832" s="2"/>
      <c r="CA832" s="2"/>
      <c r="CB832" s="2"/>
      <c r="CC832" s="2"/>
      <c r="CD832" s="3"/>
      <c r="CE832" s="2"/>
      <c r="CF832" s="4"/>
      <c r="CG832" s="4"/>
      <c r="CI832" s="2"/>
    </row>
    <row r="833" spans="1:87" s="101" customFormat="1" x14ac:dyDescent="0.35">
      <c r="A833" s="1"/>
      <c r="C833" s="1"/>
      <c r="G833" s="2"/>
      <c r="H833" s="2"/>
      <c r="I833" s="2"/>
      <c r="J833" s="2"/>
      <c r="K833" s="81"/>
      <c r="L833" s="4"/>
      <c r="M833" s="4"/>
      <c r="N833" s="4"/>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3"/>
      <c r="AP833" s="2"/>
      <c r="AQ833" s="2"/>
      <c r="AR833" s="2"/>
      <c r="AS833" s="2"/>
      <c r="AT833" s="2"/>
      <c r="AU833" s="2"/>
      <c r="AV833" s="2"/>
      <c r="AW833" s="2"/>
      <c r="AX833" s="2"/>
      <c r="AY833" s="2"/>
      <c r="AZ833" s="5"/>
      <c r="BA833" s="2"/>
      <c r="BD833" s="2"/>
      <c r="BE833" s="2"/>
      <c r="BF833" s="2"/>
      <c r="BG833" s="2"/>
      <c r="BH833" s="2"/>
      <c r="BI833" s="2"/>
      <c r="BJ833" s="2"/>
      <c r="BK833" s="2"/>
      <c r="BM833" s="2"/>
      <c r="BN833" s="2"/>
      <c r="BO833" s="2"/>
      <c r="BP833" s="2"/>
      <c r="BQ833" s="2"/>
      <c r="BR833" s="6"/>
      <c r="BS833" s="6"/>
      <c r="BT833" s="2"/>
      <c r="BU833" s="2"/>
      <c r="BV833" s="2"/>
      <c r="BW833" s="2"/>
      <c r="BX833" s="2"/>
      <c r="BY833" s="2"/>
      <c r="BZ833" s="2"/>
      <c r="CA833" s="2"/>
      <c r="CB833" s="2"/>
      <c r="CC833" s="2"/>
      <c r="CD833" s="3"/>
      <c r="CE833" s="2"/>
      <c r="CF833" s="4"/>
      <c r="CG833" s="4"/>
      <c r="CI833" s="2"/>
    </row>
    <row r="834" spans="1:87" s="101" customFormat="1" x14ac:dyDescent="0.35">
      <c r="A834" s="1"/>
      <c r="C834" s="1"/>
      <c r="G834" s="2"/>
      <c r="H834" s="2"/>
      <c r="I834" s="2"/>
      <c r="J834" s="2"/>
      <c r="K834" s="81"/>
      <c r="L834" s="4"/>
      <c r="M834" s="4"/>
      <c r="N834" s="4"/>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3"/>
      <c r="AP834" s="2"/>
      <c r="AQ834" s="2"/>
      <c r="AR834" s="2"/>
      <c r="AS834" s="2"/>
      <c r="AT834" s="2"/>
      <c r="AU834" s="2"/>
      <c r="AV834" s="2"/>
      <c r="AW834" s="2"/>
      <c r="AX834" s="2"/>
      <c r="AY834" s="2"/>
      <c r="AZ834" s="5"/>
      <c r="BA834" s="2"/>
      <c r="BD834" s="2"/>
      <c r="BE834" s="2"/>
      <c r="BF834" s="2"/>
      <c r="BG834" s="2"/>
      <c r="BH834" s="2"/>
      <c r="BI834" s="2"/>
      <c r="BJ834" s="2"/>
      <c r="BK834" s="2"/>
      <c r="BM834" s="2"/>
      <c r="BN834" s="2"/>
      <c r="BO834" s="2"/>
      <c r="BP834" s="2"/>
      <c r="BQ834" s="2"/>
      <c r="BR834" s="6"/>
      <c r="BS834" s="6"/>
      <c r="BT834" s="2"/>
      <c r="BU834" s="2"/>
      <c r="BV834" s="2"/>
      <c r="BW834" s="2"/>
      <c r="BX834" s="2"/>
      <c r="BY834" s="2"/>
      <c r="BZ834" s="2"/>
      <c r="CA834" s="2"/>
      <c r="CB834" s="2"/>
      <c r="CC834" s="2"/>
      <c r="CD834" s="3"/>
      <c r="CE834" s="2"/>
      <c r="CF834" s="4"/>
      <c r="CG834" s="4"/>
      <c r="CI834" s="2"/>
    </row>
    <row r="835" spans="1:87" s="101" customFormat="1" x14ac:dyDescent="0.35">
      <c r="A835" s="1"/>
      <c r="C835" s="1"/>
      <c r="G835" s="2"/>
      <c r="H835" s="2"/>
      <c r="I835" s="2"/>
      <c r="J835" s="2"/>
      <c r="K835" s="81"/>
      <c r="L835" s="4"/>
      <c r="M835" s="4"/>
      <c r="N835" s="4"/>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3"/>
      <c r="AP835" s="2"/>
      <c r="AQ835" s="2"/>
      <c r="AR835" s="2"/>
      <c r="AS835" s="2"/>
      <c r="AT835" s="2"/>
      <c r="AU835" s="2"/>
      <c r="AV835" s="2"/>
      <c r="AW835" s="2"/>
      <c r="AX835" s="2"/>
      <c r="AY835" s="2"/>
      <c r="AZ835" s="5"/>
      <c r="BA835" s="2"/>
      <c r="BD835" s="2"/>
      <c r="BE835" s="2"/>
      <c r="BF835" s="2"/>
      <c r="BG835" s="2"/>
      <c r="BH835" s="2"/>
      <c r="BI835" s="2"/>
      <c r="BJ835" s="2"/>
      <c r="BK835" s="2"/>
      <c r="BM835" s="2"/>
      <c r="BN835" s="2"/>
      <c r="BO835" s="2"/>
      <c r="BP835" s="2"/>
      <c r="BQ835" s="2"/>
      <c r="BR835" s="6"/>
      <c r="BS835" s="6"/>
      <c r="BT835" s="2"/>
      <c r="BU835" s="2"/>
      <c r="BV835" s="2"/>
      <c r="BW835" s="2"/>
      <c r="BX835" s="2"/>
      <c r="BY835" s="2"/>
      <c r="BZ835" s="2"/>
      <c r="CA835" s="2"/>
      <c r="CB835" s="2"/>
      <c r="CC835" s="2"/>
      <c r="CD835" s="3"/>
      <c r="CE835" s="2"/>
      <c r="CF835" s="4"/>
      <c r="CG835" s="4"/>
      <c r="CI835" s="2"/>
    </row>
    <row r="836" spans="1:87" s="101" customFormat="1" x14ac:dyDescent="0.35">
      <c r="A836" s="1"/>
      <c r="C836" s="1"/>
      <c r="G836" s="2"/>
      <c r="H836" s="2"/>
      <c r="I836" s="2"/>
      <c r="J836" s="2"/>
      <c r="K836" s="81"/>
      <c r="L836" s="4"/>
      <c r="M836" s="4"/>
      <c r="N836" s="4"/>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3"/>
      <c r="AP836" s="2"/>
      <c r="AQ836" s="2"/>
      <c r="AR836" s="2"/>
      <c r="AS836" s="2"/>
      <c r="AT836" s="2"/>
      <c r="AU836" s="2"/>
      <c r="AV836" s="2"/>
      <c r="AW836" s="2"/>
      <c r="AX836" s="2"/>
      <c r="AY836" s="2"/>
      <c r="AZ836" s="5"/>
      <c r="BA836" s="2"/>
      <c r="BD836" s="2"/>
      <c r="BE836" s="2"/>
      <c r="BF836" s="2"/>
      <c r="BG836" s="2"/>
      <c r="BH836" s="2"/>
      <c r="BI836" s="2"/>
      <c r="BJ836" s="2"/>
      <c r="BK836" s="2"/>
      <c r="BM836" s="2"/>
      <c r="BN836" s="2"/>
      <c r="BO836" s="2"/>
      <c r="BP836" s="2"/>
      <c r="BQ836" s="2"/>
      <c r="BR836" s="6"/>
      <c r="BS836" s="6"/>
      <c r="BT836" s="2"/>
      <c r="BU836" s="2"/>
      <c r="BV836" s="2"/>
      <c r="BW836" s="2"/>
      <c r="BX836" s="2"/>
      <c r="BY836" s="2"/>
      <c r="BZ836" s="2"/>
      <c r="CA836" s="2"/>
      <c r="CB836" s="2"/>
      <c r="CC836" s="2"/>
      <c r="CD836" s="3"/>
      <c r="CE836" s="2"/>
      <c r="CF836" s="4"/>
      <c r="CG836" s="4"/>
      <c r="CI836" s="2"/>
    </row>
    <row r="837" spans="1:87" s="101" customFormat="1" x14ac:dyDescent="0.35">
      <c r="A837" s="1"/>
      <c r="C837" s="1"/>
      <c r="G837" s="2"/>
      <c r="H837" s="2"/>
      <c r="I837" s="2"/>
      <c r="J837" s="2"/>
      <c r="K837" s="81"/>
      <c r="L837" s="4"/>
      <c r="M837" s="4"/>
      <c r="N837" s="4"/>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3"/>
      <c r="AP837" s="2"/>
      <c r="AQ837" s="2"/>
      <c r="AR837" s="2"/>
      <c r="AS837" s="2"/>
      <c r="AT837" s="2"/>
      <c r="AU837" s="2"/>
      <c r="AV837" s="2"/>
      <c r="AW837" s="2"/>
      <c r="AX837" s="2"/>
      <c r="AY837" s="2"/>
      <c r="AZ837" s="5"/>
      <c r="BA837" s="2"/>
      <c r="BD837" s="2"/>
      <c r="BE837" s="2"/>
      <c r="BF837" s="2"/>
      <c r="BG837" s="2"/>
      <c r="BH837" s="2"/>
      <c r="BI837" s="2"/>
      <c r="BJ837" s="2"/>
      <c r="BK837" s="2"/>
      <c r="BM837" s="2"/>
      <c r="BN837" s="2"/>
      <c r="BO837" s="2"/>
      <c r="BP837" s="2"/>
      <c r="BQ837" s="2"/>
      <c r="BR837" s="6"/>
      <c r="BS837" s="6"/>
      <c r="BT837" s="2"/>
      <c r="BU837" s="2"/>
      <c r="BV837" s="2"/>
      <c r="BW837" s="2"/>
      <c r="BX837" s="2"/>
      <c r="BY837" s="2"/>
      <c r="BZ837" s="2"/>
      <c r="CA837" s="2"/>
      <c r="CB837" s="2"/>
      <c r="CC837" s="2"/>
      <c r="CD837" s="3"/>
      <c r="CE837" s="2"/>
      <c r="CF837" s="4"/>
      <c r="CG837" s="4"/>
      <c r="CI837" s="2"/>
    </row>
    <row r="838" spans="1:87" s="101" customFormat="1" x14ac:dyDescent="0.35">
      <c r="A838" s="1"/>
      <c r="C838" s="1"/>
      <c r="G838" s="2"/>
      <c r="H838" s="2"/>
      <c r="I838" s="2"/>
      <c r="J838" s="2"/>
      <c r="K838" s="81"/>
      <c r="L838" s="4"/>
      <c r="M838" s="4"/>
      <c r="N838" s="4"/>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3"/>
      <c r="AP838" s="2"/>
      <c r="AQ838" s="2"/>
      <c r="AR838" s="2"/>
      <c r="AS838" s="2"/>
      <c r="AT838" s="2"/>
      <c r="AU838" s="2"/>
      <c r="AV838" s="2"/>
      <c r="AW838" s="2"/>
      <c r="AX838" s="2"/>
      <c r="AY838" s="2"/>
      <c r="AZ838" s="5"/>
      <c r="BA838" s="2"/>
      <c r="BD838" s="2"/>
      <c r="BE838" s="2"/>
      <c r="BF838" s="2"/>
      <c r="BG838" s="2"/>
      <c r="BH838" s="2"/>
      <c r="BI838" s="2"/>
      <c r="BJ838" s="2"/>
      <c r="BK838" s="2"/>
      <c r="BM838" s="2"/>
      <c r="BN838" s="2"/>
      <c r="BO838" s="2"/>
      <c r="BP838" s="2"/>
      <c r="BQ838" s="2"/>
      <c r="BR838" s="6"/>
      <c r="BS838" s="6"/>
      <c r="BT838" s="2"/>
      <c r="BU838" s="2"/>
      <c r="BV838" s="2"/>
      <c r="BW838" s="2"/>
      <c r="BX838" s="2"/>
      <c r="BY838" s="2"/>
      <c r="BZ838" s="2"/>
      <c r="CA838" s="2"/>
      <c r="CB838" s="2"/>
      <c r="CC838" s="2"/>
      <c r="CD838" s="3"/>
      <c r="CE838" s="2"/>
      <c r="CF838" s="4"/>
      <c r="CG838" s="4"/>
      <c r="CI838" s="2"/>
    </row>
    <row r="839" spans="1:87" s="101" customFormat="1" x14ac:dyDescent="0.35">
      <c r="A839" s="1"/>
      <c r="C839" s="1"/>
      <c r="G839" s="2"/>
      <c r="H839" s="2"/>
      <c r="I839" s="2"/>
      <c r="J839" s="2"/>
      <c r="K839" s="81"/>
      <c r="L839" s="4"/>
      <c r="M839" s="4"/>
      <c r="N839" s="4"/>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3"/>
      <c r="AP839" s="2"/>
      <c r="AQ839" s="2"/>
      <c r="AR839" s="2"/>
      <c r="AS839" s="2"/>
      <c r="AT839" s="2"/>
      <c r="AU839" s="2"/>
      <c r="AV839" s="2"/>
      <c r="AW839" s="2"/>
      <c r="AX839" s="2"/>
      <c r="AY839" s="2"/>
      <c r="AZ839" s="5"/>
      <c r="BA839" s="2"/>
      <c r="BD839" s="2"/>
      <c r="BE839" s="2"/>
      <c r="BF839" s="2"/>
      <c r="BG839" s="2"/>
      <c r="BH839" s="2"/>
      <c r="BI839" s="2"/>
      <c r="BJ839" s="2"/>
      <c r="BK839" s="2"/>
      <c r="BM839" s="2"/>
      <c r="BN839" s="2"/>
      <c r="BO839" s="2"/>
      <c r="BP839" s="2"/>
      <c r="BQ839" s="2"/>
      <c r="BR839" s="6"/>
      <c r="BS839" s="6"/>
      <c r="BT839" s="2"/>
      <c r="BU839" s="2"/>
      <c r="BV839" s="2"/>
      <c r="BW839" s="2"/>
      <c r="BX839" s="2"/>
      <c r="BY839" s="2"/>
      <c r="BZ839" s="2"/>
      <c r="CA839" s="2"/>
      <c r="CB839" s="2"/>
      <c r="CC839" s="2"/>
      <c r="CD839" s="3"/>
      <c r="CE839" s="2"/>
      <c r="CF839" s="4"/>
      <c r="CG839" s="4"/>
      <c r="CI839" s="2"/>
    </row>
    <row r="840" spans="1:87" s="101" customFormat="1" x14ac:dyDescent="0.35">
      <c r="A840" s="1"/>
      <c r="C840" s="1"/>
      <c r="G840" s="2"/>
      <c r="H840" s="2"/>
      <c r="I840" s="2"/>
      <c r="J840" s="2"/>
      <c r="K840" s="81"/>
      <c r="L840" s="4"/>
      <c r="M840" s="4"/>
      <c r="N840" s="4"/>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3"/>
      <c r="AP840" s="2"/>
      <c r="AQ840" s="2"/>
      <c r="AR840" s="2"/>
      <c r="AS840" s="2"/>
      <c r="AT840" s="2"/>
      <c r="AU840" s="2"/>
      <c r="AV840" s="2"/>
      <c r="AW840" s="2"/>
      <c r="AX840" s="2"/>
      <c r="AY840" s="2"/>
      <c r="AZ840" s="5"/>
      <c r="BA840" s="2"/>
      <c r="BD840" s="2"/>
      <c r="BE840" s="2"/>
      <c r="BF840" s="2"/>
      <c r="BG840" s="2"/>
      <c r="BH840" s="2"/>
      <c r="BI840" s="2"/>
      <c r="BJ840" s="2"/>
      <c r="BK840" s="2"/>
      <c r="BM840" s="2"/>
      <c r="BN840" s="2"/>
      <c r="BO840" s="2"/>
      <c r="BP840" s="2"/>
      <c r="BQ840" s="2"/>
      <c r="BR840" s="6"/>
      <c r="BS840" s="6"/>
      <c r="BT840" s="2"/>
      <c r="BU840" s="2"/>
      <c r="BV840" s="2"/>
      <c r="BW840" s="2"/>
      <c r="BX840" s="2"/>
      <c r="BY840" s="2"/>
      <c r="BZ840" s="2"/>
      <c r="CA840" s="2"/>
      <c r="CB840" s="2"/>
      <c r="CC840" s="2"/>
      <c r="CD840" s="3"/>
      <c r="CE840" s="2"/>
      <c r="CF840" s="4"/>
      <c r="CG840" s="4"/>
      <c r="CI840" s="2"/>
    </row>
    <row r="841" spans="1:87" s="101" customFormat="1" x14ac:dyDescent="0.35">
      <c r="A841" s="1"/>
      <c r="C841" s="1"/>
      <c r="G841" s="2"/>
      <c r="H841" s="2"/>
      <c r="I841" s="2"/>
      <c r="J841" s="2"/>
      <c r="K841" s="81"/>
      <c r="L841" s="4"/>
      <c r="M841" s="4"/>
      <c r="N841" s="4"/>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3"/>
      <c r="AP841" s="2"/>
      <c r="AQ841" s="2"/>
      <c r="AR841" s="2"/>
      <c r="AS841" s="2"/>
      <c r="AT841" s="2"/>
      <c r="AU841" s="2"/>
      <c r="AV841" s="2"/>
      <c r="AW841" s="2"/>
      <c r="AX841" s="2"/>
      <c r="AY841" s="2"/>
      <c r="AZ841" s="5"/>
      <c r="BA841" s="2"/>
      <c r="BD841" s="2"/>
      <c r="BE841" s="2"/>
      <c r="BF841" s="2"/>
      <c r="BG841" s="2"/>
      <c r="BH841" s="2"/>
      <c r="BI841" s="2"/>
      <c r="BJ841" s="2"/>
      <c r="BK841" s="2"/>
      <c r="BM841" s="2"/>
      <c r="BN841" s="2"/>
      <c r="BO841" s="2"/>
      <c r="BP841" s="2"/>
      <c r="BQ841" s="2"/>
      <c r="BR841" s="6"/>
      <c r="BS841" s="6"/>
      <c r="BT841" s="2"/>
      <c r="BU841" s="2"/>
      <c r="BV841" s="2"/>
      <c r="BW841" s="2"/>
      <c r="BX841" s="2"/>
      <c r="BY841" s="2"/>
      <c r="BZ841" s="2"/>
      <c r="CA841" s="2"/>
      <c r="CB841" s="2"/>
      <c r="CC841" s="2"/>
      <c r="CD841" s="3"/>
      <c r="CE841" s="2"/>
      <c r="CF841" s="4"/>
      <c r="CG841" s="4"/>
      <c r="CI841" s="2"/>
    </row>
    <row r="842" spans="1:87" s="101" customFormat="1" x14ac:dyDescent="0.35">
      <c r="A842" s="1"/>
      <c r="C842" s="1"/>
      <c r="G842" s="2"/>
      <c r="H842" s="2"/>
      <c r="I842" s="2"/>
      <c r="J842" s="2"/>
      <c r="K842" s="81"/>
      <c r="L842" s="4"/>
      <c r="M842" s="4"/>
      <c r="N842" s="4"/>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3"/>
      <c r="AP842" s="2"/>
      <c r="AQ842" s="2"/>
      <c r="AR842" s="2"/>
      <c r="AS842" s="2"/>
      <c r="AT842" s="2"/>
      <c r="AU842" s="2"/>
      <c r="AV842" s="2"/>
      <c r="AW842" s="2"/>
      <c r="AX842" s="2"/>
      <c r="AY842" s="2"/>
      <c r="AZ842" s="5"/>
      <c r="BA842" s="2"/>
      <c r="BD842" s="2"/>
      <c r="BE842" s="2"/>
      <c r="BF842" s="2"/>
      <c r="BG842" s="2"/>
      <c r="BH842" s="2"/>
      <c r="BI842" s="2"/>
      <c r="BJ842" s="2"/>
      <c r="BK842" s="2"/>
      <c r="BM842" s="2"/>
      <c r="BN842" s="2"/>
      <c r="BO842" s="2"/>
      <c r="BP842" s="2"/>
      <c r="BQ842" s="2"/>
      <c r="BR842" s="6"/>
      <c r="BS842" s="6"/>
      <c r="BT842" s="2"/>
      <c r="BU842" s="2"/>
      <c r="BV842" s="2"/>
      <c r="BW842" s="2"/>
      <c r="BX842" s="2"/>
      <c r="BY842" s="2"/>
      <c r="BZ842" s="2"/>
      <c r="CA842" s="2"/>
      <c r="CB842" s="2"/>
      <c r="CC842" s="2"/>
      <c r="CD842" s="3"/>
      <c r="CE842" s="2"/>
      <c r="CF842" s="4"/>
      <c r="CG842" s="4"/>
      <c r="CI842" s="2"/>
    </row>
    <row r="843" spans="1:87" s="101" customFormat="1" x14ac:dyDescent="0.35">
      <c r="A843" s="1"/>
      <c r="C843" s="1"/>
      <c r="G843" s="2"/>
      <c r="H843" s="2"/>
      <c r="I843" s="2"/>
      <c r="J843" s="2"/>
      <c r="K843" s="81"/>
      <c r="L843" s="4"/>
      <c r="M843" s="4"/>
      <c r="N843" s="4"/>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3"/>
      <c r="AP843" s="2"/>
      <c r="AQ843" s="2"/>
      <c r="AR843" s="2"/>
      <c r="AS843" s="2"/>
      <c r="AT843" s="2"/>
      <c r="AU843" s="2"/>
      <c r="AV843" s="2"/>
      <c r="AW843" s="2"/>
      <c r="AX843" s="2"/>
      <c r="AY843" s="2"/>
      <c r="AZ843" s="5"/>
      <c r="BA843" s="2"/>
      <c r="BD843" s="2"/>
      <c r="BE843" s="2"/>
      <c r="BF843" s="2"/>
      <c r="BG843" s="2"/>
      <c r="BH843" s="2"/>
      <c r="BI843" s="2"/>
      <c r="BJ843" s="2"/>
      <c r="BK843" s="2"/>
      <c r="BM843" s="2"/>
      <c r="BN843" s="2"/>
      <c r="BO843" s="2"/>
      <c r="BP843" s="2"/>
      <c r="BQ843" s="2"/>
      <c r="BR843" s="6"/>
      <c r="BS843" s="6"/>
      <c r="BT843" s="2"/>
      <c r="BU843" s="2"/>
      <c r="BV843" s="2"/>
      <c r="BW843" s="2"/>
      <c r="BX843" s="2"/>
      <c r="BY843" s="2"/>
      <c r="BZ843" s="2"/>
      <c r="CA843" s="2"/>
      <c r="CB843" s="2"/>
      <c r="CC843" s="2"/>
      <c r="CD843" s="3"/>
      <c r="CE843" s="2"/>
      <c r="CF843" s="4"/>
      <c r="CG843" s="4"/>
      <c r="CI843" s="2"/>
    </row>
    <row r="844" spans="1:87" s="101" customFormat="1" x14ac:dyDescent="0.35">
      <c r="A844" s="1"/>
      <c r="C844" s="1"/>
      <c r="G844" s="2"/>
      <c r="H844" s="2"/>
      <c r="I844" s="2"/>
      <c r="J844" s="2"/>
      <c r="K844" s="81"/>
      <c r="L844" s="4"/>
      <c r="M844" s="4"/>
      <c r="N844" s="4"/>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3"/>
      <c r="AP844" s="2"/>
      <c r="AQ844" s="2"/>
      <c r="AR844" s="2"/>
      <c r="AS844" s="2"/>
      <c r="AT844" s="2"/>
      <c r="AU844" s="2"/>
      <c r="AV844" s="2"/>
      <c r="AW844" s="2"/>
      <c r="AX844" s="2"/>
      <c r="AY844" s="2"/>
      <c r="AZ844" s="5"/>
      <c r="BA844" s="2"/>
      <c r="BD844" s="2"/>
      <c r="BE844" s="2"/>
      <c r="BF844" s="2"/>
      <c r="BG844" s="2"/>
      <c r="BH844" s="2"/>
      <c r="BI844" s="2"/>
      <c r="BJ844" s="2"/>
      <c r="BK844" s="2"/>
      <c r="BM844" s="2"/>
      <c r="BN844" s="2"/>
      <c r="BO844" s="2"/>
      <c r="BP844" s="2"/>
      <c r="BQ844" s="2"/>
      <c r="BR844" s="6"/>
      <c r="BS844" s="6"/>
      <c r="BT844" s="2"/>
      <c r="BU844" s="2"/>
      <c r="BV844" s="2"/>
      <c r="BW844" s="2"/>
      <c r="BX844" s="2"/>
      <c r="BY844" s="2"/>
      <c r="BZ844" s="2"/>
      <c r="CA844" s="2"/>
      <c r="CB844" s="2"/>
      <c r="CC844" s="2"/>
      <c r="CD844" s="3"/>
      <c r="CE844" s="2"/>
      <c r="CF844" s="4"/>
      <c r="CG844" s="4"/>
      <c r="CI844" s="2"/>
    </row>
    <row r="845" spans="1:87" s="101" customFormat="1" x14ac:dyDescent="0.35">
      <c r="A845" s="1"/>
      <c r="C845" s="1"/>
      <c r="G845" s="2"/>
      <c r="H845" s="2"/>
      <c r="I845" s="2"/>
      <c r="J845" s="2"/>
      <c r="K845" s="81"/>
      <c r="L845" s="4"/>
      <c r="M845" s="4"/>
      <c r="N845" s="4"/>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3"/>
      <c r="AP845" s="2"/>
      <c r="AQ845" s="2"/>
      <c r="AR845" s="2"/>
      <c r="AS845" s="2"/>
      <c r="AT845" s="2"/>
      <c r="AU845" s="2"/>
      <c r="AV845" s="2"/>
      <c r="AW845" s="2"/>
      <c r="AX845" s="2"/>
      <c r="AY845" s="2"/>
      <c r="AZ845" s="5"/>
      <c r="BA845" s="2"/>
      <c r="BD845" s="2"/>
      <c r="BE845" s="2"/>
      <c r="BF845" s="2"/>
      <c r="BG845" s="2"/>
      <c r="BH845" s="2"/>
      <c r="BI845" s="2"/>
      <c r="BJ845" s="2"/>
      <c r="BK845" s="2"/>
      <c r="BM845" s="2"/>
      <c r="BN845" s="2"/>
      <c r="BO845" s="2"/>
      <c r="BP845" s="2"/>
      <c r="BQ845" s="2"/>
      <c r="BR845" s="6"/>
      <c r="BS845" s="6"/>
      <c r="BT845" s="2"/>
      <c r="BU845" s="2"/>
      <c r="BV845" s="2"/>
      <c r="BW845" s="2"/>
      <c r="BX845" s="2"/>
      <c r="BY845" s="2"/>
      <c r="BZ845" s="2"/>
      <c r="CA845" s="2"/>
      <c r="CB845" s="2"/>
      <c r="CC845" s="2"/>
      <c r="CD845" s="3"/>
      <c r="CE845" s="2"/>
      <c r="CF845" s="4"/>
      <c r="CG845" s="4"/>
      <c r="CI845" s="2"/>
    </row>
    <row r="846" spans="1:87" s="101" customFormat="1" x14ac:dyDescent="0.35">
      <c r="A846" s="1"/>
      <c r="C846" s="1"/>
      <c r="G846" s="2"/>
      <c r="H846" s="2"/>
      <c r="I846" s="2"/>
      <c r="J846" s="2"/>
      <c r="K846" s="81"/>
      <c r="L846" s="4"/>
      <c r="M846" s="4"/>
      <c r="N846" s="4"/>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3"/>
      <c r="AP846" s="2"/>
      <c r="AQ846" s="2"/>
      <c r="AR846" s="2"/>
      <c r="AS846" s="2"/>
      <c r="AT846" s="2"/>
      <c r="AU846" s="2"/>
      <c r="AV846" s="2"/>
      <c r="AW846" s="2"/>
      <c r="AX846" s="2"/>
      <c r="AY846" s="2"/>
      <c r="AZ846" s="5"/>
      <c r="BA846" s="2"/>
      <c r="BD846" s="2"/>
      <c r="BE846" s="2"/>
      <c r="BF846" s="2"/>
      <c r="BG846" s="2"/>
      <c r="BH846" s="2"/>
      <c r="BI846" s="2"/>
      <c r="BJ846" s="2"/>
      <c r="BK846" s="2"/>
      <c r="BM846" s="2"/>
      <c r="BN846" s="2"/>
      <c r="BO846" s="2"/>
      <c r="BP846" s="2"/>
      <c r="BQ846" s="2"/>
      <c r="BR846" s="6"/>
      <c r="BS846" s="6"/>
      <c r="BT846" s="2"/>
      <c r="BU846" s="2"/>
      <c r="BV846" s="2"/>
      <c r="BW846" s="2"/>
      <c r="BX846" s="2"/>
      <c r="BY846" s="2"/>
      <c r="BZ846" s="2"/>
      <c r="CA846" s="2"/>
      <c r="CB846" s="2"/>
      <c r="CC846" s="2"/>
      <c r="CD846" s="3"/>
      <c r="CE846" s="2"/>
      <c r="CF846" s="4"/>
      <c r="CG846" s="4"/>
      <c r="CI846" s="2"/>
    </row>
    <row r="847" spans="1:87" s="101" customFormat="1" x14ac:dyDescent="0.35">
      <c r="A847" s="1"/>
      <c r="C847" s="1"/>
      <c r="G847" s="2"/>
      <c r="H847" s="2"/>
      <c r="I847" s="2"/>
      <c r="J847" s="2"/>
      <c r="K847" s="81"/>
      <c r="L847" s="4"/>
      <c r="M847" s="4"/>
      <c r="N847" s="4"/>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3"/>
      <c r="AP847" s="2"/>
      <c r="AQ847" s="2"/>
      <c r="AR847" s="2"/>
      <c r="AS847" s="2"/>
      <c r="AT847" s="2"/>
      <c r="AU847" s="2"/>
      <c r="AV847" s="2"/>
      <c r="AW847" s="2"/>
      <c r="AX847" s="2"/>
      <c r="AY847" s="2"/>
      <c r="AZ847" s="5"/>
      <c r="BA847" s="2"/>
      <c r="BD847" s="2"/>
      <c r="BE847" s="2"/>
      <c r="BF847" s="2"/>
      <c r="BG847" s="2"/>
      <c r="BH847" s="2"/>
      <c r="BI847" s="2"/>
      <c r="BJ847" s="2"/>
      <c r="BK847" s="2"/>
      <c r="BM847" s="2"/>
      <c r="BN847" s="2"/>
      <c r="BO847" s="2"/>
      <c r="BP847" s="2"/>
      <c r="BQ847" s="2"/>
      <c r="BR847" s="6"/>
      <c r="BS847" s="6"/>
      <c r="BT847" s="2"/>
      <c r="BU847" s="2"/>
      <c r="BV847" s="2"/>
      <c r="BW847" s="2"/>
      <c r="BX847" s="2"/>
      <c r="BY847" s="2"/>
      <c r="BZ847" s="2"/>
      <c r="CA847" s="2"/>
      <c r="CB847" s="2"/>
      <c r="CC847" s="2"/>
      <c r="CD847" s="3"/>
      <c r="CE847" s="2"/>
      <c r="CF847" s="4"/>
      <c r="CG847" s="4"/>
      <c r="CI847" s="2"/>
    </row>
    <row r="848" spans="1:87" s="101" customFormat="1" x14ac:dyDescent="0.35">
      <c r="A848" s="1"/>
      <c r="C848" s="1"/>
      <c r="G848" s="2"/>
      <c r="H848" s="2"/>
      <c r="I848" s="2"/>
      <c r="J848" s="2"/>
      <c r="K848" s="81"/>
      <c r="L848" s="4"/>
      <c r="M848" s="4"/>
      <c r="N848" s="4"/>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3"/>
      <c r="AP848" s="2"/>
      <c r="AQ848" s="2"/>
      <c r="AR848" s="2"/>
      <c r="AS848" s="2"/>
      <c r="AT848" s="2"/>
      <c r="AU848" s="2"/>
      <c r="AV848" s="2"/>
      <c r="AW848" s="2"/>
      <c r="AX848" s="2"/>
      <c r="AY848" s="2"/>
      <c r="AZ848" s="5"/>
      <c r="BA848" s="2"/>
      <c r="BD848" s="2"/>
      <c r="BE848" s="2"/>
      <c r="BF848" s="2"/>
      <c r="BG848" s="2"/>
      <c r="BH848" s="2"/>
      <c r="BI848" s="2"/>
      <c r="BJ848" s="2"/>
      <c r="BK848" s="2"/>
      <c r="BM848" s="2"/>
      <c r="BN848" s="2"/>
      <c r="BO848" s="2"/>
      <c r="BP848" s="2"/>
      <c r="BQ848" s="2"/>
      <c r="BR848" s="6"/>
      <c r="BS848" s="6"/>
      <c r="BT848" s="2"/>
      <c r="BU848" s="2"/>
      <c r="BV848" s="2"/>
      <c r="BW848" s="2"/>
      <c r="BX848" s="2"/>
      <c r="BY848" s="2"/>
      <c r="BZ848" s="2"/>
      <c r="CA848" s="2"/>
      <c r="CB848" s="2"/>
      <c r="CC848" s="2"/>
      <c r="CD848" s="3"/>
      <c r="CE848" s="2"/>
      <c r="CF848" s="4"/>
      <c r="CG848" s="4"/>
      <c r="CI848" s="2"/>
    </row>
    <row r="849" spans="1:87" s="101" customFormat="1" x14ac:dyDescent="0.35">
      <c r="A849" s="1"/>
      <c r="C849" s="1"/>
      <c r="G849" s="2"/>
      <c r="H849" s="2"/>
      <c r="I849" s="2"/>
      <c r="J849" s="2"/>
      <c r="K849" s="81"/>
      <c r="L849" s="4"/>
      <c r="M849" s="4"/>
      <c r="N849" s="4"/>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3"/>
      <c r="AP849" s="2"/>
      <c r="AQ849" s="2"/>
      <c r="AR849" s="2"/>
      <c r="AS849" s="2"/>
      <c r="AT849" s="2"/>
      <c r="AU849" s="2"/>
      <c r="AV849" s="2"/>
      <c r="AW849" s="2"/>
      <c r="AX849" s="2"/>
      <c r="AY849" s="2"/>
      <c r="AZ849" s="5"/>
      <c r="BA849" s="2"/>
      <c r="BD849" s="2"/>
      <c r="BE849" s="2"/>
      <c r="BF849" s="2"/>
      <c r="BG849" s="2"/>
      <c r="BH849" s="2"/>
      <c r="BI849" s="2"/>
      <c r="BJ849" s="2"/>
      <c r="BK849" s="2"/>
      <c r="BM849" s="2"/>
      <c r="BN849" s="2"/>
      <c r="BO849" s="2"/>
      <c r="BP849" s="2"/>
      <c r="BQ849" s="2"/>
      <c r="BR849" s="6"/>
      <c r="BS849" s="6"/>
      <c r="BT849" s="2"/>
      <c r="BU849" s="2"/>
      <c r="BV849" s="2"/>
      <c r="BW849" s="2"/>
      <c r="BX849" s="2"/>
      <c r="BY849" s="2"/>
      <c r="BZ849" s="2"/>
      <c r="CA849" s="2"/>
      <c r="CB849" s="2"/>
      <c r="CC849" s="2"/>
      <c r="CD849" s="3"/>
      <c r="CE849" s="2"/>
      <c r="CF849" s="4"/>
      <c r="CG849" s="4"/>
      <c r="CI849" s="2"/>
    </row>
    <row r="850" spans="1:87" s="101" customFormat="1" x14ac:dyDescent="0.35">
      <c r="A850" s="1"/>
      <c r="C850" s="1"/>
      <c r="G850" s="2"/>
      <c r="H850" s="2"/>
      <c r="I850" s="2"/>
      <c r="J850" s="2"/>
      <c r="K850" s="81"/>
      <c r="L850" s="4"/>
      <c r="M850" s="4"/>
      <c r="N850" s="4"/>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3"/>
      <c r="AP850" s="2"/>
      <c r="AQ850" s="2"/>
      <c r="AR850" s="2"/>
      <c r="AS850" s="2"/>
      <c r="AT850" s="2"/>
      <c r="AU850" s="2"/>
      <c r="AV850" s="2"/>
      <c r="AW850" s="2"/>
      <c r="AX850" s="2"/>
      <c r="AY850" s="2"/>
      <c r="AZ850" s="5"/>
      <c r="BA850" s="2"/>
      <c r="BD850" s="2"/>
      <c r="BE850" s="2"/>
      <c r="BF850" s="2"/>
      <c r="BG850" s="2"/>
      <c r="BH850" s="2"/>
      <c r="BI850" s="2"/>
      <c r="BJ850" s="2"/>
      <c r="BK850" s="2"/>
      <c r="BM850" s="2"/>
      <c r="BN850" s="2"/>
      <c r="BO850" s="2"/>
      <c r="BP850" s="2"/>
      <c r="BQ850" s="2"/>
      <c r="BR850" s="6"/>
      <c r="BS850" s="6"/>
      <c r="BT850" s="2"/>
      <c r="BU850" s="2"/>
      <c r="BV850" s="2"/>
      <c r="BW850" s="2"/>
      <c r="BX850" s="2"/>
      <c r="BY850" s="2"/>
      <c r="BZ850" s="2"/>
      <c r="CA850" s="2"/>
      <c r="CB850" s="2"/>
      <c r="CC850" s="2"/>
      <c r="CD850" s="3"/>
      <c r="CE850" s="2"/>
      <c r="CF850" s="4"/>
      <c r="CG850" s="4"/>
      <c r="CI850" s="2"/>
    </row>
    <row r="851" spans="1:87" s="101" customFormat="1" x14ac:dyDescent="0.35">
      <c r="A851" s="1"/>
      <c r="C851" s="1"/>
      <c r="G851" s="2"/>
      <c r="H851" s="2"/>
      <c r="I851" s="2"/>
      <c r="J851" s="2"/>
      <c r="K851" s="81"/>
      <c r="L851" s="4"/>
      <c r="M851" s="4"/>
      <c r="N851" s="4"/>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3"/>
      <c r="AP851" s="2"/>
      <c r="AQ851" s="2"/>
      <c r="AR851" s="2"/>
      <c r="AS851" s="2"/>
      <c r="AT851" s="2"/>
      <c r="AU851" s="2"/>
      <c r="AV851" s="2"/>
      <c r="AW851" s="2"/>
      <c r="AX851" s="2"/>
      <c r="AY851" s="2"/>
      <c r="AZ851" s="5"/>
      <c r="BA851" s="2"/>
      <c r="BD851" s="2"/>
      <c r="BE851" s="2"/>
      <c r="BF851" s="2"/>
      <c r="BG851" s="2"/>
      <c r="BH851" s="2"/>
      <c r="BI851" s="2"/>
      <c r="BJ851" s="2"/>
      <c r="BK851" s="2"/>
      <c r="BM851" s="2"/>
      <c r="BN851" s="2"/>
      <c r="BO851" s="2"/>
      <c r="BP851" s="2"/>
      <c r="BQ851" s="2"/>
      <c r="BR851" s="6"/>
      <c r="BS851" s="6"/>
      <c r="BT851" s="2"/>
      <c r="BU851" s="2"/>
      <c r="BV851" s="2"/>
      <c r="BW851" s="2"/>
      <c r="BX851" s="2"/>
      <c r="BY851" s="2"/>
      <c r="BZ851" s="2"/>
      <c r="CA851" s="2"/>
      <c r="CB851" s="2"/>
      <c r="CC851" s="2"/>
      <c r="CD851" s="3"/>
      <c r="CE851" s="2"/>
      <c r="CF851" s="4"/>
      <c r="CG851" s="4"/>
      <c r="CI851" s="2"/>
    </row>
    <row r="852" spans="1:87" s="101" customFormat="1" x14ac:dyDescent="0.35">
      <c r="A852" s="1"/>
      <c r="C852" s="1"/>
      <c r="G852" s="2"/>
      <c r="H852" s="2"/>
      <c r="I852" s="2"/>
      <c r="J852" s="2"/>
      <c r="K852" s="81"/>
      <c r="L852" s="4"/>
      <c r="M852" s="4"/>
      <c r="N852" s="4"/>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3"/>
      <c r="AP852" s="2"/>
      <c r="AQ852" s="2"/>
      <c r="AR852" s="2"/>
      <c r="AS852" s="2"/>
      <c r="AT852" s="2"/>
      <c r="AU852" s="2"/>
      <c r="AV852" s="2"/>
      <c r="AW852" s="2"/>
      <c r="AX852" s="2"/>
      <c r="AY852" s="2"/>
      <c r="AZ852" s="5"/>
      <c r="BA852" s="2"/>
      <c r="BD852" s="2"/>
      <c r="BE852" s="2"/>
      <c r="BF852" s="2"/>
      <c r="BG852" s="2"/>
      <c r="BH852" s="2"/>
      <c r="BI852" s="2"/>
      <c r="BJ852" s="2"/>
      <c r="BK852" s="2"/>
      <c r="BM852" s="2"/>
      <c r="BN852" s="2"/>
      <c r="BO852" s="2"/>
      <c r="BP852" s="2"/>
      <c r="BQ852" s="2"/>
      <c r="BR852" s="6"/>
      <c r="BS852" s="6"/>
      <c r="BT852" s="2"/>
      <c r="BU852" s="2"/>
      <c r="BV852" s="2"/>
      <c r="BW852" s="2"/>
      <c r="BX852" s="2"/>
      <c r="BY852" s="2"/>
      <c r="BZ852" s="2"/>
      <c r="CA852" s="2"/>
      <c r="CB852" s="2"/>
      <c r="CC852" s="2"/>
      <c r="CD852" s="3"/>
      <c r="CE852" s="2"/>
      <c r="CF852" s="4"/>
      <c r="CG852" s="4"/>
      <c r="CI852" s="2"/>
    </row>
    <row r="853" spans="1:87" s="101" customFormat="1" x14ac:dyDescent="0.35">
      <c r="A853" s="1"/>
      <c r="C853" s="1"/>
      <c r="G853" s="2"/>
      <c r="H853" s="2"/>
      <c r="I853" s="2"/>
      <c r="J853" s="2"/>
      <c r="K853" s="81"/>
      <c r="L853" s="4"/>
      <c r="M853" s="4"/>
      <c r="N853" s="4"/>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3"/>
      <c r="AP853" s="2"/>
      <c r="AQ853" s="2"/>
      <c r="AR853" s="2"/>
      <c r="AS853" s="2"/>
      <c r="AT853" s="2"/>
      <c r="AU853" s="2"/>
      <c r="AV853" s="2"/>
      <c r="AW853" s="2"/>
      <c r="AX853" s="2"/>
      <c r="AY853" s="2"/>
      <c r="AZ853" s="5"/>
      <c r="BA853" s="2"/>
      <c r="BD853" s="2"/>
      <c r="BE853" s="2"/>
      <c r="BF853" s="2"/>
      <c r="BG853" s="2"/>
      <c r="BH853" s="2"/>
      <c r="BI853" s="2"/>
      <c r="BJ853" s="2"/>
      <c r="BK853" s="2"/>
      <c r="BM853" s="2"/>
      <c r="BN853" s="2"/>
      <c r="BO853" s="2"/>
      <c r="BP853" s="2"/>
      <c r="BQ853" s="2"/>
      <c r="BR853" s="6"/>
      <c r="BS853" s="6"/>
      <c r="BT853" s="2"/>
      <c r="BU853" s="2"/>
      <c r="BV853" s="2"/>
      <c r="BW853" s="2"/>
      <c r="BX853" s="2"/>
      <c r="BY853" s="2"/>
      <c r="BZ853" s="2"/>
      <c r="CA853" s="2"/>
      <c r="CB853" s="2"/>
      <c r="CC853" s="2"/>
      <c r="CD853" s="3"/>
      <c r="CE853" s="2"/>
      <c r="CF853" s="4"/>
      <c r="CG853" s="4"/>
      <c r="CI853" s="2"/>
    </row>
    <row r="854" spans="1:87" s="101" customFormat="1" x14ac:dyDescent="0.35">
      <c r="A854" s="1"/>
      <c r="C854" s="1"/>
      <c r="G854" s="2"/>
      <c r="H854" s="2"/>
      <c r="I854" s="2"/>
      <c r="J854" s="2"/>
      <c r="K854" s="81"/>
      <c r="L854" s="4"/>
      <c r="M854" s="4"/>
      <c r="N854" s="4"/>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3"/>
      <c r="AP854" s="2"/>
      <c r="AQ854" s="2"/>
      <c r="AR854" s="2"/>
      <c r="AS854" s="2"/>
      <c r="AT854" s="2"/>
      <c r="AU854" s="2"/>
      <c r="AV854" s="2"/>
      <c r="AW854" s="2"/>
      <c r="AX854" s="2"/>
      <c r="AY854" s="2"/>
      <c r="AZ854" s="5"/>
      <c r="BA854" s="2"/>
      <c r="BD854" s="2"/>
      <c r="BE854" s="2"/>
      <c r="BF854" s="2"/>
      <c r="BG854" s="2"/>
      <c r="BH854" s="2"/>
      <c r="BI854" s="2"/>
      <c r="BJ854" s="2"/>
      <c r="BK854" s="2"/>
      <c r="BM854" s="2"/>
      <c r="BN854" s="2"/>
      <c r="BO854" s="2"/>
      <c r="BP854" s="2"/>
      <c r="BQ854" s="2"/>
      <c r="BR854" s="6"/>
      <c r="BS854" s="6"/>
      <c r="BT854" s="2"/>
      <c r="BU854" s="2"/>
      <c r="BV854" s="2"/>
      <c r="BW854" s="2"/>
      <c r="BX854" s="2"/>
      <c r="BY854" s="2"/>
      <c r="BZ854" s="2"/>
      <c r="CA854" s="2"/>
      <c r="CB854" s="2"/>
      <c r="CC854" s="2"/>
      <c r="CD854" s="3"/>
      <c r="CE854" s="2"/>
      <c r="CF854" s="4"/>
      <c r="CG854" s="4"/>
      <c r="CI854" s="2"/>
    </row>
    <row r="855" spans="1:87" s="101" customFormat="1" x14ac:dyDescent="0.35">
      <c r="A855" s="1"/>
      <c r="C855" s="1"/>
      <c r="G855" s="2"/>
      <c r="H855" s="2"/>
      <c r="I855" s="2"/>
      <c r="J855" s="2"/>
      <c r="K855" s="81"/>
      <c r="L855" s="4"/>
      <c r="M855" s="4"/>
      <c r="N855" s="4"/>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3"/>
      <c r="AP855" s="2"/>
      <c r="AQ855" s="2"/>
      <c r="AR855" s="2"/>
      <c r="AS855" s="2"/>
      <c r="AT855" s="2"/>
      <c r="AU855" s="2"/>
      <c r="AV855" s="2"/>
      <c r="AW855" s="2"/>
      <c r="AX855" s="2"/>
      <c r="AY855" s="2"/>
      <c r="AZ855" s="5"/>
      <c r="BA855" s="2"/>
      <c r="BD855" s="2"/>
      <c r="BE855" s="2"/>
      <c r="BF855" s="2"/>
      <c r="BG855" s="2"/>
      <c r="BH855" s="2"/>
      <c r="BI855" s="2"/>
      <c r="BJ855" s="2"/>
      <c r="BK855" s="2"/>
      <c r="BM855" s="2"/>
      <c r="BN855" s="2"/>
      <c r="BO855" s="2"/>
      <c r="BP855" s="2"/>
      <c r="BQ855" s="2"/>
      <c r="BR855" s="6"/>
      <c r="BS855" s="6"/>
      <c r="BT855" s="2"/>
      <c r="BU855" s="2"/>
      <c r="BV855" s="2"/>
      <c r="BW855" s="2"/>
      <c r="BX855" s="2"/>
      <c r="BY855" s="2"/>
      <c r="BZ855" s="2"/>
      <c r="CA855" s="2"/>
      <c r="CB855" s="2"/>
      <c r="CC855" s="2"/>
      <c r="CD855" s="3"/>
      <c r="CE855" s="2"/>
      <c r="CF855" s="4"/>
      <c r="CG855" s="4"/>
      <c r="CI855" s="2"/>
    </row>
    <row r="856" spans="1:87" s="101" customFormat="1" x14ac:dyDescent="0.35">
      <c r="A856" s="1"/>
      <c r="C856" s="1"/>
      <c r="G856" s="2"/>
      <c r="H856" s="2"/>
      <c r="I856" s="2"/>
      <c r="J856" s="2"/>
      <c r="K856" s="81"/>
      <c r="L856" s="4"/>
      <c r="M856" s="4"/>
      <c r="N856" s="4"/>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3"/>
      <c r="AP856" s="2"/>
      <c r="AQ856" s="2"/>
      <c r="AR856" s="2"/>
      <c r="AS856" s="2"/>
      <c r="AT856" s="2"/>
      <c r="AU856" s="2"/>
      <c r="AV856" s="2"/>
      <c r="AW856" s="2"/>
      <c r="AX856" s="2"/>
      <c r="AY856" s="2"/>
      <c r="AZ856" s="5"/>
      <c r="BA856" s="2"/>
      <c r="BD856" s="2"/>
      <c r="BE856" s="2"/>
      <c r="BF856" s="2"/>
      <c r="BG856" s="2"/>
      <c r="BH856" s="2"/>
      <c r="BI856" s="2"/>
      <c r="BJ856" s="2"/>
      <c r="BK856" s="2"/>
      <c r="BM856" s="2"/>
      <c r="BN856" s="2"/>
      <c r="BO856" s="2"/>
      <c r="BP856" s="2"/>
      <c r="BQ856" s="2"/>
      <c r="BR856" s="6"/>
      <c r="BS856" s="6"/>
      <c r="BT856" s="2"/>
      <c r="BU856" s="2"/>
      <c r="BV856" s="2"/>
      <c r="BW856" s="2"/>
      <c r="BX856" s="2"/>
      <c r="BY856" s="2"/>
      <c r="BZ856" s="2"/>
      <c r="CA856" s="2"/>
      <c r="CB856" s="2"/>
      <c r="CC856" s="2"/>
      <c r="CD856" s="3"/>
      <c r="CE856" s="2"/>
      <c r="CF856" s="4"/>
      <c r="CG856" s="4"/>
      <c r="CI856" s="2"/>
    </row>
    <row r="857" spans="1:87" s="101" customFormat="1" x14ac:dyDescent="0.35">
      <c r="A857" s="1"/>
      <c r="C857" s="1"/>
      <c r="G857" s="2"/>
      <c r="H857" s="2"/>
      <c r="I857" s="2"/>
      <c r="J857" s="2"/>
      <c r="K857" s="81"/>
      <c r="L857" s="4"/>
      <c r="M857" s="4"/>
      <c r="N857" s="4"/>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3"/>
      <c r="AP857" s="2"/>
      <c r="AQ857" s="2"/>
      <c r="AR857" s="2"/>
      <c r="AS857" s="2"/>
      <c r="AT857" s="2"/>
      <c r="AU857" s="2"/>
      <c r="AV857" s="2"/>
      <c r="AW857" s="2"/>
      <c r="AX857" s="2"/>
      <c r="AY857" s="2"/>
      <c r="AZ857" s="5"/>
      <c r="BA857" s="2"/>
      <c r="BD857" s="2"/>
      <c r="BE857" s="2"/>
      <c r="BF857" s="2"/>
      <c r="BG857" s="2"/>
      <c r="BH857" s="2"/>
      <c r="BI857" s="2"/>
      <c r="BJ857" s="2"/>
      <c r="BK857" s="2"/>
      <c r="BM857" s="2"/>
      <c r="BN857" s="2"/>
      <c r="BO857" s="2"/>
      <c r="BP857" s="2"/>
      <c r="BQ857" s="2"/>
      <c r="BR857" s="6"/>
      <c r="BS857" s="6"/>
      <c r="BT857" s="2"/>
      <c r="BU857" s="2"/>
      <c r="BV857" s="2"/>
      <c r="BW857" s="2"/>
      <c r="BX857" s="2"/>
      <c r="BY857" s="2"/>
      <c r="BZ857" s="2"/>
      <c r="CA857" s="2"/>
      <c r="CB857" s="2"/>
      <c r="CC857" s="2"/>
      <c r="CD857" s="3"/>
      <c r="CE857" s="2"/>
      <c r="CF857" s="4"/>
      <c r="CG857" s="4"/>
      <c r="CI857" s="2"/>
    </row>
    <row r="858" spans="1:87" s="101" customFormat="1" x14ac:dyDescent="0.35">
      <c r="A858" s="1"/>
      <c r="C858" s="1"/>
      <c r="G858" s="2"/>
      <c r="H858" s="2"/>
      <c r="I858" s="2"/>
      <c r="J858" s="2"/>
      <c r="K858" s="81"/>
      <c r="L858" s="4"/>
      <c r="M858" s="4"/>
      <c r="N858" s="4"/>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3"/>
      <c r="AP858" s="2"/>
      <c r="AQ858" s="2"/>
      <c r="AR858" s="2"/>
      <c r="AS858" s="2"/>
      <c r="AT858" s="2"/>
      <c r="AU858" s="2"/>
      <c r="AV858" s="2"/>
      <c r="AW858" s="2"/>
      <c r="AX858" s="2"/>
      <c r="AY858" s="2"/>
      <c r="AZ858" s="5"/>
      <c r="BA858" s="2"/>
      <c r="BD858" s="2"/>
      <c r="BE858" s="2"/>
      <c r="BF858" s="2"/>
      <c r="BG858" s="2"/>
      <c r="BH858" s="2"/>
      <c r="BI858" s="2"/>
      <c r="BJ858" s="2"/>
      <c r="BK858" s="2"/>
      <c r="BM858" s="2"/>
      <c r="BN858" s="2"/>
      <c r="BO858" s="2"/>
      <c r="BP858" s="2"/>
      <c r="BQ858" s="2"/>
      <c r="BR858" s="6"/>
      <c r="BS858" s="6"/>
      <c r="BT858" s="2"/>
      <c r="BU858" s="2"/>
      <c r="BV858" s="2"/>
      <c r="BW858" s="2"/>
      <c r="BX858" s="2"/>
      <c r="BY858" s="2"/>
      <c r="BZ858" s="2"/>
      <c r="CA858" s="2"/>
      <c r="CB858" s="2"/>
      <c r="CC858" s="2"/>
      <c r="CD858" s="3"/>
      <c r="CE858" s="2"/>
      <c r="CF858" s="4"/>
      <c r="CG858" s="4"/>
      <c r="CI858" s="2"/>
    </row>
    <row r="859" spans="1:87" s="101" customFormat="1" x14ac:dyDescent="0.35">
      <c r="A859" s="1"/>
      <c r="C859" s="1"/>
      <c r="G859" s="2"/>
      <c r="H859" s="2"/>
      <c r="I859" s="2"/>
      <c r="J859" s="2"/>
      <c r="K859" s="81"/>
      <c r="L859" s="4"/>
      <c r="M859" s="4"/>
      <c r="N859" s="4"/>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3"/>
      <c r="AP859" s="2"/>
      <c r="AQ859" s="2"/>
      <c r="AR859" s="2"/>
      <c r="AS859" s="2"/>
      <c r="AT859" s="2"/>
      <c r="AU859" s="2"/>
      <c r="AV859" s="2"/>
      <c r="AW859" s="2"/>
      <c r="AX859" s="2"/>
      <c r="AY859" s="2"/>
      <c r="AZ859" s="5"/>
      <c r="BA859" s="2"/>
      <c r="BD859" s="2"/>
      <c r="BE859" s="2"/>
      <c r="BF859" s="2"/>
      <c r="BG859" s="2"/>
      <c r="BH859" s="2"/>
      <c r="BI859" s="2"/>
      <c r="BJ859" s="2"/>
      <c r="BK859" s="2"/>
      <c r="BM859" s="2"/>
      <c r="BN859" s="2"/>
      <c r="BO859" s="2"/>
      <c r="BP859" s="2"/>
      <c r="BQ859" s="2"/>
      <c r="BR859" s="6"/>
      <c r="BS859" s="6"/>
      <c r="BT859" s="2"/>
      <c r="BU859" s="2"/>
      <c r="BV859" s="2"/>
      <c r="BW859" s="2"/>
      <c r="BX859" s="2"/>
      <c r="BY859" s="2"/>
      <c r="BZ859" s="2"/>
      <c r="CA859" s="2"/>
      <c r="CB859" s="2"/>
      <c r="CC859" s="2"/>
      <c r="CD859" s="3"/>
      <c r="CE859" s="2"/>
      <c r="CF859" s="4"/>
      <c r="CG859" s="4"/>
      <c r="CI859" s="2"/>
    </row>
    <row r="860" spans="1:87" s="101" customFormat="1" x14ac:dyDescent="0.35">
      <c r="A860" s="1"/>
      <c r="C860" s="1"/>
      <c r="G860" s="2"/>
      <c r="H860" s="2"/>
      <c r="I860" s="2"/>
      <c r="J860" s="2"/>
      <c r="K860" s="81"/>
      <c r="L860" s="4"/>
      <c r="M860" s="4"/>
      <c r="N860" s="4"/>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3"/>
      <c r="AP860" s="2"/>
      <c r="AQ860" s="2"/>
      <c r="AR860" s="2"/>
      <c r="AS860" s="2"/>
      <c r="AT860" s="2"/>
      <c r="AU860" s="2"/>
      <c r="AV860" s="2"/>
      <c r="AW860" s="2"/>
      <c r="AX860" s="2"/>
      <c r="AY860" s="2"/>
      <c r="AZ860" s="5"/>
      <c r="BA860" s="2"/>
      <c r="BD860" s="2"/>
      <c r="BE860" s="2"/>
      <c r="BF860" s="2"/>
      <c r="BG860" s="2"/>
      <c r="BH860" s="2"/>
      <c r="BI860" s="2"/>
      <c r="BJ860" s="2"/>
      <c r="BK860" s="2"/>
      <c r="BM860" s="2"/>
      <c r="BN860" s="2"/>
      <c r="BO860" s="2"/>
      <c r="BP860" s="2"/>
      <c r="BQ860" s="2"/>
      <c r="BR860" s="6"/>
      <c r="BS860" s="6"/>
      <c r="BT860" s="2"/>
      <c r="BU860" s="2"/>
      <c r="BV860" s="2"/>
      <c r="BW860" s="2"/>
      <c r="BX860" s="2"/>
      <c r="BY860" s="2"/>
      <c r="BZ860" s="2"/>
      <c r="CA860" s="2"/>
      <c r="CB860" s="2"/>
      <c r="CC860" s="2"/>
      <c r="CD860" s="3"/>
      <c r="CE860" s="2"/>
      <c r="CF860" s="4"/>
      <c r="CG860" s="4"/>
      <c r="CI860" s="2"/>
    </row>
    <row r="861" spans="1:87" s="101" customFormat="1" x14ac:dyDescent="0.35">
      <c r="A861" s="1"/>
      <c r="C861" s="1"/>
      <c r="G861" s="2"/>
      <c r="H861" s="2"/>
      <c r="I861" s="2"/>
      <c r="J861" s="2"/>
      <c r="K861" s="81"/>
      <c r="L861" s="4"/>
      <c r="M861" s="4"/>
      <c r="N861" s="4"/>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3"/>
      <c r="AP861" s="2"/>
      <c r="AQ861" s="2"/>
      <c r="AR861" s="2"/>
      <c r="AS861" s="2"/>
      <c r="AT861" s="2"/>
      <c r="AU861" s="2"/>
      <c r="AV861" s="2"/>
      <c r="AW861" s="2"/>
      <c r="AX861" s="2"/>
      <c r="AY861" s="2"/>
      <c r="AZ861" s="5"/>
      <c r="BA861" s="2"/>
      <c r="BD861" s="2"/>
      <c r="BE861" s="2"/>
      <c r="BF861" s="2"/>
      <c r="BG861" s="2"/>
      <c r="BH861" s="2"/>
      <c r="BI861" s="2"/>
      <c r="BJ861" s="2"/>
      <c r="BK861" s="2"/>
      <c r="BM861" s="2"/>
      <c r="BN861" s="2"/>
      <c r="BO861" s="2"/>
      <c r="BP861" s="2"/>
      <c r="BQ861" s="2"/>
      <c r="BR861" s="6"/>
      <c r="BS861" s="6"/>
      <c r="BT861" s="2"/>
      <c r="BU861" s="2"/>
      <c r="BV861" s="2"/>
      <c r="BW861" s="2"/>
      <c r="BX861" s="2"/>
      <c r="BY861" s="2"/>
      <c r="BZ861" s="2"/>
      <c r="CA861" s="2"/>
      <c r="CB861" s="2"/>
      <c r="CC861" s="2"/>
      <c r="CD861" s="3"/>
      <c r="CE861" s="2"/>
      <c r="CF861" s="4"/>
      <c r="CG861" s="4"/>
      <c r="CI861" s="2"/>
    </row>
    <row r="862" spans="1:87" s="101" customFormat="1" x14ac:dyDescent="0.35">
      <c r="A862" s="1"/>
      <c r="C862" s="1"/>
      <c r="G862" s="2"/>
      <c r="H862" s="2"/>
      <c r="I862" s="2"/>
      <c r="J862" s="2"/>
      <c r="K862" s="81"/>
      <c r="L862" s="4"/>
      <c r="M862" s="4"/>
      <c r="N862" s="4"/>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3"/>
      <c r="AP862" s="2"/>
      <c r="AQ862" s="2"/>
      <c r="AR862" s="2"/>
      <c r="AS862" s="2"/>
      <c r="AT862" s="2"/>
      <c r="AU862" s="2"/>
      <c r="AV862" s="2"/>
      <c r="AW862" s="2"/>
      <c r="AX862" s="2"/>
      <c r="AY862" s="2"/>
      <c r="AZ862" s="5"/>
      <c r="BA862" s="2"/>
      <c r="BD862" s="2"/>
      <c r="BE862" s="2"/>
      <c r="BF862" s="2"/>
      <c r="BG862" s="2"/>
      <c r="BH862" s="2"/>
      <c r="BI862" s="2"/>
      <c r="BJ862" s="2"/>
      <c r="BK862" s="2"/>
      <c r="BM862" s="2"/>
      <c r="BN862" s="2"/>
      <c r="BO862" s="2"/>
      <c r="BP862" s="2"/>
      <c r="BQ862" s="2"/>
      <c r="BR862" s="6"/>
      <c r="BS862" s="6"/>
      <c r="BT862" s="2"/>
      <c r="BU862" s="2"/>
      <c r="BV862" s="2"/>
      <c r="BW862" s="2"/>
      <c r="BX862" s="2"/>
      <c r="BY862" s="2"/>
      <c r="BZ862" s="2"/>
      <c r="CA862" s="2"/>
      <c r="CB862" s="2"/>
      <c r="CC862" s="2"/>
      <c r="CD862" s="3"/>
      <c r="CE862" s="2"/>
      <c r="CF862" s="4"/>
      <c r="CG862" s="4"/>
      <c r="CI862" s="2"/>
    </row>
    <row r="863" spans="1:87" s="101" customFormat="1" x14ac:dyDescent="0.35">
      <c r="A863" s="1"/>
      <c r="C863" s="1"/>
      <c r="G863" s="2"/>
      <c r="H863" s="2"/>
      <c r="I863" s="2"/>
      <c r="J863" s="2"/>
      <c r="K863" s="81"/>
      <c r="L863" s="4"/>
      <c r="M863" s="4"/>
      <c r="N863" s="4"/>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3"/>
      <c r="AP863" s="2"/>
      <c r="AQ863" s="2"/>
      <c r="AR863" s="2"/>
      <c r="AS863" s="2"/>
      <c r="AT863" s="2"/>
      <c r="AU863" s="2"/>
      <c r="AV863" s="2"/>
      <c r="AW863" s="2"/>
      <c r="AX863" s="2"/>
      <c r="AY863" s="2"/>
      <c r="AZ863" s="5"/>
      <c r="BA863" s="2"/>
      <c r="BD863" s="2"/>
      <c r="BE863" s="2"/>
      <c r="BF863" s="2"/>
      <c r="BG863" s="2"/>
      <c r="BH863" s="2"/>
      <c r="BI863" s="2"/>
      <c r="BJ863" s="2"/>
      <c r="BK863" s="2"/>
      <c r="BM863" s="2"/>
      <c r="BN863" s="2"/>
      <c r="BO863" s="2"/>
      <c r="BP863" s="2"/>
      <c r="BQ863" s="2"/>
      <c r="BR863" s="6"/>
      <c r="BS863" s="6"/>
      <c r="BT863" s="2"/>
      <c r="BU863" s="2"/>
      <c r="BV863" s="2"/>
      <c r="BW863" s="2"/>
      <c r="BX863" s="2"/>
      <c r="BY863" s="2"/>
      <c r="BZ863" s="2"/>
      <c r="CA863" s="2"/>
      <c r="CB863" s="2"/>
      <c r="CC863" s="2"/>
      <c r="CD863" s="3"/>
      <c r="CE863" s="2"/>
      <c r="CF863" s="4"/>
      <c r="CG863" s="4"/>
      <c r="CI863" s="2"/>
    </row>
    <row r="864" spans="1:87" s="101" customFormat="1" x14ac:dyDescent="0.35">
      <c r="A864" s="1"/>
      <c r="C864" s="1"/>
      <c r="G864" s="2"/>
      <c r="H864" s="2"/>
      <c r="I864" s="2"/>
      <c r="J864" s="2"/>
      <c r="K864" s="81"/>
      <c r="L864" s="4"/>
      <c r="M864" s="4"/>
      <c r="N864" s="4"/>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3"/>
      <c r="AP864" s="2"/>
      <c r="AQ864" s="2"/>
      <c r="AR864" s="2"/>
      <c r="AS864" s="2"/>
      <c r="AT864" s="2"/>
      <c r="AU864" s="2"/>
      <c r="AV864" s="2"/>
      <c r="AW864" s="2"/>
      <c r="AX864" s="2"/>
      <c r="AY864" s="2"/>
      <c r="AZ864" s="5"/>
      <c r="BA864" s="2"/>
      <c r="BD864" s="2"/>
      <c r="BE864" s="2"/>
      <c r="BF864" s="2"/>
      <c r="BG864" s="2"/>
      <c r="BH864" s="2"/>
      <c r="BI864" s="2"/>
      <c r="BJ864" s="2"/>
      <c r="BK864" s="2"/>
      <c r="BM864" s="2"/>
      <c r="BN864" s="2"/>
      <c r="BO864" s="2"/>
      <c r="BP864" s="2"/>
      <c r="BQ864" s="2"/>
      <c r="BR864" s="6"/>
      <c r="BS864" s="6"/>
      <c r="BT864" s="2"/>
      <c r="BU864" s="2"/>
      <c r="BV864" s="2"/>
      <c r="BW864" s="2"/>
      <c r="BX864" s="2"/>
      <c r="BY864" s="2"/>
      <c r="BZ864" s="2"/>
      <c r="CA864" s="2"/>
      <c r="CB864" s="2"/>
      <c r="CC864" s="2"/>
      <c r="CD864" s="3"/>
      <c r="CE864" s="2"/>
      <c r="CF864" s="4"/>
      <c r="CG864" s="4"/>
      <c r="CI864" s="2"/>
    </row>
    <row r="865" spans="1:87" s="101" customFormat="1" x14ac:dyDescent="0.35">
      <c r="A865" s="1"/>
      <c r="C865" s="1"/>
      <c r="G865" s="2"/>
      <c r="H865" s="2"/>
      <c r="I865" s="2"/>
      <c r="J865" s="2"/>
      <c r="K865" s="81"/>
      <c r="L865" s="4"/>
      <c r="M865" s="4"/>
      <c r="N865" s="4"/>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3"/>
      <c r="AP865" s="2"/>
      <c r="AQ865" s="2"/>
      <c r="AR865" s="2"/>
      <c r="AS865" s="2"/>
      <c r="AT865" s="2"/>
      <c r="AU865" s="2"/>
      <c r="AV865" s="2"/>
      <c r="AW865" s="2"/>
      <c r="AX865" s="2"/>
      <c r="AY865" s="2"/>
      <c r="AZ865" s="5"/>
      <c r="BA865" s="2"/>
      <c r="BD865" s="2"/>
      <c r="BE865" s="2"/>
      <c r="BF865" s="2"/>
      <c r="BG865" s="2"/>
      <c r="BH865" s="2"/>
      <c r="BI865" s="2"/>
      <c r="BJ865" s="2"/>
      <c r="BK865" s="2"/>
      <c r="BM865" s="2"/>
      <c r="BN865" s="2"/>
      <c r="BO865" s="2"/>
      <c r="BP865" s="2"/>
      <c r="BQ865" s="2"/>
      <c r="BR865" s="6"/>
      <c r="BS865" s="6"/>
      <c r="BT865" s="2"/>
      <c r="BU865" s="2"/>
      <c r="BV865" s="2"/>
      <c r="BW865" s="2"/>
      <c r="BX865" s="2"/>
      <c r="BY865" s="2"/>
      <c r="BZ865" s="2"/>
      <c r="CA865" s="2"/>
      <c r="CB865" s="2"/>
      <c r="CC865" s="2"/>
      <c r="CD865" s="3"/>
      <c r="CE865" s="2"/>
      <c r="CF865" s="4"/>
      <c r="CG865" s="4"/>
      <c r="CI865" s="2"/>
    </row>
    <row r="866" spans="1:87" s="101" customFormat="1" x14ac:dyDescent="0.35">
      <c r="A866" s="1"/>
      <c r="C866" s="1"/>
      <c r="G866" s="2"/>
      <c r="H866" s="2"/>
      <c r="I866" s="2"/>
      <c r="J866" s="2"/>
      <c r="K866" s="81"/>
      <c r="L866" s="4"/>
      <c r="M866" s="4"/>
      <c r="N866" s="4"/>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3"/>
      <c r="AP866" s="2"/>
      <c r="AQ866" s="2"/>
      <c r="AR866" s="2"/>
      <c r="AS866" s="2"/>
      <c r="AT866" s="2"/>
      <c r="AU866" s="2"/>
      <c r="AV866" s="2"/>
      <c r="AW866" s="2"/>
      <c r="AX866" s="2"/>
      <c r="AY866" s="2"/>
      <c r="AZ866" s="5"/>
      <c r="BA866" s="2"/>
      <c r="BD866" s="2"/>
      <c r="BE866" s="2"/>
      <c r="BF866" s="2"/>
      <c r="BG866" s="2"/>
      <c r="BH866" s="2"/>
      <c r="BI866" s="2"/>
      <c r="BJ866" s="2"/>
      <c r="BK866" s="2"/>
      <c r="BM866" s="2"/>
      <c r="BN866" s="2"/>
      <c r="BO866" s="2"/>
      <c r="BP866" s="2"/>
      <c r="BQ866" s="2"/>
      <c r="BR866" s="6"/>
      <c r="BS866" s="6"/>
      <c r="BT866" s="2"/>
      <c r="BU866" s="2"/>
      <c r="BV866" s="2"/>
      <c r="BW866" s="2"/>
      <c r="BX866" s="2"/>
      <c r="BY866" s="2"/>
      <c r="BZ866" s="2"/>
      <c r="CA866" s="2"/>
      <c r="CB866" s="2"/>
      <c r="CC866" s="2"/>
      <c r="CD866" s="3"/>
      <c r="CE866" s="2"/>
      <c r="CF866" s="4"/>
      <c r="CG866" s="4"/>
      <c r="CI866" s="2"/>
    </row>
    <row r="867" spans="1:87" s="101" customFormat="1" x14ac:dyDescent="0.35">
      <c r="A867" s="1"/>
      <c r="C867" s="1"/>
      <c r="G867" s="2"/>
      <c r="H867" s="2"/>
      <c r="I867" s="2"/>
      <c r="J867" s="2"/>
      <c r="K867" s="81"/>
      <c r="L867" s="4"/>
      <c r="M867" s="4"/>
      <c r="N867" s="4"/>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3"/>
      <c r="AP867" s="2"/>
      <c r="AQ867" s="2"/>
      <c r="AR867" s="2"/>
      <c r="AS867" s="2"/>
      <c r="AT867" s="2"/>
      <c r="AU867" s="2"/>
      <c r="AV867" s="2"/>
      <c r="AW867" s="2"/>
      <c r="AX867" s="2"/>
      <c r="AY867" s="2"/>
      <c r="AZ867" s="5"/>
      <c r="BA867" s="2"/>
      <c r="BD867" s="2"/>
      <c r="BE867" s="2"/>
      <c r="BF867" s="2"/>
      <c r="BG867" s="2"/>
      <c r="BH867" s="2"/>
      <c r="BI867" s="2"/>
      <c r="BJ867" s="2"/>
      <c r="BK867" s="2"/>
      <c r="BM867" s="2"/>
      <c r="BN867" s="2"/>
      <c r="BO867" s="2"/>
      <c r="BP867" s="2"/>
      <c r="BQ867" s="2"/>
      <c r="BR867" s="6"/>
      <c r="BS867" s="6"/>
      <c r="BT867" s="2"/>
      <c r="BU867" s="2"/>
      <c r="BV867" s="2"/>
      <c r="BW867" s="2"/>
      <c r="BX867" s="2"/>
      <c r="BY867" s="2"/>
      <c r="BZ867" s="2"/>
      <c r="CA867" s="2"/>
      <c r="CB867" s="2"/>
      <c r="CC867" s="2"/>
      <c r="CD867" s="3"/>
      <c r="CE867" s="2"/>
      <c r="CF867" s="4"/>
      <c r="CG867" s="4"/>
      <c r="CI867" s="2"/>
    </row>
    <row r="868" spans="1:87" s="101" customFormat="1" x14ac:dyDescent="0.35">
      <c r="A868" s="1"/>
      <c r="C868" s="1"/>
      <c r="G868" s="2"/>
      <c r="H868" s="2"/>
      <c r="I868" s="2"/>
      <c r="J868" s="2"/>
      <c r="K868" s="81"/>
      <c r="L868" s="4"/>
      <c r="M868" s="4"/>
      <c r="N868" s="4"/>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3"/>
      <c r="AP868" s="2"/>
      <c r="AQ868" s="2"/>
      <c r="AR868" s="2"/>
      <c r="AS868" s="2"/>
      <c r="AT868" s="2"/>
      <c r="AU868" s="2"/>
      <c r="AV868" s="2"/>
      <c r="AW868" s="2"/>
      <c r="AX868" s="2"/>
      <c r="AY868" s="2"/>
      <c r="AZ868" s="5"/>
      <c r="BA868" s="2"/>
      <c r="BD868" s="2"/>
      <c r="BE868" s="2"/>
      <c r="BF868" s="2"/>
      <c r="BG868" s="2"/>
      <c r="BH868" s="2"/>
      <c r="BI868" s="2"/>
      <c r="BJ868" s="2"/>
      <c r="BK868" s="2"/>
      <c r="BM868" s="2"/>
      <c r="BN868" s="2"/>
      <c r="BO868" s="2"/>
      <c r="BP868" s="2"/>
      <c r="BQ868" s="2"/>
      <c r="BR868" s="6"/>
      <c r="BS868" s="6"/>
      <c r="BT868" s="2"/>
      <c r="BU868" s="2"/>
      <c r="BV868" s="2"/>
      <c r="BW868" s="2"/>
      <c r="BX868" s="2"/>
      <c r="BY868" s="2"/>
      <c r="BZ868" s="2"/>
      <c r="CA868" s="2"/>
      <c r="CB868" s="2"/>
      <c r="CC868" s="2"/>
      <c r="CD868" s="3"/>
      <c r="CE868" s="2"/>
      <c r="CF868" s="4"/>
      <c r="CG868" s="4"/>
      <c r="CI868" s="2"/>
    </row>
    <row r="869" spans="1:87" s="101" customFormat="1" x14ac:dyDescent="0.35">
      <c r="A869" s="1"/>
      <c r="C869" s="1"/>
      <c r="G869" s="2"/>
      <c r="H869" s="2"/>
      <c r="I869" s="2"/>
      <c r="J869" s="2"/>
      <c r="K869" s="81"/>
      <c r="L869" s="4"/>
      <c r="M869" s="4"/>
      <c r="N869" s="4"/>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3"/>
      <c r="AP869" s="2"/>
      <c r="AQ869" s="2"/>
      <c r="AR869" s="2"/>
      <c r="AS869" s="2"/>
      <c r="AT869" s="2"/>
      <c r="AU869" s="2"/>
      <c r="AV869" s="2"/>
      <c r="AW869" s="2"/>
      <c r="AX869" s="2"/>
      <c r="AY869" s="2"/>
      <c r="AZ869" s="5"/>
      <c r="BA869" s="2"/>
      <c r="BD869" s="2"/>
      <c r="BE869" s="2"/>
      <c r="BF869" s="2"/>
      <c r="BG869" s="2"/>
      <c r="BH869" s="2"/>
      <c r="BI869" s="2"/>
      <c r="BJ869" s="2"/>
      <c r="BK869" s="2"/>
      <c r="BM869" s="2"/>
      <c r="BN869" s="2"/>
      <c r="BO869" s="2"/>
      <c r="BP869" s="2"/>
      <c r="BQ869" s="2"/>
      <c r="BR869" s="6"/>
      <c r="BS869" s="6"/>
      <c r="BT869" s="2"/>
      <c r="BU869" s="2"/>
      <c r="BV869" s="2"/>
      <c r="BW869" s="2"/>
      <c r="BX869" s="2"/>
      <c r="BY869" s="2"/>
      <c r="BZ869" s="2"/>
      <c r="CA869" s="2"/>
      <c r="CB869" s="2"/>
      <c r="CC869" s="2"/>
      <c r="CD869" s="3"/>
      <c r="CE869" s="2"/>
      <c r="CF869" s="4"/>
      <c r="CG869" s="4"/>
      <c r="CI869" s="2"/>
    </row>
    <row r="870" spans="1:87" s="101" customFormat="1" x14ac:dyDescent="0.35">
      <c r="A870" s="1"/>
      <c r="C870" s="1"/>
      <c r="G870" s="2"/>
      <c r="H870" s="2"/>
      <c r="I870" s="2"/>
      <c r="J870" s="2"/>
      <c r="K870" s="81"/>
      <c r="L870" s="4"/>
      <c r="M870" s="4"/>
      <c r="N870" s="4"/>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3"/>
      <c r="AP870" s="2"/>
      <c r="AQ870" s="2"/>
      <c r="AR870" s="2"/>
      <c r="AS870" s="2"/>
      <c r="AT870" s="2"/>
      <c r="AU870" s="2"/>
      <c r="AV870" s="2"/>
      <c r="AW870" s="2"/>
      <c r="AX870" s="2"/>
      <c r="AY870" s="2"/>
      <c r="AZ870" s="5"/>
      <c r="BA870" s="2"/>
      <c r="BD870" s="2"/>
      <c r="BE870" s="2"/>
      <c r="BF870" s="2"/>
      <c r="BG870" s="2"/>
      <c r="BH870" s="2"/>
      <c r="BI870" s="2"/>
      <c r="BJ870" s="2"/>
      <c r="BK870" s="2"/>
      <c r="BM870" s="2"/>
      <c r="BN870" s="2"/>
      <c r="BO870" s="2"/>
      <c r="BP870" s="2"/>
      <c r="BQ870" s="2"/>
      <c r="BR870" s="6"/>
      <c r="BS870" s="6"/>
      <c r="BT870" s="2"/>
      <c r="BU870" s="2"/>
      <c r="BV870" s="2"/>
      <c r="BW870" s="2"/>
      <c r="BX870" s="2"/>
      <c r="BY870" s="2"/>
      <c r="BZ870" s="2"/>
      <c r="CA870" s="2"/>
      <c r="CB870" s="2"/>
      <c r="CC870" s="2"/>
      <c r="CD870" s="3"/>
      <c r="CE870" s="2"/>
      <c r="CF870" s="4"/>
      <c r="CG870" s="4"/>
      <c r="CI870" s="2"/>
    </row>
    <row r="871" spans="1:87" s="101" customFormat="1" x14ac:dyDescent="0.35">
      <c r="A871" s="1"/>
      <c r="C871" s="1"/>
      <c r="G871" s="2"/>
      <c r="H871" s="2"/>
      <c r="I871" s="2"/>
      <c r="J871" s="2"/>
      <c r="K871" s="81"/>
      <c r="L871" s="4"/>
      <c r="M871" s="4"/>
      <c r="N871" s="4"/>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3"/>
      <c r="AP871" s="2"/>
      <c r="AQ871" s="2"/>
      <c r="AR871" s="2"/>
      <c r="AS871" s="2"/>
      <c r="AT871" s="2"/>
      <c r="AU871" s="2"/>
      <c r="AV871" s="2"/>
      <c r="AW871" s="2"/>
      <c r="AX871" s="2"/>
      <c r="AY871" s="2"/>
      <c r="AZ871" s="5"/>
      <c r="BA871" s="2"/>
      <c r="BD871" s="2"/>
      <c r="BE871" s="2"/>
      <c r="BF871" s="2"/>
      <c r="BG871" s="2"/>
      <c r="BH871" s="2"/>
      <c r="BI871" s="2"/>
      <c r="BJ871" s="2"/>
      <c r="BK871" s="2"/>
      <c r="BM871" s="2"/>
      <c r="BN871" s="2"/>
      <c r="BO871" s="2"/>
      <c r="BP871" s="2"/>
      <c r="BQ871" s="2"/>
      <c r="BR871" s="6"/>
      <c r="BS871" s="6"/>
      <c r="BT871" s="2"/>
      <c r="BU871" s="2"/>
      <c r="BV871" s="2"/>
      <c r="BW871" s="2"/>
      <c r="BX871" s="2"/>
      <c r="BY871" s="2"/>
      <c r="BZ871" s="2"/>
      <c r="CA871" s="2"/>
      <c r="CB871" s="2"/>
      <c r="CC871" s="2"/>
      <c r="CD871" s="3"/>
      <c r="CE871" s="2"/>
      <c r="CF871" s="4"/>
      <c r="CG871" s="4"/>
      <c r="CI871" s="2"/>
    </row>
    <row r="872" spans="1:87" s="101" customFormat="1" x14ac:dyDescent="0.35">
      <c r="A872" s="1"/>
      <c r="C872" s="1"/>
      <c r="G872" s="2"/>
      <c r="H872" s="2"/>
      <c r="I872" s="2"/>
      <c r="J872" s="2"/>
      <c r="K872" s="81"/>
      <c r="L872" s="4"/>
      <c r="M872" s="4"/>
      <c r="N872" s="4"/>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3"/>
      <c r="AP872" s="2"/>
      <c r="AQ872" s="2"/>
      <c r="AR872" s="2"/>
      <c r="AS872" s="2"/>
      <c r="AT872" s="2"/>
      <c r="AU872" s="2"/>
      <c r="AV872" s="2"/>
      <c r="AW872" s="2"/>
      <c r="AX872" s="2"/>
      <c r="AY872" s="2"/>
      <c r="AZ872" s="5"/>
      <c r="BA872" s="2"/>
      <c r="BD872" s="2"/>
      <c r="BE872" s="2"/>
      <c r="BF872" s="2"/>
      <c r="BG872" s="2"/>
      <c r="BH872" s="2"/>
      <c r="BI872" s="2"/>
      <c r="BJ872" s="2"/>
      <c r="BK872" s="2"/>
      <c r="BM872" s="2"/>
      <c r="BN872" s="2"/>
      <c r="BO872" s="2"/>
      <c r="BP872" s="2"/>
      <c r="BQ872" s="2"/>
      <c r="BR872" s="6"/>
      <c r="BS872" s="6"/>
      <c r="BT872" s="2"/>
      <c r="BU872" s="2"/>
      <c r="BV872" s="2"/>
      <c r="BW872" s="2"/>
      <c r="BX872" s="2"/>
      <c r="BY872" s="2"/>
      <c r="BZ872" s="2"/>
      <c r="CA872" s="2"/>
      <c r="CB872" s="2"/>
      <c r="CC872" s="2"/>
      <c r="CD872" s="3"/>
      <c r="CE872" s="2"/>
      <c r="CF872" s="4"/>
      <c r="CG872" s="4"/>
      <c r="CI872" s="2"/>
    </row>
    <row r="873" spans="1:87" s="101" customFormat="1" x14ac:dyDescent="0.35">
      <c r="A873" s="1"/>
      <c r="C873" s="1"/>
      <c r="G873" s="2"/>
      <c r="H873" s="2"/>
      <c r="I873" s="2"/>
      <c r="J873" s="2"/>
      <c r="K873" s="81"/>
      <c r="L873" s="4"/>
      <c r="M873" s="4"/>
      <c r="N873" s="4"/>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3"/>
      <c r="AP873" s="2"/>
      <c r="AQ873" s="2"/>
      <c r="AR873" s="2"/>
      <c r="AS873" s="2"/>
      <c r="AT873" s="2"/>
      <c r="AU873" s="2"/>
      <c r="AV873" s="2"/>
      <c r="AW873" s="2"/>
      <c r="AX873" s="2"/>
      <c r="AY873" s="2"/>
      <c r="AZ873" s="5"/>
      <c r="BA873" s="2"/>
      <c r="BD873" s="2"/>
      <c r="BE873" s="2"/>
      <c r="BF873" s="2"/>
      <c r="BG873" s="2"/>
      <c r="BH873" s="2"/>
      <c r="BI873" s="2"/>
      <c r="BJ873" s="2"/>
      <c r="BK873" s="2"/>
      <c r="BM873" s="2"/>
      <c r="BN873" s="2"/>
      <c r="BO873" s="2"/>
      <c r="BP873" s="2"/>
      <c r="BQ873" s="2"/>
      <c r="BR873" s="6"/>
      <c r="BS873" s="6"/>
      <c r="BT873" s="2"/>
      <c r="BU873" s="2"/>
      <c r="BV873" s="2"/>
      <c r="BW873" s="2"/>
      <c r="BX873" s="2"/>
      <c r="BY873" s="2"/>
      <c r="BZ873" s="2"/>
      <c r="CA873" s="2"/>
      <c r="CB873" s="2"/>
      <c r="CC873" s="2"/>
      <c r="CD873" s="3"/>
      <c r="CE873" s="2"/>
      <c r="CF873" s="4"/>
      <c r="CG873" s="4"/>
      <c r="CI873" s="2"/>
    </row>
    <row r="874" spans="1:87" s="101" customFormat="1" x14ac:dyDescent="0.35">
      <c r="A874" s="1"/>
      <c r="C874" s="1"/>
      <c r="G874" s="2"/>
      <c r="H874" s="2"/>
      <c r="I874" s="2"/>
      <c r="J874" s="2"/>
      <c r="K874" s="81"/>
      <c r="L874" s="4"/>
      <c r="M874" s="4"/>
      <c r="N874" s="4"/>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3"/>
      <c r="AP874" s="2"/>
      <c r="AQ874" s="2"/>
      <c r="AR874" s="2"/>
      <c r="AS874" s="2"/>
      <c r="AT874" s="2"/>
      <c r="AU874" s="2"/>
      <c r="AV874" s="2"/>
      <c r="AW874" s="2"/>
      <c r="AX874" s="2"/>
      <c r="AY874" s="2"/>
      <c r="AZ874" s="5"/>
      <c r="BA874" s="2"/>
      <c r="BD874" s="2"/>
      <c r="BE874" s="2"/>
      <c r="BF874" s="2"/>
      <c r="BG874" s="2"/>
      <c r="BH874" s="2"/>
      <c r="BI874" s="2"/>
      <c r="BJ874" s="2"/>
      <c r="BK874" s="2"/>
      <c r="BM874" s="2"/>
      <c r="BN874" s="2"/>
      <c r="BO874" s="2"/>
      <c r="BP874" s="2"/>
      <c r="BQ874" s="2"/>
      <c r="BR874" s="6"/>
      <c r="BS874" s="6"/>
      <c r="BT874" s="2"/>
      <c r="BU874" s="2"/>
      <c r="BV874" s="2"/>
      <c r="BW874" s="2"/>
      <c r="BX874" s="2"/>
      <c r="BY874" s="2"/>
      <c r="BZ874" s="2"/>
      <c r="CA874" s="2"/>
      <c r="CB874" s="2"/>
      <c r="CC874" s="2"/>
      <c r="CD874" s="3"/>
      <c r="CE874" s="2"/>
      <c r="CF874" s="4"/>
      <c r="CG874" s="4"/>
      <c r="CI874" s="2"/>
    </row>
    <row r="875" spans="1:87" s="101" customFormat="1" x14ac:dyDescent="0.35">
      <c r="A875" s="1"/>
      <c r="C875" s="1"/>
      <c r="G875" s="2"/>
      <c r="H875" s="2"/>
      <c r="I875" s="2"/>
      <c r="J875" s="2"/>
      <c r="K875" s="81"/>
      <c r="L875" s="4"/>
      <c r="M875" s="4"/>
      <c r="N875" s="4"/>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3"/>
      <c r="AP875" s="2"/>
      <c r="AQ875" s="2"/>
      <c r="AR875" s="2"/>
      <c r="AS875" s="2"/>
      <c r="AT875" s="2"/>
      <c r="AU875" s="2"/>
      <c r="AV875" s="2"/>
      <c r="AW875" s="2"/>
      <c r="AX875" s="2"/>
      <c r="AY875" s="2"/>
      <c r="AZ875" s="5"/>
      <c r="BA875" s="2"/>
      <c r="BD875" s="2"/>
      <c r="BE875" s="2"/>
      <c r="BF875" s="2"/>
      <c r="BG875" s="2"/>
      <c r="BH875" s="2"/>
      <c r="BI875" s="2"/>
      <c r="BJ875" s="2"/>
      <c r="BK875" s="2"/>
      <c r="BM875" s="2"/>
      <c r="BN875" s="2"/>
      <c r="BO875" s="2"/>
      <c r="BP875" s="2"/>
      <c r="BQ875" s="2"/>
      <c r="BR875" s="6"/>
      <c r="BS875" s="6"/>
      <c r="BT875" s="2"/>
      <c r="BU875" s="2"/>
      <c r="BV875" s="2"/>
      <c r="BW875" s="2"/>
      <c r="BX875" s="2"/>
      <c r="BY875" s="2"/>
      <c r="BZ875" s="2"/>
      <c r="CA875" s="2"/>
      <c r="CB875" s="2"/>
      <c r="CC875" s="2"/>
      <c r="CD875" s="3"/>
      <c r="CE875" s="2"/>
      <c r="CF875" s="4"/>
      <c r="CG875" s="4"/>
      <c r="CI875" s="2"/>
    </row>
    <row r="876" spans="1:87" s="101" customFormat="1" x14ac:dyDescent="0.35">
      <c r="A876" s="1"/>
      <c r="C876" s="1"/>
      <c r="G876" s="2"/>
      <c r="H876" s="2"/>
      <c r="I876" s="2"/>
      <c r="J876" s="2"/>
      <c r="K876" s="81"/>
      <c r="L876" s="4"/>
      <c r="M876" s="4"/>
      <c r="N876" s="4"/>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3"/>
      <c r="AP876" s="2"/>
      <c r="AQ876" s="2"/>
      <c r="AR876" s="2"/>
      <c r="AS876" s="2"/>
      <c r="AT876" s="2"/>
      <c r="AU876" s="2"/>
      <c r="AV876" s="2"/>
      <c r="AW876" s="2"/>
      <c r="AX876" s="2"/>
      <c r="AY876" s="2"/>
      <c r="AZ876" s="5"/>
      <c r="BA876" s="2"/>
      <c r="BD876" s="2"/>
      <c r="BE876" s="2"/>
      <c r="BF876" s="2"/>
      <c r="BG876" s="2"/>
      <c r="BH876" s="2"/>
      <c r="BI876" s="2"/>
      <c r="BJ876" s="2"/>
      <c r="BK876" s="2"/>
      <c r="BM876" s="2"/>
      <c r="BN876" s="2"/>
      <c r="BO876" s="2"/>
      <c r="BP876" s="2"/>
      <c r="BQ876" s="2"/>
      <c r="BR876" s="6"/>
      <c r="BS876" s="6"/>
      <c r="BT876" s="2"/>
      <c r="BU876" s="2"/>
      <c r="BV876" s="2"/>
      <c r="BW876" s="2"/>
      <c r="BX876" s="2"/>
      <c r="BY876" s="2"/>
      <c r="BZ876" s="2"/>
      <c r="CA876" s="2"/>
      <c r="CB876" s="2"/>
      <c r="CC876" s="2"/>
      <c r="CD876" s="3"/>
      <c r="CE876" s="2"/>
      <c r="CF876" s="4"/>
      <c r="CG876" s="4"/>
      <c r="CI876" s="2"/>
    </row>
    <row r="877" spans="1:87" s="101" customFormat="1" x14ac:dyDescent="0.35">
      <c r="A877" s="1"/>
      <c r="C877" s="1"/>
      <c r="G877" s="2"/>
      <c r="H877" s="2"/>
      <c r="I877" s="2"/>
      <c r="J877" s="2"/>
      <c r="K877" s="81"/>
      <c r="L877" s="4"/>
      <c r="M877" s="4"/>
      <c r="N877" s="4"/>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3"/>
      <c r="AP877" s="2"/>
      <c r="AQ877" s="2"/>
      <c r="AR877" s="2"/>
      <c r="AS877" s="2"/>
      <c r="AT877" s="2"/>
      <c r="AU877" s="2"/>
      <c r="AV877" s="2"/>
      <c r="AW877" s="2"/>
      <c r="AX877" s="2"/>
      <c r="AY877" s="2"/>
      <c r="AZ877" s="5"/>
      <c r="BA877" s="2"/>
      <c r="BD877" s="2"/>
      <c r="BE877" s="2"/>
      <c r="BF877" s="2"/>
      <c r="BG877" s="2"/>
      <c r="BH877" s="2"/>
      <c r="BI877" s="2"/>
      <c r="BJ877" s="2"/>
      <c r="BK877" s="2"/>
      <c r="BM877" s="2"/>
      <c r="BN877" s="2"/>
      <c r="BO877" s="2"/>
      <c r="BP877" s="2"/>
      <c r="BQ877" s="2"/>
      <c r="BR877" s="6"/>
      <c r="BS877" s="6"/>
      <c r="BT877" s="2"/>
      <c r="BU877" s="2"/>
      <c r="BV877" s="2"/>
      <c r="BW877" s="2"/>
      <c r="BX877" s="2"/>
      <c r="BY877" s="2"/>
      <c r="BZ877" s="2"/>
      <c r="CA877" s="2"/>
      <c r="CB877" s="2"/>
      <c r="CC877" s="2"/>
      <c r="CD877" s="3"/>
      <c r="CE877" s="2"/>
      <c r="CF877" s="4"/>
      <c r="CG877" s="4"/>
      <c r="CI877" s="2"/>
    </row>
    <row r="878" spans="1:87" s="101" customFormat="1" x14ac:dyDescent="0.35">
      <c r="A878" s="1"/>
      <c r="C878" s="1"/>
      <c r="G878" s="2"/>
      <c r="H878" s="2"/>
      <c r="I878" s="2"/>
      <c r="J878" s="2"/>
      <c r="K878" s="81"/>
      <c r="L878" s="4"/>
      <c r="M878" s="4"/>
      <c r="N878" s="4"/>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3"/>
      <c r="AP878" s="2"/>
      <c r="AQ878" s="2"/>
      <c r="AR878" s="2"/>
      <c r="AS878" s="2"/>
      <c r="AT878" s="2"/>
      <c r="AU878" s="2"/>
      <c r="AV878" s="2"/>
      <c r="AW878" s="2"/>
      <c r="AX878" s="2"/>
      <c r="AY878" s="2"/>
      <c r="AZ878" s="5"/>
      <c r="BA878" s="2"/>
      <c r="BD878" s="2"/>
      <c r="BE878" s="2"/>
      <c r="BF878" s="2"/>
      <c r="BG878" s="2"/>
      <c r="BH878" s="2"/>
      <c r="BI878" s="2"/>
      <c r="BJ878" s="2"/>
      <c r="BK878" s="2"/>
      <c r="BM878" s="2"/>
      <c r="BN878" s="2"/>
      <c r="BO878" s="2"/>
      <c r="BP878" s="2"/>
      <c r="BQ878" s="2"/>
      <c r="BR878" s="6"/>
      <c r="BS878" s="6"/>
      <c r="BT878" s="2"/>
      <c r="BU878" s="2"/>
      <c r="BV878" s="2"/>
      <c r="BW878" s="2"/>
      <c r="BX878" s="2"/>
      <c r="BY878" s="2"/>
      <c r="BZ878" s="2"/>
      <c r="CA878" s="2"/>
      <c r="CB878" s="2"/>
      <c r="CC878" s="2"/>
      <c r="CD878" s="3"/>
      <c r="CE878" s="2"/>
      <c r="CF878" s="4"/>
      <c r="CG878" s="4"/>
      <c r="CI878" s="2"/>
    </row>
    <row r="879" spans="1:87" s="101" customFormat="1" x14ac:dyDescent="0.35">
      <c r="A879" s="1"/>
      <c r="C879" s="1"/>
      <c r="G879" s="2"/>
      <c r="H879" s="2"/>
      <c r="I879" s="2"/>
      <c r="J879" s="2"/>
      <c r="K879" s="81"/>
      <c r="L879" s="4"/>
      <c r="M879" s="4"/>
      <c r="N879" s="4"/>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3"/>
      <c r="AP879" s="2"/>
      <c r="AQ879" s="2"/>
      <c r="AR879" s="2"/>
      <c r="AS879" s="2"/>
      <c r="AT879" s="2"/>
      <c r="AU879" s="2"/>
      <c r="AV879" s="2"/>
      <c r="AW879" s="2"/>
      <c r="AX879" s="2"/>
      <c r="AY879" s="2"/>
      <c r="AZ879" s="5"/>
      <c r="BA879" s="2"/>
      <c r="BD879" s="2"/>
      <c r="BE879" s="2"/>
      <c r="BF879" s="2"/>
      <c r="BG879" s="2"/>
      <c r="BH879" s="2"/>
      <c r="BI879" s="2"/>
      <c r="BJ879" s="2"/>
      <c r="BK879" s="2"/>
      <c r="BM879" s="2"/>
      <c r="BN879" s="2"/>
      <c r="BO879" s="2"/>
      <c r="BP879" s="2"/>
      <c r="BQ879" s="2"/>
      <c r="BR879" s="6"/>
      <c r="BS879" s="6"/>
      <c r="BT879" s="2"/>
      <c r="BU879" s="2"/>
      <c r="BV879" s="2"/>
      <c r="BW879" s="2"/>
      <c r="BX879" s="2"/>
      <c r="BY879" s="2"/>
      <c r="BZ879" s="2"/>
      <c r="CA879" s="2"/>
      <c r="CB879" s="2"/>
      <c r="CC879" s="2"/>
      <c r="CD879" s="3"/>
      <c r="CE879" s="2"/>
      <c r="CF879" s="4"/>
      <c r="CG879" s="4"/>
      <c r="CI879" s="2"/>
    </row>
    <row r="880" spans="1:87" s="101" customFormat="1" x14ac:dyDescent="0.35">
      <c r="A880" s="1"/>
      <c r="C880" s="1"/>
      <c r="G880" s="2"/>
      <c r="H880" s="2"/>
      <c r="I880" s="2"/>
      <c r="J880" s="2"/>
      <c r="K880" s="81"/>
      <c r="L880" s="4"/>
      <c r="M880" s="4"/>
      <c r="N880" s="4"/>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3"/>
      <c r="AP880" s="2"/>
      <c r="AQ880" s="2"/>
      <c r="AR880" s="2"/>
      <c r="AS880" s="2"/>
      <c r="AT880" s="2"/>
      <c r="AU880" s="2"/>
      <c r="AV880" s="2"/>
      <c r="AW880" s="2"/>
      <c r="AX880" s="2"/>
      <c r="AY880" s="2"/>
      <c r="AZ880" s="5"/>
      <c r="BA880" s="2"/>
      <c r="BD880" s="2"/>
      <c r="BE880" s="2"/>
      <c r="BF880" s="2"/>
      <c r="BG880" s="2"/>
      <c r="BH880" s="2"/>
      <c r="BI880" s="2"/>
      <c r="BJ880" s="2"/>
      <c r="BK880" s="2"/>
      <c r="BM880" s="2"/>
      <c r="BN880" s="2"/>
      <c r="BO880" s="2"/>
      <c r="BP880" s="2"/>
      <c r="BQ880" s="2"/>
      <c r="BR880" s="6"/>
      <c r="BS880" s="6"/>
      <c r="BT880" s="2"/>
      <c r="BU880" s="2"/>
      <c r="BV880" s="2"/>
      <c r="BW880" s="2"/>
      <c r="BX880" s="2"/>
      <c r="BY880" s="2"/>
      <c r="BZ880" s="2"/>
      <c r="CA880" s="2"/>
      <c r="CB880" s="2"/>
      <c r="CC880" s="2"/>
      <c r="CD880" s="3"/>
      <c r="CE880" s="2"/>
      <c r="CF880" s="4"/>
      <c r="CG880" s="4"/>
      <c r="CI880" s="2"/>
    </row>
    <row r="881" spans="1:87" s="101" customFormat="1" x14ac:dyDescent="0.35">
      <c r="A881" s="1"/>
      <c r="C881" s="1"/>
      <c r="G881" s="2"/>
      <c r="H881" s="2"/>
      <c r="I881" s="2"/>
      <c r="J881" s="2"/>
      <c r="K881" s="81"/>
      <c r="L881" s="4"/>
      <c r="M881" s="4"/>
      <c r="N881" s="4"/>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3"/>
      <c r="AP881" s="2"/>
      <c r="AQ881" s="2"/>
      <c r="AR881" s="2"/>
      <c r="AS881" s="2"/>
      <c r="AT881" s="2"/>
      <c r="AU881" s="2"/>
      <c r="AV881" s="2"/>
      <c r="AW881" s="2"/>
      <c r="AX881" s="2"/>
      <c r="AY881" s="2"/>
      <c r="AZ881" s="5"/>
      <c r="BA881" s="2"/>
      <c r="BD881" s="2"/>
      <c r="BE881" s="2"/>
      <c r="BF881" s="2"/>
      <c r="BG881" s="2"/>
      <c r="BH881" s="2"/>
      <c r="BI881" s="2"/>
      <c r="BJ881" s="2"/>
      <c r="BK881" s="2"/>
      <c r="BM881" s="2"/>
      <c r="BN881" s="2"/>
      <c r="BO881" s="2"/>
      <c r="BP881" s="2"/>
      <c r="BQ881" s="2"/>
      <c r="BR881" s="6"/>
      <c r="BS881" s="6"/>
      <c r="BT881" s="2"/>
      <c r="BU881" s="2"/>
      <c r="BV881" s="2"/>
      <c r="BW881" s="2"/>
      <c r="BX881" s="2"/>
      <c r="BY881" s="2"/>
      <c r="BZ881" s="2"/>
      <c r="CA881" s="2"/>
      <c r="CB881" s="2"/>
      <c r="CC881" s="2"/>
      <c r="CD881" s="3"/>
      <c r="CE881" s="2"/>
      <c r="CF881" s="4"/>
      <c r="CG881" s="4"/>
      <c r="CI881" s="2"/>
    </row>
    <row r="882" spans="1:87" s="101" customFormat="1" x14ac:dyDescent="0.35">
      <c r="A882" s="1"/>
      <c r="C882" s="1"/>
      <c r="G882" s="2"/>
      <c r="H882" s="2"/>
      <c r="I882" s="2"/>
      <c r="J882" s="2"/>
      <c r="K882" s="81"/>
      <c r="L882" s="4"/>
      <c r="M882" s="4"/>
      <c r="N882" s="4"/>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3"/>
      <c r="AP882" s="2"/>
      <c r="AQ882" s="2"/>
      <c r="AR882" s="2"/>
      <c r="AS882" s="2"/>
      <c r="AT882" s="2"/>
      <c r="AU882" s="2"/>
      <c r="AV882" s="2"/>
      <c r="AW882" s="2"/>
      <c r="AX882" s="2"/>
      <c r="AY882" s="2"/>
      <c r="AZ882" s="5"/>
      <c r="BA882" s="2"/>
      <c r="BD882" s="2"/>
      <c r="BE882" s="2"/>
      <c r="BF882" s="2"/>
      <c r="BG882" s="2"/>
      <c r="BH882" s="2"/>
      <c r="BI882" s="2"/>
      <c r="BJ882" s="2"/>
      <c r="BK882" s="2"/>
      <c r="BM882" s="2"/>
      <c r="BN882" s="2"/>
      <c r="BO882" s="2"/>
      <c r="BP882" s="2"/>
      <c r="BQ882" s="2"/>
      <c r="BR882" s="6"/>
      <c r="BS882" s="6"/>
      <c r="BT882" s="2"/>
      <c r="BU882" s="2"/>
      <c r="BV882" s="2"/>
      <c r="BW882" s="2"/>
      <c r="BX882" s="2"/>
      <c r="BY882" s="2"/>
      <c r="BZ882" s="2"/>
      <c r="CA882" s="2"/>
      <c r="CB882" s="2"/>
      <c r="CC882" s="2"/>
      <c r="CD882" s="3"/>
      <c r="CE882" s="2"/>
      <c r="CF882" s="4"/>
      <c r="CG882" s="4"/>
      <c r="CI882" s="2"/>
    </row>
    <row r="883" spans="1:87" s="101" customFormat="1" x14ac:dyDescent="0.35">
      <c r="A883" s="1"/>
      <c r="C883" s="1"/>
      <c r="G883" s="2"/>
      <c r="H883" s="2"/>
      <c r="I883" s="2"/>
      <c r="J883" s="2"/>
      <c r="K883" s="81"/>
      <c r="L883" s="4"/>
      <c r="M883" s="4"/>
      <c r="N883" s="4"/>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3"/>
      <c r="AP883" s="2"/>
      <c r="AQ883" s="2"/>
      <c r="AR883" s="2"/>
      <c r="AS883" s="2"/>
      <c r="AT883" s="2"/>
      <c r="AU883" s="2"/>
      <c r="AV883" s="2"/>
      <c r="AW883" s="2"/>
      <c r="AX883" s="2"/>
      <c r="AY883" s="2"/>
      <c r="AZ883" s="5"/>
      <c r="BA883" s="2"/>
      <c r="BD883" s="2"/>
      <c r="BE883" s="2"/>
      <c r="BF883" s="2"/>
      <c r="BG883" s="2"/>
      <c r="BH883" s="2"/>
      <c r="BI883" s="2"/>
      <c r="BJ883" s="2"/>
      <c r="BK883" s="2"/>
      <c r="BM883" s="2"/>
      <c r="BN883" s="2"/>
      <c r="BO883" s="2"/>
      <c r="BP883" s="2"/>
      <c r="BQ883" s="2"/>
      <c r="BR883" s="6"/>
      <c r="BS883" s="6"/>
      <c r="BT883" s="2"/>
      <c r="BU883" s="2"/>
      <c r="BV883" s="2"/>
      <c r="BW883" s="2"/>
      <c r="BX883" s="2"/>
      <c r="BY883" s="2"/>
      <c r="BZ883" s="2"/>
      <c r="CA883" s="2"/>
      <c r="CB883" s="2"/>
      <c r="CC883" s="2"/>
      <c r="CD883" s="3"/>
      <c r="CE883" s="2"/>
      <c r="CF883" s="4"/>
      <c r="CG883" s="4"/>
      <c r="CI883" s="2"/>
    </row>
    <row r="884" spans="1:87" s="101" customFormat="1" x14ac:dyDescent="0.35">
      <c r="A884" s="1"/>
      <c r="C884" s="1"/>
      <c r="G884" s="2"/>
      <c r="H884" s="2"/>
      <c r="I884" s="2"/>
      <c r="J884" s="2"/>
      <c r="K884" s="81"/>
      <c r="L884" s="4"/>
      <c r="M884" s="4"/>
      <c r="N884" s="4"/>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3"/>
      <c r="AP884" s="2"/>
      <c r="AQ884" s="2"/>
      <c r="AR884" s="2"/>
      <c r="AS884" s="2"/>
      <c r="AT884" s="2"/>
      <c r="AU884" s="2"/>
      <c r="AV884" s="2"/>
      <c r="AW884" s="2"/>
      <c r="AX884" s="2"/>
      <c r="AY884" s="2"/>
      <c r="AZ884" s="5"/>
      <c r="BA884" s="2"/>
      <c r="BD884" s="2"/>
      <c r="BE884" s="2"/>
      <c r="BF884" s="2"/>
      <c r="BG884" s="2"/>
      <c r="BH884" s="2"/>
      <c r="BI884" s="2"/>
      <c r="BJ884" s="2"/>
      <c r="BK884" s="2"/>
      <c r="BM884" s="2"/>
      <c r="BN884" s="2"/>
      <c r="BO884" s="2"/>
      <c r="BP884" s="2"/>
      <c r="BQ884" s="2"/>
      <c r="BR884" s="6"/>
      <c r="BS884" s="6"/>
      <c r="BT884" s="2"/>
      <c r="BU884" s="2"/>
      <c r="BV884" s="2"/>
      <c r="BW884" s="2"/>
      <c r="BX884" s="2"/>
      <c r="BY884" s="2"/>
      <c r="BZ884" s="2"/>
      <c r="CA884" s="2"/>
      <c r="CB884" s="2"/>
      <c r="CC884" s="2"/>
      <c r="CD884" s="3"/>
      <c r="CE884" s="2"/>
      <c r="CF884" s="4"/>
      <c r="CG884" s="4"/>
      <c r="CI884" s="2"/>
    </row>
    <row r="885" spans="1:87" s="101" customFormat="1" x14ac:dyDescent="0.35">
      <c r="A885" s="1"/>
      <c r="C885" s="1"/>
      <c r="G885" s="2"/>
      <c r="H885" s="2"/>
      <c r="I885" s="2"/>
      <c r="J885" s="2"/>
      <c r="K885" s="81"/>
      <c r="L885" s="4"/>
      <c r="M885" s="4"/>
      <c r="N885" s="4"/>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3"/>
      <c r="AP885" s="2"/>
      <c r="AQ885" s="2"/>
      <c r="AR885" s="2"/>
      <c r="AS885" s="2"/>
      <c r="AT885" s="2"/>
      <c r="AU885" s="2"/>
      <c r="AV885" s="2"/>
      <c r="AW885" s="2"/>
      <c r="AX885" s="2"/>
      <c r="AY885" s="2"/>
      <c r="AZ885" s="5"/>
      <c r="BA885" s="2"/>
      <c r="BD885" s="2"/>
      <c r="BE885" s="2"/>
      <c r="BF885" s="2"/>
      <c r="BG885" s="2"/>
      <c r="BH885" s="2"/>
      <c r="BI885" s="2"/>
      <c r="BJ885" s="2"/>
      <c r="BK885" s="2"/>
      <c r="BM885" s="2"/>
      <c r="BN885" s="2"/>
      <c r="BO885" s="2"/>
      <c r="BP885" s="2"/>
      <c r="BQ885" s="2"/>
      <c r="BR885" s="6"/>
      <c r="BS885" s="6"/>
      <c r="BT885" s="2"/>
      <c r="BU885" s="2"/>
      <c r="BV885" s="2"/>
      <c r="BW885" s="2"/>
      <c r="BX885" s="2"/>
      <c r="BY885" s="2"/>
      <c r="BZ885" s="2"/>
      <c r="CA885" s="2"/>
      <c r="CB885" s="2"/>
      <c r="CC885" s="2"/>
      <c r="CD885" s="3"/>
      <c r="CE885" s="2"/>
      <c r="CF885" s="4"/>
      <c r="CG885" s="4"/>
      <c r="CI885" s="2"/>
    </row>
    <row r="886" spans="1:87" s="101" customFormat="1" x14ac:dyDescent="0.35">
      <c r="A886" s="1"/>
      <c r="C886" s="1"/>
      <c r="G886" s="2"/>
      <c r="H886" s="2"/>
      <c r="I886" s="2"/>
      <c r="J886" s="2"/>
      <c r="K886" s="81"/>
      <c r="L886" s="4"/>
      <c r="M886" s="4"/>
      <c r="N886" s="4"/>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3"/>
      <c r="AP886" s="2"/>
      <c r="AQ886" s="2"/>
      <c r="AR886" s="2"/>
      <c r="AS886" s="2"/>
      <c r="AT886" s="2"/>
      <c r="AU886" s="2"/>
      <c r="AV886" s="2"/>
      <c r="AW886" s="2"/>
      <c r="AX886" s="2"/>
      <c r="AY886" s="2"/>
      <c r="AZ886" s="5"/>
      <c r="BA886" s="2"/>
      <c r="BD886" s="2"/>
      <c r="BE886" s="2"/>
      <c r="BF886" s="2"/>
      <c r="BG886" s="2"/>
      <c r="BH886" s="2"/>
      <c r="BI886" s="2"/>
      <c r="BJ886" s="2"/>
      <c r="BK886" s="2"/>
      <c r="BM886" s="2"/>
      <c r="BN886" s="2"/>
      <c r="BO886" s="2"/>
      <c r="BP886" s="2"/>
      <c r="BQ886" s="2"/>
      <c r="BR886" s="6"/>
      <c r="BS886" s="6"/>
      <c r="BT886" s="2"/>
      <c r="BU886" s="2"/>
      <c r="BV886" s="2"/>
      <c r="BW886" s="2"/>
      <c r="BX886" s="2"/>
      <c r="BY886" s="2"/>
      <c r="BZ886" s="2"/>
      <c r="CA886" s="2"/>
      <c r="CB886" s="2"/>
      <c r="CC886" s="2"/>
      <c r="CD886" s="3"/>
      <c r="CE886" s="2"/>
      <c r="CF886" s="4"/>
      <c r="CG886" s="4"/>
      <c r="CI886" s="2"/>
    </row>
    <row r="887" spans="1:87" s="101" customFormat="1" x14ac:dyDescent="0.35">
      <c r="A887" s="1"/>
      <c r="C887" s="1"/>
      <c r="G887" s="2"/>
      <c r="H887" s="2"/>
      <c r="I887" s="2"/>
      <c r="J887" s="2"/>
      <c r="K887" s="81"/>
      <c r="L887" s="4"/>
      <c r="M887" s="4"/>
      <c r="N887" s="4"/>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3"/>
      <c r="AP887" s="2"/>
      <c r="AQ887" s="2"/>
      <c r="AR887" s="2"/>
      <c r="AS887" s="2"/>
      <c r="AT887" s="2"/>
      <c r="AU887" s="2"/>
      <c r="AV887" s="2"/>
      <c r="AW887" s="2"/>
      <c r="AX887" s="2"/>
      <c r="AY887" s="2"/>
      <c r="AZ887" s="5"/>
      <c r="BA887" s="2"/>
      <c r="BD887" s="2"/>
      <c r="BE887" s="2"/>
      <c r="BF887" s="2"/>
      <c r="BG887" s="2"/>
      <c r="BH887" s="2"/>
      <c r="BI887" s="2"/>
      <c r="BJ887" s="2"/>
      <c r="BK887" s="2"/>
      <c r="BM887" s="2"/>
      <c r="BN887" s="2"/>
      <c r="BO887" s="2"/>
      <c r="BP887" s="2"/>
      <c r="BQ887" s="2"/>
      <c r="BR887" s="6"/>
      <c r="BS887" s="6"/>
      <c r="BT887" s="2"/>
      <c r="BU887" s="2"/>
      <c r="BV887" s="2"/>
      <c r="BW887" s="2"/>
      <c r="BX887" s="2"/>
      <c r="BY887" s="2"/>
      <c r="BZ887" s="2"/>
      <c r="CA887" s="2"/>
      <c r="CB887" s="2"/>
      <c r="CC887" s="2"/>
      <c r="CD887" s="3"/>
      <c r="CE887" s="2"/>
      <c r="CF887" s="4"/>
      <c r="CG887" s="4"/>
      <c r="CI887" s="2"/>
    </row>
    <row r="888" spans="1:87" s="101" customFormat="1" x14ac:dyDescent="0.35">
      <c r="A888" s="1"/>
      <c r="C888" s="1"/>
      <c r="G888" s="2"/>
      <c r="H888" s="2"/>
      <c r="I888" s="2"/>
      <c r="J888" s="2"/>
      <c r="K888" s="81"/>
      <c r="L888" s="4"/>
      <c r="M888" s="4"/>
      <c r="N888" s="4"/>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3"/>
      <c r="AP888" s="2"/>
      <c r="AQ888" s="2"/>
      <c r="AR888" s="2"/>
      <c r="AS888" s="2"/>
      <c r="AT888" s="2"/>
      <c r="AU888" s="2"/>
      <c r="AV888" s="2"/>
      <c r="AW888" s="2"/>
      <c r="AX888" s="2"/>
      <c r="AY888" s="2"/>
      <c r="AZ888" s="5"/>
      <c r="BA888" s="2"/>
      <c r="BD888" s="2"/>
      <c r="BE888" s="2"/>
      <c r="BF888" s="2"/>
      <c r="BG888" s="2"/>
      <c r="BH888" s="2"/>
      <c r="BI888" s="2"/>
      <c r="BJ888" s="2"/>
      <c r="BK888" s="2"/>
      <c r="BM888" s="2"/>
      <c r="BN888" s="2"/>
      <c r="BO888" s="2"/>
      <c r="BP888" s="2"/>
      <c r="BQ888" s="2"/>
      <c r="BR888" s="6"/>
      <c r="BS888" s="6"/>
      <c r="BT888" s="2"/>
      <c r="BU888" s="2"/>
      <c r="BV888" s="2"/>
      <c r="BW888" s="2"/>
      <c r="BX888" s="2"/>
      <c r="BY888" s="2"/>
      <c r="BZ888" s="2"/>
      <c r="CA888" s="2"/>
      <c r="CB888" s="2"/>
      <c r="CC888" s="2"/>
      <c r="CD888" s="3"/>
      <c r="CE888" s="2"/>
      <c r="CF888" s="4"/>
      <c r="CG888" s="4"/>
      <c r="CI888" s="2"/>
    </row>
    <row r="889" spans="1:87" s="101" customFormat="1" x14ac:dyDescent="0.35">
      <c r="A889" s="1"/>
      <c r="C889" s="1"/>
      <c r="G889" s="2"/>
      <c r="H889" s="2"/>
      <c r="I889" s="2"/>
      <c r="J889" s="2"/>
      <c r="K889" s="81"/>
      <c r="L889" s="4"/>
      <c r="M889" s="4"/>
      <c r="N889" s="4"/>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3"/>
      <c r="AP889" s="2"/>
      <c r="AQ889" s="2"/>
      <c r="AR889" s="2"/>
      <c r="AS889" s="2"/>
      <c r="AT889" s="2"/>
      <c r="AU889" s="2"/>
      <c r="AV889" s="2"/>
      <c r="AW889" s="2"/>
      <c r="AX889" s="2"/>
      <c r="AY889" s="2"/>
      <c r="AZ889" s="5"/>
      <c r="BA889" s="2"/>
      <c r="BD889" s="2"/>
      <c r="BE889" s="2"/>
      <c r="BF889" s="2"/>
      <c r="BG889" s="2"/>
      <c r="BH889" s="2"/>
      <c r="BI889" s="2"/>
      <c r="BJ889" s="2"/>
      <c r="BK889" s="2"/>
      <c r="BM889" s="2"/>
      <c r="BN889" s="2"/>
      <c r="BO889" s="2"/>
      <c r="BP889" s="2"/>
      <c r="BQ889" s="2"/>
      <c r="BR889" s="6"/>
      <c r="BS889" s="6"/>
      <c r="BT889" s="2"/>
      <c r="BU889" s="2"/>
      <c r="BV889" s="2"/>
      <c r="BW889" s="2"/>
      <c r="BX889" s="2"/>
      <c r="BY889" s="2"/>
      <c r="BZ889" s="2"/>
      <c r="CA889" s="2"/>
      <c r="CB889" s="2"/>
      <c r="CC889" s="2"/>
      <c r="CD889" s="3"/>
      <c r="CE889" s="2"/>
      <c r="CF889" s="4"/>
      <c r="CG889" s="4"/>
      <c r="CI889" s="2"/>
    </row>
    <row r="890" spans="1:87" s="101" customFormat="1" x14ac:dyDescent="0.35">
      <c r="A890" s="1"/>
      <c r="C890" s="1"/>
      <c r="G890" s="2"/>
      <c r="H890" s="2"/>
      <c r="I890" s="2"/>
      <c r="J890" s="2"/>
      <c r="K890" s="81"/>
      <c r="L890" s="4"/>
      <c r="M890" s="4"/>
      <c r="N890" s="4"/>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3"/>
      <c r="AP890" s="2"/>
      <c r="AQ890" s="2"/>
      <c r="AR890" s="2"/>
      <c r="AS890" s="2"/>
      <c r="AT890" s="2"/>
      <c r="AU890" s="2"/>
      <c r="AV890" s="2"/>
      <c r="AW890" s="2"/>
      <c r="AX890" s="2"/>
      <c r="AY890" s="2"/>
      <c r="AZ890" s="5"/>
      <c r="BA890" s="2"/>
      <c r="BD890" s="2"/>
      <c r="BE890" s="2"/>
      <c r="BF890" s="2"/>
      <c r="BG890" s="2"/>
      <c r="BH890" s="2"/>
      <c r="BI890" s="2"/>
      <c r="BJ890" s="2"/>
      <c r="BK890" s="2"/>
      <c r="BM890" s="2"/>
      <c r="BN890" s="2"/>
      <c r="BO890" s="2"/>
      <c r="BP890" s="2"/>
      <c r="BQ890" s="2"/>
      <c r="BR890" s="6"/>
      <c r="BS890" s="6"/>
      <c r="BT890" s="2"/>
      <c r="BU890" s="2"/>
      <c r="BV890" s="2"/>
      <c r="BW890" s="2"/>
      <c r="BX890" s="2"/>
      <c r="BY890" s="2"/>
      <c r="BZ890" s="2"/>
      <c r="CA890" s="2"/>
      <c r="CB890" s="2"/>
      <c r="CC890" s="2"/>
      <c r="CD890" s="3"/>
      <c r="CE890" s="2"/>
      <c r="CF890" s="4"/>
      <c r="CG890" s="4"/>
      <c r="CI890" s="2"/>
    </row>
    <row r="891" spans="1:87" s="101" customFormat="1" x14ac:dyDescent="0.35">
      <c r="A891" s="1"/>
      <c r="C891" s="1"/>
      <c r="G891" s="2"/>
      <c r="H891" s="2"/>
      <c r="I891" s="2"/>
      <c r="J891" s="2"/>
      <c r="K891" s="81"/>
      <c r="L891" s="4"/>
      <c r="M891" s="4"/>
      <c r="N891" s="4"/>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3"/>
      <c r="AP891" s="2"/>
      <c r="AQ891" s="2"/>
      <c r="AR891" s="2"/>
      <c r="AS891" s="2"/>
      <c r="AT891" s="2"/>
      <c r="AU891" s="2"/>
      <c r="AV891" s="2"/>
      <c r="AW891" s="2"/>
      <c r="AX891" s="2"/>
      <c r="AY891" s="2"/>
      <c r="AZ891" s="5"/>
      <c r="BA891" s="2"/>
      <c r="BD891" s="2"/>
      <c r="BE891" s="2"/>
      <c r="BF891" s="2"/>
      <c r="BG891" s="2"/>
      <c r="BH891" s="2"/>
      <c r="BI891" s="2"/>
      <c r="BJ891" s="2"/>
      <c r="BK891" s="2"/>
      <c r="BM891" s="2"/>
      <c r="BN891" s="2"/>
      <c r="BO891" s="2"/>
      <c r="BP891" s="2"/>
      <c r="BQ891" s="2"/>
      <c r="BR891" s="6"/>
      <c r="BS891" s="6"/>
      <c r="BT891" s="2"/>
      <c r="BU891" s="2"/>
      <c r="BV891" s="2"/>
      <c r="BW891" s="2"/>
      <c r="BX891" s="2"/>
      <c r="BY891" s="2"/>
      <c r="BZ891" s="2"/>
      <c r="CA891" s="2"/>
      <c r="CB891" s="2"/>
      <c r="CC891" s="2"/>
      <c r="CD891" s="3"/>
      <c r="CE891" s="2"/>
      <c r="CF891" s="4"/>
      <c r="CG891" s="4"/>
      <c r="CI891" s="2"/>
    </row>
    <row r="892" spans="1:87" s="101" customFormat="1" x14ac:dyDescent="0.35">
      <c r="A892" s="1"/>
      <c r="C892" s="1"/>
      <c r="G892" s="2"/>
      <c r="H892" s="2"/>
      <c r="I892" s="2"/>
      <c r="J892" s="2"/>
      <c r="K892" s="81"/>
      <c r="L892" s="4"/>
      <c r="M892" s="4"/>
      <c r="N892" s="4"/>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3"/>
      <c r="AP892" s="2"/>
      <c r="AQ892" s="2"/>
      <c r="AR892" s="2"/>
      <c r="AS892" s="2"/>
      <c r="AT892" s="2"/>
      <c r="AU892" s="2"/>
      <c r="AV892" s="2"/>
      <c r="AW892" s="2"/>
      <c r="AX892" s="2"/>
      <c r="AY892" s="2"/>
      <c r="AZ892" s="5"/>
      <c r="BA892" s="2"/>
      <c r="BD892" s="2"/>
      <c r="BE892" s="2"/>
      <c r="BF892" s="2"/>
      <c r="BG892" s="2"/>
      <c r="BH892" s="2"/>
      <c r="BI892" s="2"/>
      <c r="BJ892" s="2"/>
      <c r="BK892" s="2"/>
      <c r="BM892" s="2"/>
      <c r="BN892" s="2"/>
      <c r="BO892" s="2"/>
      <c r="BP892" s="2"/>
      <c r="BQ892" s="2"/>
      <c r="BR892" s="6"/>
      <c r="BS892" s="6"/>
      <c r="BT892" s="2"/>
      <c r="BU892" s="2"/>
      <c r="BV892" s="2"/>
      <c r="BW892" s="2"/>
      <c r="BX892" s="2"/>
      <c r="BY892" s="2"/>
      <c r="BZ892" s="2"/>
      <c r="CA892" s="2"/>
      <c r="CB892" s="2"/>
      <c r="CC892" s="2"/>
      <c r="CD892" s="3"/>
      <c r="CE892" s="2"/>
      <c r="CF892" s="4"/>
      <c r="CG892" s="4"/>
      <c r="CI892" s="2"/>
    </row>
    <row r="893" spans="1:87" s="101" customFormat="1" x14ac:dyDescent="0.35">
      <c r="A893" s="1"/>
      <c r="C893" s="1"/>
      <c r="G893" s="2"/>
      <c r="H893" s="2"/>
      <c r="I893" s="2"/>
      <c r="J893" s="2"/>
      <c r="K893" s="81"/>
      <c r="L893" s="4"/>
      <c r="M893" s="4"/>
      <c r="N893" s="4"/>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3"/>
      <c r="AP893" s="2"/>
      <c r="AQ893" s="2"/>
      <c r="AR893" s="2"/>
      <c r="AS893" s="2"/>
      <c r="AT893" s="2"/>
      <c r="AU893" s="2"/>
      <c r="AV893" s="2"/>
      <c r="AW893" s="2"/>
      <c r="AX893" s="2"/>
      <c r="AY893" s="2"/>
      <c r="AZ893" s="5"/>
      <c r="BA893" s="2"/>
      <c r="BD893" s="2"/>
      <c r="BE893" s="2"/>
      <c r="BF893" s="2"/>
      <c r="BG893" s="2"/>
      <c r="BH893" s="2"/>
      <c r="BI893" s="2"/>
      <c r="BJ893" s="2"/>
      <c r="BK893" s="2"/>
      <c r="BM893" s="2"/>
      <c r="BN893" s="2"/>
      <c r="BO893" s="2"/>
      <c r="BP893" s="2"/>
      <c r="BQ893" s="2"/>
      <c r="BR893" s="6"/>
      <c r="BS893" s="6"/>
      <c r="BT893" s="2"/>
      <c r="BU893" s="2"/>
      <c r="BV893" s="2"/>
      <c r="BW893" s="2"/>
      <c r="BX893" s="2"/>
      <c r="BY893" s="2"/>
      <c r="BZ893" s="2"/>
      <c r="CA893" s="2"/>
      <c r="CB893" s="2"/>
      <c r="CC893" s="2"/>
      <c r="CD893" s="3"/>
      <c r="CE893" s="2"/>
      <c r="CF893" s="4"/>
      <c r="CG893" s="4"/>
      <c r="CI893" s="2"/>
    </row>
    <row r="894" spans="1:87" s="101" customFormat="1" x14ac:dyDescent="0.35">
      <c r="A894" s="1"/>
      <c r="C894" s="1"/>
      <c r="G894" s="2"/>
      <c r="H894" s="2"/>
      <c r="I894" s="2"/>
      <c r="J894" s="2"/>
      <c r="K894" s="81"/>
      <c r="L894" s="4"/>
      <c r="M894" s="4"/>
      <c r="N894" s="4"/>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3"/>
      <c r="AP894" s="2"/>
      <c r="AQ894" s="2"/>
      <c r="AR894" s="2"/>
      <c r="AS894" s="2"/>
      <c r="AT894" s="2"/>
      <c r="AU894" s="2"/>
      <c r="AV894" s="2"/>
      <c r="AW894" s="2"/>
      <c r="AX894" s="2"/>
      <c r="AY894" s="2"/>
      <c r="AZ894" s="5"/>
      <c r="BA894" s="2"/>
      <c r="BD894" s="2"/>
      <c r="BE894" s="2"/>
      <c r="BF894" s="2"/>
      <c r="BG894" s="2"/>
      <c r="BH894" s="2"/>
      <c r="BI894" s="2"/>
      <c r="BJ894" s="2"/>
      <c r="BK894" s="2"/>
      <c r="BM894" s="2"/>
      <c r="BN894" s="2"/>
      <c r="BO894" s="2"/>
      <c r="BP894" s="2"/>
      <c r="BQ894" s="2"/>
      <c r="BR894" s="6"/>
      <c r="BS894" s="6"/>
      <c r="BT894" s="2"/>
      <c r="BU894" s="2"/>
      <c r="BV894" s="2"/>
      <c r="BW894" s="2"/>
      <c r="BX894" s="2"/>
      <c r="BY894" s="2"/>
      <c r="BZ894" s="2"/>
      <c r="CA894" s="2"/>
      <c r="CB894" s="2"/>
      <c r="CC894" s="2"/>
      <c r="CD894" s="3"/>
      <c r="CE894" s="2"/>
      <c r="CF894" s="4"/>
      <c r="CG894" s="4"/>
      <c r="CI894" s="2"/>
    </row>
    <row r="895" spans="1:87" s="101" customFormat="1" x14ac:dyDescent="0.35">
      <c r="A895" s="1"/>
      <c r="C895" s="1"/>
      <c r="G895" s="2"/>
      <c r="H895" s="2"/>
      <c r="I895" s="2"/>
      <c r="J895" s="2"/>
      <c r="K895" s="81"/>
      <c r="L895" s="4"/>
      <c r="M895" s="4"/>
      <c r="N895" s="4"/>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3"/>
      <c r="AP895" s="2"/>
      <c r="AQ895" s="2"/>
      <c r="AR895" s="2"/>
      <c r="AS895" s="2"/>
      <c r="AT895" s="2"/>
      <c r="AU895" s="2"/>
      <c r="AV895" s="2"/>
      <c r="AW895" s="2"/>
      <c r="AX895" s="2"/>
      <c r="AY895" s="2"/>
      <c r="AZ895" s="5"/>
      <c r="BA895" s="2"/>
      <c r="BD895" s="2"/>
      <c r="BE895" s="2"/>
      <c r="BF895" s="2"/>
      <c r="BG895" s="2"/>
      <c r="BH895" s="2"/>
      <c r="BI895" s="2"/>
      <c r="BJ895" s="2"/>
      <c r="BK895" s="2"/>
      <c r="BM895" s="2"/>
      <c r="BN895" s="2"/>
      <c r="BO895" s="2"/>
      <c r="BP895" s="2"/>
      <c r="BQ895" s="2"/>
      <c r="BR895" s="6"/>
      <c r="BS895" s="6"/>
      <c r="BT895" s="2"/>
      <c r="BU895" s="2"/>
      <c r="BV895" s="2"/>
      <c r="BW895" s="2"/>
      <c r="BX895" s="2"/>
      <c r="BY895" s="2"/>
      <c r="BZ895" s="2"/>
      <c r="CA895" s="2"/>
      <c r="CB895" s="2"/>
      <c r="CC895" s="2"/>
      <c r="CD895" s="3"/>
      <c r="CE895" s="2"/>
      <c r="CF895" s="4"/>
      <c r="CG895" s="4"/>
      <c r="CI895" s="2"/>
    </row>
    <row r="896" spans="1:87" s="101" customFormat="1" x14ac:dyDescent="0.35">
      <c r="A896" s="1"/>
      <c r="C896" s="1"/>
      <c r="G896" s="2"/>
      <c r="H896" s="2"/>
      <c r="I896" s="2"/>
      <c r="J896" s="2"/>
      <c r="K896" s="81"/>
      <c r="L896" s="4"/>
      <c r="M896" s="4"/>
      <c r="N896" s="4"/>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3"/>
      <c r="AP896" s="2"/>
      <c r="AQ896" s="2"/>
      <c r="AR896" s="2"/>
      <c r="AS896" s="2"/>
      <c r="AT896" s="2"/>
      <c r="AU896" s="2"/>
      <c r="AV896" s="2"/>
      <c r="AW896" s="2"/>
      <c r="AX896" s="2"/>
      <c r="AY896" s="2"/>
      <c r="AZ896" s="5"/>
      <c r="BA896" s="2"/>
      <c r="BD896" s="2"/>
      <c r="BE896" s="2"/>
      <c r="BF896" s="2"/>
      <c r="BG896" s="2"/>
      <c r="BH896" s="2"/>
      <c r="BI896" s="2"/>
      <c r="BJ896" s="2"/>
      <c r="BK896" s="2"/>
      <c r="BM896" s="2"/>
      <c r="BN896" s="2"/>
      <c r="BO896" s="2"/>
      <c r="BP896" s="2"/>
      <c r="BQ896" s="2"/>
      <c r="BR896" s="6"/>
      <c r="BS896" s="6"/>
      <c r="BT896" s="2"/>
      <c r="BU896" s="2"/>
      <c r="BV896" s="2"/>
      <c r="BW896" s="2"/>
      <c r="BX896" s="2"/>
      <c r="BY896" s="2"/>
      <c r="BZ896" s="2"/>
      <c r="CA896" s="2"/>
      <c r="CB896" s="2"/>
      <c r="CC896" s="2"/>
      <c r="CD896" s="3"/>
      <c r="CE896" s="2"/>
      <c r="CF896" s="4"/>
      <c r="CG896" s="4"/>
      <c r="CI896" s="2"/>
    </row>
    <row r="897" spans="1:87" s="101" customFormat="1" x14ac:dyDescent="0.35">
      <c r="A897" s="1"/>
      <c r="C897" s="1"/>
      <c r="G897" s="2"/>
      <c r="H897" s="2"/>
      <c r="I897" s="2"/>
      <c r="J897" s="2"/>
      <c r="K897" s="81"/>
      <c r="L897" s="4"/>
      <c r="M897" s="4"/>
      <c r="N897" s="4"/>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3"/>
      <c r="AP897" s="2"/>
      <c r="AQ897" s="2"/>
      <c r="AR897" s="2"/>
      <c r="AS897" s="2"/>
      <c r="AT897" s="2"/>
      <c r="AU897" s="2"/>
      <c r="AV897" s="2"/>
      <c r="AW897" s="2"/>
      <c r="AX897" s="2"/>
      <c r="AY897" s="2"/>
      <c r="AZ897" s="5"/>
      <c r="BA897" s="2"/>
      <c r="BD897" s="2"/>
      <c r="BE897" s="2"/>
      <c r="BF897" s="2"/>
      <c r="BG897" s="2"/>
      <c r="BH897" s="2"/>
      <c r="BI897" s="2"/>
      <c r="BJ897" s="2"/>
      <c r="BK897" s="2"/>
      <c r="BM897" s="2"/>
      <c r="BN897" s="2"/>
      <c r="BO897" s="2"/>
      <c r="BP897" s="2"/>
      <c r="BQ897" s="2"/>
      <c r="BR897" s="6"/>
      <c r="BS897" s="6"/>
      <c r="BT897" s="2"/>
      <c r="BU897" s="2"/>
      <c r="BV897" s="2"/>
      <c r="BW897" s="2"/>
      <c r="BX897" s="2"/>
      <c r="BY897" s="2"/>
      <c r="BZ897" s="2"/>
      <c r="CA897" s="2"/>
      <c r="CB897" s="2"/>
      <c r="CC897" s="2"/>
      <c r="CD897" s="3"/>
      <c r="CE897" s="2"/>
      <c r="CF897" s="4"/>
      <c r="CG897" s="4"/>
      <c r="CI897" s="2"/>
    </row>
    <row r="898" spans="1:87" s="101" customFormat="1" x14ac:dyDescent="0.35">
      <c r="A898" s="1"/>
      <c r="C898" s="1"/>
      <c r="G898" s="2"/>
      <c r="H898" s="2"/>
      <c r="I898" s="2"/>
      <c r="J898" s="2"/>
      <c r="K898" s="81"/>
      <c r="L898" s="4"/>
      <c r="M898" s="4"/>
      <c r="N898" s="4"/>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3"/>
      <c r="AP898" s="2"/>
      <c r="AQ898" s="2"/>
      <c r="AR898" s="2"/>
      <c r="AS898" s="2"/>
      <c r="AT898" s="2"/>
      <c r="AU898" s="2"/>
      <c r="AV898" s="2"/>
      <c r="AW898" s="2"/>
      <c r="AX898" s="2"/>
      <c r="AY898" s="2"/>
      <c r="AZ898" s="5"/>
      <c r="BA898" s="2"/>
      <c r="BD898" s="2"/>
      <c r="BE898" s="2"/>
      <c r="BF898" s="2"/>
      <c r="BG898" s="2"/>
      <c r="BH898" s="2"/>
      <c r="BI898" s="2"/>
      <c r="BJ898" s="2"/>
      <c r="BK898" s="2"/>
      <c r="BM898" s="2"/>
      <c r="BN898" s="2"/>
      <c r="BO898" s="2"/>
      <c r="BP898" s="2"/>
      <c r="BQ898" s="2"/>
      <c r="BR898" s="6"/>
      <c r="BS898" s="6"/>
      <c r="BT898" s="2"/>
      <c r="BU898" s="2"/>
      <c r="BV898" s="2"/>
      <c r="BW898" s="2"/>
      <c r="BX898" s="2"/>
      <c r="BY898" s="2"/>
      <c r="BZ898" s="2"/>
      <c r="CA898" s="2"/>
      <c r="CB898" s="2"/>
      <c r="CC898" s="2"/>
      <c r="CD898" s="3"/>
      <c r="CE898" s="2"/>
      <c r="CF898" s="4"/>
      <c r="CG898" s="4"/>
      <c r="CI898" s="2"/>
    </row>
    <row r="899" spans="1:87" s="101" customFormat="1" x14ac:dyDescent="0.35">
      <c r="A899" s="1"/>
      <c r="C899" s="1"/>
      <c r="G899" s="2"/>
      <c r="H899" s="2"/>
      <c r="I899" s="2"/>
      <c r="J899" s="2"/>
      <c r="K899" s="81"/>
      <c r="L899" s="4"/>
      <c r="M899" s="4"/>
      <c r="N899" s="4"/>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3"/>
      <c r="AP899" s="2"/>
      <c r="AQ899" s="2"/>
      <c r="AR899" s="2"/>
      <c r="AS899" s="2"/>
      <c r="AT899" s="2"/>
      <c r="AU899" s="2"/>
      <c r="AV899" s="2"/>
      <c r="AW899" s="2"/>
      <c r="AX899" s="2"/>
      <c r="AY899" s="2"/>
      <c r="AZ899" s="5"/>
      <c r="BA899" s="2"/>
      <c r="BD899" s="2"/>
      <c r="BE899" s="2"/>
      <c r="BF899" s="2"/>
      <c r="BG899" s="2"/>
      <c r="BH899" s="2"/>
      <c r="BI899" s="2"/>
      <c r="BJ899" s="2"/>
      <c r="BK899" s="2"/>
      <c r="BM899" s="2"/>
      <c r="BN899" s="2"/>
      <c r="BO899" s="2"/>
      <c r="BP899" s="2"/>
      <c r="BQ899" s="2"/>
      <c r="BR899" s="6"/>
      <c r="BS899" s="6"/>
      <c r="BT899" s="2"/>
      <c r="BU899" s="2"/>
      <c r="BV899" s="2"/>
      <c r="BW899" s="2"/>
      <c r="BX899" s="2"/>
      <c r="BY899" s="2"/>
      <c r="BZ899" s="2"/>
      <c r="CA899" s="2"/>
      <c r="CB899" s="2"/>
      <c r="CC899" s="2"/>
      <c r="CD899" s="3"/>
      <c r="CE899" s="2"/>
      <c r="CF899" s="4"/>
      <c r="CG899" s="4"/>
      <c r="CI899" s="2"/>
    </row>
    <row r="900" spans="1:87" s="101" customFormat="1" x14ac:dyDescent="0.35">
      <c r="A900" s="1"/>
      <c r="C900" s="1"/>
      <c r="G900" s="2"/>
      <c r="H900" s="2"/>
      <c r="I900" s="2"/>
      <c r="J900" s="2"/>
      <c r="K900" s="81"/>
      <c r="L900" s="4"/>
      <c r="M900" s="4"/>
      <c r="N900" s="4"/>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3"/>
      <c r="AP900" s="2"/>
      <c r="AQ900" s="2"/>
      <c r="AR900" s="2"/>
      <c r="AS900" s="2"/>
      <c r="AT900" s="2"/>
      <c r="AU900" s="2"/>
      <c r="AV900" s="2"/>
      <c r="AW900" s="2"/>
      <c r="AX900" s="2"/>
      <c r="AY900" s="2"/>
      <c r="AZ900" s="5"/>
      <c r="BA900" s="2"/>
      <c r="BD900" s="2"/>
      <c r="BE900" s="2"/>
      <c r="BF900" s="2"/>
      <c r="BG900" s="2"/>
      <c r="BH900" s="2"/>
      <c r="BI900" s="2"/>
      <c r="BJ900" s="2"/>
      <c r="BK900" s="2"/>
      <c r="BM900" s="2"/>
      <c r="BN900" s="2"/>
      <c r="BO900" s="2"/>
      <c r="BP900" s="2"/>
      <c r="BQ900" s="2"/>
      <c r="BR900" s="6"/>
      <c r="BS900" s="6"/>
      <c r="BT900" s="2"/>
      <c r="BU900" s="2"/>
      <c r="BV900" s="2"/>
      <c r="BW900" s="2"/>
      <c r="BX900" s="2"/>
      <c r="BY900" s="2"/>
      <c r="BZ900" s="2"/>
      <c r="CA900" s="2"/>
      <c r="CB900" s="2"/>
      <c r="CC900" s="2"/>
      <c r="CD900" s="3"/>
      <c r="CE900" s="2"/>
      <c r="CF900" s="4"/>
      <c r="CG900" s="4"/>
      <c r="CI900" s="2"/>
    </row>
    <row r="901" spans="1:87" s="101" customFormat="1" x14ac:dyDescent="0.35">
      <c r="A901" s="1"/>
      <c r="C901" s="1"/>
      <c r="G901" s="2"/>
      <c r="H901" s="2"/>
      <c r="I901" s="2"/>
      <c r="J901" s="2"/>
      <c r="K901" s="81"/>
      <c r="L901" s="4"/>
      <c r="M901" s="4"/>
      <c r="N901" s="4"/>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3"/>
      <c r="AP901" s="2"/>
      <c r="AQ901" s="2"/>
      <c r="AR901" s="2"/>
      <c r="AS901" s="2"/>
      <c r="AT901" s="2"/>
      <c r="AU901" s="2"/>
      <c r="AV901" s="2"/>
      <c r="AW901" s="2"/>
      <c r="AX901" s="2"/>
      <c r="AY901" s="2"/>
      <c r="AZ901" s="5"/>
      <c r="BA901" s="2"/>
      <c r="BD901" s="2"/>
      <c r="BE901" s="2"/>
      <c r="BF901" s="2"/>
      <c r="BG901" s="2"/>
      <c r="BH901" s="2"/>
      <c r="BI901" s="2"/>
      <c r="BJ901" s="2"/>
      <c r="BK901" s="2"/>
      <c r="BM901" s="2"/>
      <c r="BN901" s="2"/>
      <c r="BO901" s="2"/>
      <c r="BP901" s="2"/>
      <c r="BQ901" s="2"/>
      <c r="BR901" s="6"/>
      <c r="BS901" s="6"/>
      <c r="BT901" s="2"/>
      <c r="BU901" s="2"/>
      <c r="BV901" s="2"/>
      <c r="BW901" s="2"/>
      <c r="BX901" s="2"/>
      <c r="BY901" s="2"/>
      <c r="BZ901" s="2"/>
      <c r="CA901" s="2"/>
      <c r="CB901" s="2"/>
      <c r="CC901" s="2"/>
      <c r="CD901" s="3"/>
      <c r="CE901" s="2"/>
      <c r="CF901" s="4"/>
      <c r="CG901" s="4"/>
      <c r="CI901" s="2"/>
    </row>
    <row r="902" spans="1:87" s="101" customFormat="1" x14ac:dyDescent="0.35">
      <c r="A902" s="1"/>
      <c r="C902" s="1"/>
      <c r="G902" s="2"/>
      <c r="H902" s="2"/>
      <c r="I902" s="2"/>
      <c r="J902" s="2"/>
      <c r="K902" s="81"/>
      <c r="L902" s="4"/>
      <c r="M902" s="4"/>
      <c r="N902" s="4"/>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3"/>
      <c r="AP902" s="2"/>
      <c r="AQ902" s="2"/>
      <c r="AR902" s="2"/>
      <c r="AS902" s="2"/>
      <c r="AT902" s="2"/>
      <c r="AU902" s="2"/>
      <c r="AV902" s="2"/>
      <c r="AW902" s="2"/>
      <c r="AX902" s="2"/>
      <c r="AY902" s="2"/>
      <c r="AZ902" s="5"/>
      <c r="BA902" s="2"/>
      <c r="BD902" s="2"/>
      <c r="BE902" s="2"/>
      <c r="BF902" s="2"/>
      <c r="BG902" s="2"/>
      <c r="BH902" s="2"/>
      <c r="BI902" s="2"/>
      <c r="BJ902" s="2"/>
      <c r="BK902" s="2"/>
      <c r="BM902" s="2"/>
      <c r="BN902" s="2"/>
      <c r="BO902" s="2"/>
      <c r="BP902" s="2"/>
      <c r="BQ902" s="2"/>
      <c r="BR902" s="6"/>
      <c r="BS902" s="6"/>
      <c r="BT902" s="2"/>
      <c r="BU902" s="2"/>
      <c r="BV902" s="2"/>
      <c r="BW902" s="2"/>
      <c r="BX902" s="2"/>
      <c r="BY902" s="2"/>
      <c r="BZ902" s="2"/>
      <c r="CA902" s="2"/>
      <c r="CB902" s="2"/>
      <c r="CC902" s="2"/>
      <c r="CD902" s="3"/>
      <c r="CE902" s="2"/>
      <c r="CF902" s="4"/>
      <c r="CG902" s="4"/>
      <c r="CI902" s="2"/>
    </row>
    <row r="903" spans="1:87" s="101" customFormat="1" x14ac:dyDescent="0.35">
      <c r="A903" s="1"/>
      <c r="C903" s="1"/>
      <c r="G903" s="2"/>
      <c r="H903" s="2"/>
      <c r="I903" s="2"/>
      <c r="J903" s="2"/>
      <c r="K903" s="81"/>
      <c r="L903" s="4"/>
      <c r="M903" s="4"/>
      <c r="N903" s="4"/>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3"/>
      <c r="AP903" s="2"/>
      <c r="AQ903" s="2"/>
      <c r="AR903" s="2"/>
      <c r="AS903" s="2"/>
      <c r="AT903" s="2"/>
      <c r="AU903" s="2"/>
      <c r="AV903" s="2"/>
      <c r="AW903" s="2"/>
      <c r="AX903" s="2"/>
      <c r="AY903" s="2"/>
      <c r="AZ903" s="5"/>
      <c r="BA903" s="2"/>
      <c r="BD903" s="2"/>
      <c r="BE903" s="2"/>
      <c r="BF903" s="2"/>
      <c r="BG903" s="2"/>
      <c r="BH903" s="2"/>
      <c r="BI903" s="2"/>
      <c r="BJ903" s="2"/>
      <c r="BK903" s="2"/>
      <c r="BM903" s="2"/>
      <c r="BN903" s="2"/>
      <c r="BO903" s="2"/>
      <c r="BP903" s="2"/>
      <c r="BQ903" s="2"/>
      <c r="BR903" s="6"/>
      <c r="BS903" s="6"/>
      <c r="BT903" s="2"/>
      <c r="BU903" s="2"/>
      <c r="BV903" s="2"/>
      <c r="BW903" s="2"/>
      <c r="BX903" s="2"/>
      <c r="BY903" s="2"/>
      <c r="BZ903" s="2"/>
      <c r="CA903" s="2"/>
      <c r="CB903" s="2"/>
      <c r="CC903" s="2"/>
      <c r="CD903" s="3"/>
      <c r="CE903" s="2"/>
      <c r="CF903" s="4"/>
      <c r="CG903" s="4"/>
      <c r="CI903" s="2"/>
    </row>
    <row r="904" spans="1:87" s="101" customFormat="1" x14ac:dyDescent="0.35">
      <c r="A904" s="1"/>
      <c r="C904" s="1"/>
      <c r="G904" s="2"/>
      <c r="H904" s="2"/>
      <c r="I904" s="2"/>
      <c r="J904" s="2"/>
      <c r="K904" s="81"/>
      <c r="L904" s="4"/>
      <c r="M904" s="4"/>
      <c r="N904" s="4"/>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3"/>
      <c r="AP904" s="2"/>
      <c r="AQ904" s="2"/>
      <c r="AR904" s="2"/>
      <c r="AS904" s="2"/>
      <c r="AT904" s="2"/>
      <c r="AU904" s="2"/>
      <c r="AV904" s="2"/>
      <c r="AW904" s="2"/>
      <c r="AX904" s="2"/>
      <c r="AY904" s="2"/>
      <c r="AZ904" s="5"/>
      <c r="BA904" s="2"/>
      <c r="BD904" s="2"/>
      <c r="BE904" s="2"/>
      <c r="BF904" s="2"/>
      <c r="BG904" s="2"/>
      <c r="BH904" s="2"/>
      <c r="BI904" s="2"/>
      <c r="BJ904" s="2"/>
      <c r="BK904" s="2"/>
      <c r="BM904" s="2"/>
      <c r="BN904" s="2"/>
      <c r="BO904" s="2"/>
      <c r="BP904" s="2"/>
      <c r="BQ904" s="2"/>
      <c r="BR904" s="6"/>
      <c r="BS904" s="6"/>
      <c r="BT904" s="2"/>
      <c r="BU904" s="2"/>
      <c r="BV904" s="2"/>
      <c r="BW904" s="2"/>
      <c r="BX904" s="2"/>
      <c r="BY904" s="2"/>
      <c r="BZ904" s="2"/>
      <c r="CA904" s="2"/>
      <c r="CB904" s="2"/>
      <c r="CC904" s="2"/>
      <c r="CD904" s="3"/>
      <c r="CE904" s="2"/>
      <c r="CF904" s="4"/>
      <c r="CG904" s="4"/>
      <c r="CI904" s="2"/>
    </row>
    <row r="905" spans="1:87" s="101" customFormat="1" x14ac:dyDescent="0.35">
      <c r="A905" s="1"/>
      <c r="C905" s="1"/>
      <c r="G905" s="2"/>
      <c r="H905" s="2"/>
      <c r="I905" s="2"/>
      <c r="J905" s="2"/>
      <c r="K905" s="81"/>
      <c r="L905" s="4"/>
      <c r="M905" s="4"/>
      <c r="N905" s="4"/>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3"/>
      <c r="AP905" s="2"/>
      <c r="AQ905" s="2"/>
      <c r="AR905" s="2"/>
      <c r="AS905" s="2"/>
      <c r="AT905" s="2"/>
      <c r="AU905" s="2"/>
      <c r="AV905" s="2"/>
      <c r="AW905" s="2"/>
      <c r="AX905" s="2"/>
      <c r="AY905" s="2"/>
      <c r="AZ905" s="5"/>
      <c r="BA905" s="2"/>
      <c r="BD905" s="2"/>
      <c r="BE905" s="2"/>
      <c r="BF905" s="2"/>
      <c r="BG905" s="2"/>
      <c r="BH905" s="2"/>
      <c r="BI905" s="2"/>
      <c r="BJ905" s="2"/>
      <c r="BK905" s="2"/>
      <c r="BM905" s="2"/>
      <c r="BN905" s="2"/>
      <c r="BO905" s="2"/>
      <c r="BP905" s="2"/>
      <c r="BQ905" s="2"/>
      <c r="BR905" s="6"/>
      <c r="BS905" s="6"/>
      <c r="BT905" s="2"/>
      <c r="BU905" s="2"/>
      <c r="BV905" s="2"/>
      <c r="BW905" s="2"/>
      <c r="BX905" s="2"/>
      <c r="BY905" s="2"/>
      <c r="BZ905" s="2"/>
      <c r="CA905" s="2"/>
      <c r="CB905" s="2"/>
      <c r="CC905" s="2"/>
      <c r="CD905" s="3"/>
      <c r="CE905" s="2"/>
      <c r="CF905" s="4"/>
      <c r="CG905" s="4"/>
      <c r="CI905" s="2"/>
    </row>
    <row r="906" spans="1:87" s="101" customFormat="1" x14ac:dyDescent="0.35">
      <c r="A906" s="1"/>
      <c r="C906" s="1"/>
      <c r="G906" s="2"/>
      <c r="H906" s="2"/>
      <c r="I906" s="2"/>
      <c r="J906" s="2"/>
      <c r="K906" s="81"/>
      <c r="L906" s="4"/>
      <c r="M906" s="4"/>
      <c r="N906" s="4"/>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3"/>
      <c r="AP906" s="2"/>
      <c r="AQ906" s="2"/>
      <c r="AR906" s="2"/>
      <c r="AS906" s="2"/>
      <c r="AT906" s="2"/>
      <c r="AU906" s="2"/>
      <c r="AV906" s="2"/>
      <c r="AW906" s="2"/>
      <c r="AX906" s="2"/>
      <c r="AY906" s="2"/>
      <c r="AZ906" s="5"/>
      <c r="BA906" s="2"/>
      <c r="BD906" s="2"/>
      <c r="BE906" s="2"/>
      <c r="BF906" s="2"/>
      <c r="BG906" s="2"/>
      <c r="BH906" s="2"/>
      <c r="BI906" s="2"/>
      <c r="BJ906" s="2"/>
      <c r="BK906" s="2"/>
      <c r="BM906" s="2"/>
      <c r="BN906" s="2"/>
      <c r="BO906" s="2"/>
      <c r="BP906" s="2"/>
      <c r="BQ906" s="2"/>
      <c r="BR906" s="6"/>
      <c r="BS906" s="6"/>
      <c r="BT906" s="2"/>
      <c r="BU906" s="2"/>
      <c r="BV906" s="2"/>
      <c r="BW906" s="2"/>
      <c r="BX906" s="2"/>
      <c r="BY906" s="2"/>
      <c r="BZ906" s="2"/>
      <c r="CA906" s="2"/>
      <c r="CB906" s="2"/>
      <c r="CC906" s="2"/>
      <c r="CD906" s="3"/>
      <c r="CE906" s="2"/>
      <c r="CF906" s="4"/>
      <c r="CG906" s="4"/>
      <c r="CI906" s="2"/>
    </row>
    <row r="907" spans="1:87" s="101" customFormat="1" x14ac:dyDescent="0.35">
      <c r="A907" s="1"/>
      <c r="C907" s="1"/>
      <c r="G907" s="2"/>
      <c r="H907" s="2"/>
      <c r="I907" s="2"/>
      <c r="J907" s="2"/>
      <c r="K907" s="81"/>
      <c r="L907" s="4"/>
      <c r="M907" s="4"/>
      <c r="N907" s="4"/>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3"/>
      <c r="AP907" s="2"/>
      <c r="AQ907" s="2"/>
      <c r="AR907" s="2"/>
      <c r="AS907" s="2"/>
      <c r="AT907" s="2"/>
      <c r="AU907" s="2"/>
      <c r="AV907" s="2"/>
      <c r="AW907" s="2"/>
      <c r="AX907" s="2"/>
      <c r="AY907" s="2"/>
      <c r="AZ907" s="5"/>
      <c r="BA907" s="2"/>
      <c r="BD907" s="2"/>
      <c r="BE907" s="2"/>
      <c r="BF907" s="2"/>
      <c r="BG907" s="2"/>
      <c r="BH907" s="2"/>
      <c r="BI907" s="2"/>
      <c r="BJ907" s="2"/>
      <c r="BK907" s="2"/>
      <c r="BM907" s="2"/>
      <c r="BN907" s="2"/>
      <c r="BO907" s="2"/>
      <c r="BP907" s="2"/>
      <c r="BQ907" s="2"/>
      <c r="BR907" s="6"/>
      <c r="BS907" s="6"/>
      <c r="BT907" s="2"/>
      <c r="BU907" s="2"/>
      <c r="BV907" s="2"/>
      <c r="BW907" s="2"/>
      <c r="BX907" s="2"/>
      <c r="BY907" s="2"/>
      <c r="BZ907" s="2"/>
      <c r="CA907" s="2"/>
      <c r="CB907" s="2"/>
      <c r="CC907" s="2"/>
      <c r="CD907" s="3"/>
      <c r="CE907" s="2"/>
      <c r="CF907" s="4"/>
      <c r="CG907" s="4"/>
      <c r="CI907" s="2"/>
    </row>
    <row r="908" spans="1:87" s="101" customFormat="1" x14ac:dyDescent="0.35">
      <c r="A908" s="1"/>
      <c r="C908" s="1"/>
      <c r="G908" s="2"/>
      <c r="H908" s="2"/>
      <c r="I908" s="2"/>
      <c r="J908" s="2"/>
      <c r="K908" s="81"/>
      <c r="L908" s="4"/>
      <c r="M908" s="4"/>
      <c r="N908" s="4"/>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3"/>
      <c r="AP908" s="2"/>
      <c r="AQ908" s="2"/>
      <c r="AR908" s="2"/>
      <c r="AS908" s="2"/>
      <c r="AT908" s="2"/>
      <c r="AU908" s="2"/>
      <c r="AV908" s="2"/>
      <c r="AW908" s="2"/>
      <c r="AX908" s="2"/>
      <c r="AY908" s="2"/>
      <c r="AZ908" s="5"/>
      <c r="BA908" s="2"/>
      <c r="BD908" s="2"/>
      <c r="BE908" s="2"/>
      <c r="BF908" s="2"/>
      <c r="BG908" s="2"/>
      <c r="BH908" s="2"/>
      <c r="BI908" s="2"/>
      <c r="BJ908" s="2"/>
      <c r="BK908" s="2"/>
      <c r="BM908" s="2"/>
      <c r="BN908" s="2"/>
      <c r="BO908" s="2"/>
      <c r="BP908" s="2"/>
      <c r="BQ908" s="2"/>
      <c r="BR908" s="6"/>
      <c r="BS908" s="6"/>
      <c r="BT908" s="2"/>
      <c r="BU908" s="2"/>
      <c r="BV908" s="2"/>
      <c r="BW908" s="2"/>
      <c r="BX908" s="2"/>
      <c r="BY908" s="2"/>
      <c r="BZ908" s="2"/>
      <c r="CA908" s="2"/>
      <c r="CB908" s="2"/>
      <c r="CC908" s="2"/>
      <c r="CD908" s="3"/>
      <c r="CE908" s="2"/>
      <c r="CF908" s="4"/>
      <c r="CG908" s="4"/>
      <c r="CI908" s="2"/>
    </row>
    <row r="909" spans="1:87" s="101" customFormat="1" x14ac:dyDescent="0.35">
      <c r="A909" s="1"/>
      <c r="C909" s="1"/>
      <c r="G909" s="2"/>
      <c r="H909" s="2"/>
      <c r="I909" s="2"/>
      <c r="J909" s="2"/>
      <c r="K909" s="81"/>
      <c r="L909" s="4"/>
      <c r="M909" s="4"/>
      <c r="N909" s="4"/>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3"/>
      <c r="AP909" s="2"/>
      <c r="AQ909" s="2"/>
      <c r="AR909" s="2"/>
      <c r="AS909" s="2"/>
      <c r="AT909" s="2"/>
      <c r="AU909" s="2"/>
      <c r="AV909" s="2"/>
      <c r="AW909" s="2"/>
      <c r="AX909" s="2"/>
      <c r="AY909" s="2"/>
      <c r="AZ909" s="5"/>
      <c r="BA909" s="2"/>
      <c r="BD909" s="2"/>
      <c r="BE909" s="2"/>
      <c r="BF909" s="2"/>
      <c r="BG909" s="2"/>
      <c r="BH909" s="2"/>
      <c r="BI909" s="2"/>
      <c r="BJ909" s="2"/>
      <c r="BK909" s="2"/>
      <c r="BM909" s="2"/>
      <c r="BN909" s="2"/>
      <c r="BO909" s="2"/>
      <c r="BP909" s="2"/>
      <c r="BQ909" s="2"/>
      <c r="BR909" s="6"/>
      <c r="BS909" s="6"/>
      <c r="BT909" s="2"/>
      <c r="BU909" s="2"/>
      <c r="BV909" s="2"/>
      <c r="BW909" s="2"/>
      <c r="BX909" s="2"/>
      <c r="BY909" s="2"/>
      <c r="BZ909" s="2"/>
      <c r="CA909" s="2"/>
      <c r="CB909" s="2"/>
      <c r="CC909" s="2"/>
      <c r="CD909" s="3"/>
      <c r="CE909" s="2"/>
      <c r="CF909" s="4"/>
      <c r="CG909" s="4"/>
      <c r="CI909" s="2"/>
    </row>
    <row r="910" spans="1:87" s="101" customFormat="1" x14ac:dyDescent="0.35">
      <c r="A910" s="1"/>
      <c r="C910" s="1"/>
      <c r="G910" s="2"/>
      <c r="H910" s="2"/>
      <c r="I910" s="2"/>
      <c r="J910" s="2"/>
      <c r="K910" s="81"/>
      <c r="L910" s="4"/>
      <c r="M910" s="4"/>
      <c r="N910" s="4"/>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3"/>
      <c r="AP910" s="2"/>
      <c r="AQ910" s="2"/>
      <c r="AR910" s="2"/>
      <c r="AS910" s="2"/>
      <c r="AT910" s="2"/>
      <c r="AU910" s="2"/>
      <c r="AV910" s="2"/>
      <c r="AW910" s="2"/>
      <c r="AX910" s="2"/>
      <c r="AY910" s="2"/>
      <c r="AZ910" s="5"/>
      <c r="BA910" s="2"/>
      <c r="BD910" s="2"/>
      <c r="BE910" s="2"/>
      <c r="BF910" s="2"/>
      <c r="BG910" s="2"/>
      <c r="BH910" s="2"/>
      <c r="BI910" s="2"/>
      <c r="BJ910" s="2"/>
      <c r="BK910" s="2"/>
      <c r="BM910" s="2"/>
      <c r="BN910" s="2"/>
      <c r="BO910" s="2"/>
      <c r="BP910" s="2"/>
      <c r="BQ910" s="2"/>
      <c r="BR910" s="6"/>
      <c r="BS910" s="6"/>
      <c r="BT910" s="2"/>
      <c r="BU910" s="2"/>
      <c r="BV910" s="2"/>
      <c r="BW910" s="2"/>
      <c r="BX910" s="2"/>
      <c r="BY910" s="2"/>
      <c r="BZ910" s="2"/>
      <c r="CA910" s="2"/>
      <c r="CB910" s="2"/>
      <c r="CC910" s="2"/>
      <c r="CD910" s="3"/>
      <c r="CE910" s="2"/>
      <c r="CF910" s="4"/>
      <c r="CG910" s="4"/>
      <c r="CI910" s="2"/>
    </row>
    <row r="911" spans="1:87" s="101" customFormat="1" x14ac:dyDescent="0.35">
      <c r="A911" s="1"/>
      <c r="C911" s="1"/>
      <c r="G911" s="2"/>
      <c r="H911" s="2"/>
      <c r="I911" s="2"/>
      <c r="J911" s="2"/>
      <c r="K911" s="81"/>
      <c r="L911" s="4"/>
      <c r="M911" s="4"/>
      <c r="N911" s="4"/>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3"/>
      <c r="AP911" s="2"/>
      <c r="AQ911" s="2"/>
      <c r="AR911" s="2"/>
      <c r="AS911" s="2"/>
      <c r="AT911" s="2"/>
      <c r="AU911" s="2"/>
      <c r="AV911" s="2"/>
      <c r="AW911" s="2"/>
      <c r="AX911" s="2"/>
      <c r="AY911" s="2"/>
      <c r="AZ911" s="5"/>
      <c r="BA911" s="2"/>
      <c r="BD911" s="2"/>
      <c r="BE911" s="2"/>
      <c r="BF911" s="2"/>
      <c r="BG911" s="2"/>
      <c r="BH911" s="2"/>
      <c r="BI911" s="2"/>
      <c r="BJ911" s="2"/>
      <c r="BK911" s="2"/>
      <c r="BM911" s="2"/>
      <c r="BN911" s="2"/>
      <c r="BO911" s="2"/>
      <c r="BP911" s="2"/>
      <c r="BQ911" s="2"/>
      <c r="BR911" s="6"/>
      <c r="BS911" s="6"/>
      <c r="BT911" s="2"/>
      <c r="BU911" s="2"/>
      <c r="BV911" s="2"/>
      <c r="BW911" s="2"/>
      <c r="BX911" s="2"/>
      <c r="BY911" s="2"/>
      <c r="BZ911" s="2"/>
      <c r="CA911" s="2"/>
      <c r="CB911" s="2"/>
      <c r="CC911" s="2"/>
      <c r="CD911" s="3"/>
      <c r="CE911" s="2"/>
      <c r="CF911" s="4"/>
      <c r="CG911" s="4"/>
      <c r="CI911" s="2"/>
    </row>
    <row r="912" spans="1:87" s="101" customFormat="1" x14ac:dyDescent="0.35">
      <c r="A912" s="1"/>
      <c r="C912" s="1"/>
      <c r="G912" s="2"/>
      <c r="H912" s="2"/>
      <c r="I912" s="2"/>
      <c r="J912" s="2"/>
      <c r="K912" s="81"/>
      <c r="L912" s="4"/>
      <c r="M912" s="4"/>
      <c r="N912" s="4"/>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3"/>
      <c r="AP912" s="2"/>
      <c r="AQ912" s="2"/>
      <c r="AR912" s="2"/>
      <c r="AS912" s="2"/>
      <c r="AT912" s="2"/>
      <c r="AU912" s="2"/>
      <c r="AV912" s="2"/>
      <c r="AW912" s="2"/>
      <c r="AX912" s="2"/>
      <c r="AY912" s="2"/>
      <c r="AZ912" s="5"/>
      <c r="BA912" s="2"/>
      <c r="BD912" s="2"/>
      <c r="BE912" s="2"/>
      <c r="BF912" s="2"/>
      <c r="BG912" s="2"/>
      <c r="BH912" s="2"/>
      <c r="BI912" s="2"/>
      <c r="BJ912" s="2"/>
      <c r="BK912" s="2"/>
      <c r="BM912" s="2"/>
      <c r="BN912" s="2"/>
      <c r="BO912" s="2"/>
      <c r="BP912" s="2"/>
      <c r="BQ912" s="2"/>
      <c r="BR912" s="6"/>
      <c r="BS912" s="6"/>
      <c r="BT912" s="2"/>
      <c r="BU912" s="2"/>
      <c r="BV912" s="2"/>
      <c r="BW912" s="2"/>
      <c r="BX912" s="2"/>
      <c r="BY912" s="2"/>
      <c r="BZ912" s="2"/>
      <c r="CA912" s="2"/>
      <c r="CB912" s="2"/>
      <c r="CC912" s="2"/>
      <c r="CD912" s="3"/>
      <c r="CE912" s="2"/>
      <c r="CF912" s="4"/>
      <c r="CG912" s="4"/>
      <c r="CI912" s="2"/>
    </row>
    <row r="913" spans="1:87" s="101" customFormat="1" x14ac:dyDescent="0.35">
      <c r="A913" s="1"/>
      <c r="C913" s="1"/>
      <c r="G913" s="2"/>
      <c r="H913" s="2"/>
      <c r="I913" s="2"/>
      <c r="J913" s="2"/>
      <c r="K913" s="81"/>
      <c r="L913" s="4"/>
      <c r="M913" s="4"/>
      <c r="N913" s="4"/>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3"/>
      <c r="AP913" s="2"/>
      <c r="AQ913" s="2"/>
      <c r="AR913" s="2"/>
      <c r="AS913" s="2"/>
      <c r="AT913" s="2"/>
      <c r="AU913" s="2"/>
      <c r="AV913" s="2"/>
      <c r="AW913" s="2"/>
      <c r="AX913" s="2"/>
      <c r="AY913" s="2"/>
      <c r="AZ913" s="5"/>
      <c r="BA913" s="2"/>
      <c r="BD913" s="2"/>
      <c r="BE913" s="2"/>
      <c r="BF913" s="2"/>
      <c r="BG913" s="2"/>
      <c r="BH913" s="2"/>
      <c r="BI913" s="2"/>
      <c r="BJ913" s="2"/>
      <c r="BK913" s="2"/>
      <c r="BM913" s="2"/>
      <c r="BN913" s="2"/>
      <c r="BO913" s="2"/>
      <c r="BP913" s="2"/>
      <c r="BQ913" s="2"/>
      <c r="BR913" s="6"/>
      <c r="BS913" s="6"/>
      <c r="BT913" s="2"/>
      <c r="BU913" s="2"/>
      <c r="BV913" s="2"/>
      <c r="BW913" s="2"/>
      <c r="BX913" s="2"/>
      <c r="BY913" s="2"/>
      <c r="BZ913" s="2"/>
      <c r="CA913" s="2"/>
      <c r="CB913" s="2"/>
      <c r="CC913" s="2"/>
      <c r="CD913" s="3"/>
      <c r="CE913" s="2"/>
      <c r="CF913" s="4"/>
      <c r="CG913" s="4"/>
      <c r="CI913" s="2"/>
    </row>
    <row r="914" spans="1:87" s="101" customFormat="1" x14ac:dyDescent="0.35">
      <c r="A914" s="1"/>
      <c r="C914" s="1"/>
      <c r="G914" s="2"/>
      <c r="H914" s="2"/>
      <c r="I914" s="2"/>
      <c r="J914" s="2"/>
      <c r="K914" s="81"/>
      <c r="L914" s="4"/>
      <c r="M914" s="4"/>
      <c r="N914" s="4"/>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3"/>
      <c r="AP914" s="2"/>
      <c r="AQ914" s="2"/>
      <c r="AR914" s="2"/>
      <c r="AS914" s="2"/>
      <c r="AT914" s="2"/>
      <c r="AU914" s="2"/>
      <c r="AV914" s="2"/>
      <c r="AW914" s="2"/>
      <c r="AX914" s="2"/>
      <c r="AY914" s="2"/>
      <c r="AZ914" s="5"/>
      <c r="BA914" s="2"/>
      <c r="BD914" s="2"/>
      <c r="BE914" s="2"/>
      <c r="BF914" s="2"/>
      <c r="BG914" s="2"/>
      <c r="BH914" s="2"/>
      <c r="BI914" s="2"/>
      <c r="BJ914" s="2"/>
      <c r="BK914" s="2"/>
      <c r="BM914" s="2"/>
      <c r="BN914" s="2"/>
      <c r="BO914" s="2"/>
      <c r="BP914" s="2"/>
      <c r="BQ914" s="2"/>
      <c r="BR914" s="6"/>
      <c r="BS914" s="6"/>
      <c r="BT914" s="2"/>
      <c r="BU914" s="2"/>
      <c r="BV914" s="2"/>
      <c r="BW914" s="2"/>
      <c r="BX914" s="2"/>
      <c r="BY914" s="2"/>
      <c r="BZ914" s="2"/>
      <c r="CA914" s="2"/>
      <c r="CB914" s="2"/>
      <c r="CC914" s="2"/>
      <c r="CD914" s="3"/>
      <c r="CE914" s="2"/>
      <c r="CF914" s="4"/>
      <c r="CG914" s="4"/>
      <c r="CI914" s="2"/>
    </row>
    <row r="915" spans="1:87" s="101" customFormat="1" x14ac:dyDescent="0.35">
      <c r="A915" s="1"/>
      <c r="C915" s="1"/>
      <c r="G915" s="2"/>
      <c r="H915" s="2"/>
      <c r="I915" s="2"/>
      <c r="J915" s="2"/>
      <c r="K915" s="81"/>
      <c r="L915" s="4"/>
      <c r="M915" s="4"/>
      <c r="N915" s="4"/>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3"/>
      <c r="AP915" s="2"/>
      <c r="AQ915" s="2"/>
      <c r="AR915" s="2"/>
      <c r="AS915" s="2"/>
      <c r="AT915" s="2"/>
      <c r="AU915" s="2"/>
      <c r="AV915" s="2"/>
      <c r="AW915" s="2"/>
      <c r="AX915" s="2"/>
      <c r="AY915" s="2"/>
      <c r="AZ915" s="5"/>
      <c r="BA915" s="2"/>
      <c r="BD915" s="2"/>
      <c r="BE915" s="2"/>
      <c r="BF915" s="2"/>
      <c r="BG915" s="2"/>
      <c r="BH915" s="2"/>
      <c r="BI915" s="2"/>
      <c r="BJ915" s="2"/>
      <c r="BK915" s="2"/>
      <c r="BM915" s="2"/>
      <c r="BN915" s="2"/>
      <c r="BO915" s="2"/>
      <c r="BP915" s="2"/>
      <c r="BQ915" s="2"/>
      <c r="BR915" s="6"/>
      <c r="BS915" s="6"/>
      <c r="BT915" s="2"/>
      <c r="BU915" s="2"/>
      <c r="BV915" s="2"/>
      <c r="BW915" s="2"/>
      <c r="BX915" s="2"/>
      <c r="BY915" s="2"/>
      <c r="BZ915" s="2"/>
      <c r="CA915" s="2"/>
      <c r="CB915" s="2"/>
      <c r="CC915" s="2"/>
      <c r="CD915" s="3"/>
      <c r="CE915" s="2"/>
      <c r="CF915" s="4"/>
      <c r="CG915" s="4"/>
      <c r="CI915" s="2"/>
    </row>
    <row r="916" spans="1:87" s="101" customFormat="1" x14ac:dyDescent="0.35">
      <c r="A916" s="1"/>
      <c r="C916" s="1"/>
      <c r="G916" s="2"/>
      <c r="H916" s="2"/>
      <c r="I916" s="2"/>
      <c r="J916" s="2"/>
      <c r="K916" s="81"/>
      <c r="L916" s="4"/>
      <c r="M916" s="4"/>
      <c r="N916" s="4"/>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3"/>
      <c r="AP916" s="2"/>
      <c r="AQ916" s="2"/>
      <c r="AR916" s="2"/>
      <c r="AS916" s="2"/>
      <c r="AT916" s="2"/>
      <c r="AU916" s="2"/>
      <c r="AV916" s="2"/>
      <c r="AW916" s="2"/>
      <c r="AX916" s="2"/>
      <c r="AY916" s="2"/>
      <c r="AZ916" s="5"/>
      <c r="BA916" s="2"/>
      <c r="BD916" s="2"/>
      <c r="BE916" s="2"/>
      <c r="BF916" s="2"/>
      <c r="BG916" s="2"/>
      <c r="BH916" s="2"/>
      <c r="BI916" s="2"/>
      <c r="BJ916" s="2"/>
      <c r="BK916" s="2"/>
      <c r="BM916" s="2"/>
      <c r="BN916" s="2"/>
      <c r="BO916" s="2"/>
      <c r="BP916" s="2"/>
      <c r="BQ916" s="2"/>
      <c r="BR916" s="6"/>
      <c r="BS916" s="6"/>
      <c r="BT916" s="2"/>
      <c r="BU916" s="2"/>
      <c r="BV916" s="2"/>
      <c r="BW916" s="2"/>
      <c r="BX916" s="2"/>
      <c r="BY916" s="2"/>
      <c r="BZ916" s="2"/>
      <c r="CA916" s="2"/>
      <c r="CB916" s="2"/>
      <c r="CC916" s="2"/>
      <c r="CD916" s="3"/>
      <c r="CE916" s="2"/>
      <c r="CF916" s="4"/>
      <c r="CG916" s="4"/>
      <c r="CI916" s="2"/>
    </row>
    <row r="917" spans="1:87" s="101" customFormat="1" x14ac:dyDescent="0.35">
      <c r="A917" s="1"/>
      <c r="C917" s="1"/>
      <c r="G917" s="2"/>
      <c r="H917" s="2"/>
      <c r="I917" s="2"/>
      <c r="J917" s="2"/>
      <c r="K917" s="81"/>
      <c r="L917" s="4"/>
      <c r="M917" s="4"/>
      <c r="N917" s="4"/>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3"/>
      <c r="AP917" s="2"/>
      <c r="AQ917" s="2"/>
      <c r="AR917" s="2"/>
      <c r="AS917" s="2"/>
      <c r="AT917" s="2"/>
      <c r="AU917" s="2"/>
      <c r="AV917" s="2"/>
      <c r="AW917" s="2"/>
      <c r="AX917" s="2"/>
      <c r="AY917" s="2"/>
      <c r="AZ917" s="5"/>
      <c r="BA917" s="2"/>
      <c r="BD917" s="2"/>
      <c r="BE917" s="2"/>
      <c r="BF917" s="2"/>
      <c r="BG917" s="2"/>
      <c r="BH917" s="2"/>
      <c r="BI917" s="2"/>
      <c r="BJ917" s="2"/>
      <c r="BK917" s="2"/>
      <c r="BM917" s="2"/>
      <c r="BN917" s="2"/>
      <c r="BO917" s="2"/>
      <c r="BP917" s="2"/>
      <c r="BQ917" s="2"/>
      <c r="BR917" s="6"/>
      <c r="BS917" s="6"/>
      <c r="BT917" s="2"/>
      <c r="BU917" s="2"/>
      <c r="BV917" s="2"/>
      <c r="BW917" s="2"/>
      <c r="BX917" s="2"/>
      <c r="BY917" s="2"/>
      <c r="BZ917" s="2"/>
      <c r="CA917" s="2"/>
      <c r="CB917" s="2"/>
      <c r="CC917" s="2"/>
      <c r="CD917" s="3"/>
      <c r="CE917" s="2"/>
      <c r="CF917" s="4"/>
      <c r="CG917" s="4"/>
      <c r="CI917" s="2"/>
    </row>
    <row r="918" spans="1:87" s="101" customFormat="1" x14ac:dyDescent="0.35">
      <c r="A918" s="1"/>
      <c r="C918" s="1"/>
      <c r="G918" s="2"/>
      <c r="H918" s="2"/>
      <c r="I918" s="2"/>
      <c r="J918" s="2"/>
      <c r="K918" s="81"/>
      <c r="L918" s="4"/>
      <c r="M918" s="4"/>
      <c r="N918" s="4"/>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3"/>
      <c r="AP918" s="2"/>
      <c r="AQ918" s="2"/>
      <c r="AR918" s="2"/>
      <c r="AS918" s="2"/>
      <c r="AT918" s="2"/>
      <c r="AU918" s="2"/>
      <c r="AV918" s="2"/>
      <c r="AW918" s="2"/>
      <c r="AX918" s="2"/>
      <c r="AY918" s="2"/>
      <c r="AZ918" s="5"/>
      <c r="BA918" s="2"/>
      <c r="BD918" s="2"/>
      <c r="BE918" s="2"/>
      <c r="BF918" s="2"/>
      <c r="BG918" s="2"/>
      <c r="BH918" s="2"/>
      <c r="BI918" s="2"/>
      <c r="BJ918" s="2"/>
      <c r="BK918" s="2"/>
      <c r="BM918" s="2"/>
      <c r="BN918" s="2"/>
      <c r="BO918" s="2"/>
      <c r="BP918" s="2"/>
      <c r="BQ918" s="2"/>
      <c r="BR918" s="6"/>
      <c r="BS918" s="6"/>
      <c r="BT918" s="2"/>
      <c r="BU918" s="2"/>
      <c r="BV918" s="2"/>
      <c r="BW918" s="2"/>
      <c r="BX918" s="2"/>
      <c r="BY918" s="2"/>
      <c r="BZ918" s="2"/>
      <c r="CA918" s="2"/>
      <c r="CB918" s="2"/>
      <c r="CC918" s="2"/>
      <c r="CD918" s="3"/>
      <c r="CE918" s="2"/>
      <c r="CF918" s="4"/>
      <c r="CG918" s="4"/>
      <c r="CI918" s="2"/>
    </row>
    <row r="919" spans="1:87" s="101" customFormat="1" x14ac:dyDescent="0.35">
      <c r="A919" s="1"/>
      <c r="C919" s="1"/>
      <c r="G919" s="2"/>
      <c r="H919" s="2"/>
      <c r="I919" s="2"/>
      <c r="J919" s="2"/>
      <c r="K919" s="81"/>
      <c r="L919" s="4"/>
      <c r="M919" s="4"/>
      <c r="N919" s="4"/>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3"/>
      <c r="AP919" s="2"/>
      <c r="AQ919" s="2"/>
      <c r="AR919" s="2"/>
      <c r="AS919" s="2"/>
      <c r="AT919" s="2"/>
      <c r="AU919" s="2"/>
      <c r="AV919" s="2"/>
      <c r="AW919" s="2"/>
      <c r="AX919" s="2"/>
      <c r="AY919" s="2"/>
      <c r="AZ919" s="5"/>
      <c r="BA919" s="2"/>
      <c r="BD919" s="2"/>
      <c r="BE919" s="2"/>
      <c r="BF919" s="2"/>
      <c r="BG919" s="2"/>
      <c r="BH919" s="2"/>
      <c r="BI919" s="2"/>
      <c r="BJ919" s="2"/>
      <c r="BK919" s="2"/>
      <c r="BM919" s="2"/>
      <c r="BN919" s="2"/>
      <c r="BO919" s="2"/>
      <c r="BP919" s="2"/>
      <c r="BQ919" s="2"/>
      <c r="BR919" s="6"/>
      <c r="BS919" s="6"/>
      <c r="BT919" s="2"/>
      <c r="BU919" s="2"/>
      <c r="BV919" s="2"/>
      <c r="BW919" s="2"/>
      <c r="BX919" s="2"/>
      <c r="BY919" s="2"/>
      <c r="BZ919" s="2"/>
      <c r="CA919" s="2"/>
      <c r="CB919" s="2"/>
      <c r="CC919" s="2"/>
      <c r="CD919" s="3"/>
      <c r="CE919" s="2"/>
      <c r="CF919" s="4"/>
      <c r="CG919" s="4"/>
      <c r="CI919" s="2"/>
    </row>
    <row r="920" spans="1:87" s="101" customFormat="1" x14ac:dyDescent="0.35">
      <c r="A920" s="1"/>
      <c r="C920" s="1"/>
      <c r="G920" s="2"/>
      <c r="H920" s="2"/>
      <c r="I920" s="2"/>
      <c r="J920" s="2"/>
      <c r="K920" s="81"/>
      <c r="L920" s="4"/>
      <c r="M920" s="4"/>
      <c r="N920" s="4"/>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3"/>
      <c r="AP920" s="2"/>
      <c r="AQ920" s="2"/>
      <c r="AR920" s="2"/>
      <c r="AS920" s="2"/>
      <c r="AT920" s="2"/>
      <c r="AU920" s="2"/>
      <c r="AV920" s="2"/>
      <c r="AW920" s="2"/>
      <c r="AX920" s="2"/>
      <c r="AY920" s="2"/>
      <c r="AZ920" s="5"/>
      <c r="BA920" s="2"/>
      <c r="BD920" s="2"/>
      <c r="BE920" s="2"/>
      <c r="BF920" s="2"/>
      <c r="BG920" s="2"/>
      <c r="BH920" s="2"/>
      <c r="BI920" s="2"/>
      <c r="BJ920" s="2"/>
      <c r="BK920" s="2"/>
      <c r="BM920" s="2"/>
      <c r="BN920" s="2"/>
      <c r="BO920" s="2"/>
      <c r="BP920" s="2"/>
      <c r="BQ920" s="2"/>
      <c r="BR920" s="6"/>
      <c r="BS920" s="6"/>
      <c r="BT920" s="2"/>
      <c r="BU920" s="2"/>
      <c r="BV920" s="2"/>
      <c r="BW920" s="2"/>
      <c r="BX920" s="2"/>
      <c r="BY920" s="2"/>
      <c r="BZ920" s="2"/>
      <c r="CA920" s="2"/>
      <c r="CB920" s="2"/>
      <c r="CC920" s="2"/>
      <c r="CD920" s="3"/>
      <c r="CE920" s="2"/>
      <c r="CF920" s="4"/>
      <c r="CG920" s="4"/>
      <c r="CI920" s="2"/>
    </row>
    <row r="921" spans="1:87" s="101" customFormat="1" x14ac:dyDescent="0.35">
      <c r="A921" s="1"/>
      <c r="C921" s="1"/>
      <c r="G921" s="2"/>
      <c r="H921" s="2"/>
      <c r="I921" s="2"/>
      <c r="J921" s="2"/>
      <c r="K921" s="81"/>
      <c r="L921" s="4"/>
      <c r="M921" s="4"/>
      <c r="N921" s="4"/>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3"/>
      <c r="AP921" s="2"/>
      <c r="AQ921" s="2"/>
      <c r="AR921" s="2"/>
      <c r="AS921" s="2"/>
      <c r="AT921" s="2"/>
      <c r="AU921" s="2"/>
      <c r="AV921" s="2"/>
      <c r="AW921" s="2"/>
      <c r="AX921" s="2"/>
      <c r="AY921" s="2"/>
      <c r="AZ921" s="5"/>
      <c r="BA921" s="2"/>
      <c r="BD921" s="2"/>
      <c r="BE921" s="2"/>
      <c r="BF921" s="2"/>
      <c r="BG921" s="2"/>
      <c r="BH921" s="2"/>
      <c r="BI921" s="2"/>
      <c r="BJ921" s="2"/>
      <c r="BK921" s="2"/>
      <c r="BM921" s="2"/>
      <c r="BN921" s="2"/>
      <c r="BO921" s="2"/>
      <c r="BP921" s="2"/>
      <c r="BQ921" s="2"/>
      <c r="BR921" s="6"/>
      <c r="BS921" s="6"/>
      <c r="BT921" s="2"/>
      <c r="BU921" s="2"/>
      <c r="BV921" s="2"/>
      <c r="BW921" s="2"/>
      <c r="BX921" s="2"/>
      <c r="BY921" s="2"/>
      <c r="BZ921" s="2"/>
      <c r="CA921" s="2"/>
      <c r="CB921" s="2"/>
      <c r="CC921" s="2"/>
      <c r="CD921" s="3"/>
      <c r="CE921" s="2"/>
      <c r="CF921" s="4"/>
      <c r="CG921" s="4"/>
      <c r="CI921" s="2"/>
    </row>
    <row r="922" spans="1:87" s="101" customFormat="1" x14ac:dyDescent="0.35">
      <c r="A922" s="1"/>
      <c r="C922" s="1"/>
      <c r="G922" s="2"/>
      <c r="H922" s="2"/>
      <c r="I922" s="2"/>
      <c r="J922" s="2"/>
      <c r="K922" s="81"/>
      <c r="L922" s="4"/>
      <c r="M922" s="4"/>
      <c r="N922" s="4"/>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3"/>
      <c r="AP922" s="2"/>
      <c r="AQ922" s="2"/>
      <c r="AR922" s="2"/>
      <c r="AS922" s="2"/>
      <c r="AT922" s="2"/>
      <c r="AU922" s="2"/>
      <c r="AV922" s="2"/>
      <c r="AW922" s="2"/>
      <c r="AX922" s="2"/>
      <c r="AY922" s="2"/>
      <c r="AZ922" s="5"/>
      <c r="BA922" s="2"/>
      <c r="BD922" s="2"/>
      <c r="BE922" s="2"/>
      <c r="BF922" s="2"/>
      <c r="BG922" s="2"/>
      <c r="BH922" s="2"/>
      <c r="BI922" s="2"/>
      <c r="BJ922" s="2"/>
      <c r="BK922" s="2"/>
      <c r="BM922" s="2"/>
      <c r="BN922" s="2"/>
      <c r="BO922" s="2"/>
      <c r="BP922" s="2"/>
      <c r="BQ922" s="2"/>
      <c r="BR922" s="6"/>
      <c r="BS922" s="6"/>
      <c r="BT922" s="2"/>
      <c r="BU922" s="2"/>
      <c r="BV922" s="2"/>
      <c r="BW922" s="2"/>
      <c r="BX922" s="2"/>
      <c r="BY922" s="2"/>
      <c r="BZ922" s="2"/>
      <c r="CA922" s="2"/>
      <c r="CB922" s="2"/>
      <c r="CC922" s="2"/>
      <c r="CD922" s="3"/>
      <c r="CE922" s="2"/>
      <c r="CF922" s="4"/>
      <c r="CG922" s="4"/>
      <c r="CI922" s="2"/>
    </row>
    <row r="923" spans="1:87" s="101" customFormat="1" x14ac:dyDescent="0.35">
      <c r="A923" s="1"/>
      <c r="C923" s="1"/>
      <c r="G923" s="2"/>
      <c r="H923" s="2"/>
      <c r="I923" s="2"/>
      <c r="J923" s="2"/>
      <c r="K923" s="81"/>
      <c r="L923" s="4"/>
      <c r="M923" s="4"/>
      <c r="N923" s="4"/>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3"/>
      <c r="AP923" s="2"/>
      <c r="AQ923" s="2"/>
      <c r="AR923" s="2"/>
      <c r="AS923" s="2"/>
      <c r="AT923" s="2"/>
      <c r="AU923" s="2"/>
      <c r="AV923" s="2"/>
      <c r="AW923" s="2"/>
      <c r="AX923" s="2"/>
      <c r="AY923" s="2"/>
      <c r="AZ923" s="5"/>
      <c r="BA923" s="2"/>
      <c r="BD923" s="2"/>
      <c r="BE923" s="2"/>
      <c r="BF923" s="2"/>
      <c r="BG923" s="2"/>
      <c r="BH923" s="2"/>
      <c r="BI923" s="2"/>
      <c r="BJ923" s="2"/>
      <c r="BK923" s="2"/>
      <c r="BM923" s="2"/>
      <c r="BN923" s="2"/>
      <c r="BO923" s="2"/>
      <c r="BP923" s="2"/>
      <c r="BQ923" s="2"/>
      <c r="BR923" s="6"/>
      <c r="BS923" s="6"/>
      <c r="BT923" s="2"/>
      <c r="BU923" s="2"/>
      <c r="BV923" s="2"/>
      <c r="BW923" s="2"/>
      <c r="BX923" s="2"/>
      <c r="BY923" s="2"/>
      <c r="BZ923" s="2"/>
      <c r="CA923" s="2"/>
      <c r="CB923" s="2"/>
      <c r="CC923" s="2"/>
      <c r="CD923" s="3"/>
      <c r="CE923" s="2"/>
      <c r="CF923" s="4"/>
      <c r="CG923" s="4"/>
      <c r="CI923" s="2"/>
    </row>
    <row r="924" spans="1:87" s="101" customFormat="1" x14ac:dyDescent="0.35">
      <c r="A924" s="1"/>
      <c r="C924" s="1"/>
      <c r="G924" s="2"/>
      <c r="H924" s="2"/>
      <c r="I924" s="2"/>
      <c r="J924" s="2"/>
      <c r="K924" s="81"/>
      <c r="L924" s="4"/>
      <c r="M924" s="4"/>
      <c r="N924" s="4"/>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3"/>
      <c r="AP924" s="2"/>
      <c r="AQ924" s="2"/>
      <c r="AR924" s="2"/>
      <c r="AS924" s="2"/>
      <c r="AT924" s="2"/>
      <c r="AU924" s="2"/>
      <c r="AV924" s="2"/>
      <c r="AW924" s="2"/>
      <c r="AX924" s="2"/>
      <c r="AY924" s="2"/>
      <c r="AZ924" s="5"/>
      <c r="BA924" s="2"/>
      <c r="BD924" s="2"/>
      <c r="BE924" s="2"/>
      <c r="BF924" s="2"/>
      <c r="BG924" s="2"/>
      <c r="BH924" s="2"/>
      <c r="BI924" s="2"/>
      <c r="BJ924" s="2"/>
      <c r="BK924" s="2"/>
      <c r="BM924" s="2"/>
      <c r="BN924" s="2"/>
      <c r="BO924" s="2"/>
      <c r="BP924" s="2"/>
      <c r="BQ924" s="2"/>
      <c r="BR924" s="6"/>
      <c r="BS924" s="6"/>
      <c r="BT924" s="2"/>
      <c r="BU924" s="2"/>
      <c r="BV924" s="2"/>
      <c r="BW924" s="2"/>
      <c r="BX924" s="2"/>
      <c r="BY924" s="2"/>
      <c r="BZ924" s="2"/>
      <c r="CA924" s="2"/>
      <c r="CB924" s="2"/>
      <c r="CC924" s="2"/>
      <c r="CD924" s="3"/>
      <c r="CE924" s="2"/>
      <c r="CF924" s="4"/>
      <c r="CG924" s="4"/>
      <c r="CI924" s="2"/>
    </row>
    <row r="925" spans="1:87" s="101" customFormat="1" x14ac:dyDescent="0.35">
      <c r="A925" s="1"/>
      <c r="C925" s="1"/>
      <c r="G925" s="2"/>
      <c r="H925" s="2"/>
      <c r="I925" s="2"/>
      <c r="J925" s="2"/>
      <c r="K925" s="81"/>
      <c r="L925" s="4"/>
      <c r="M925" s="4"/>
      <c r="N925" s="4"/>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3"/>
      <c r="AP925" s="2"/>
      <c r="AQ925" s="2"/>
      <c r="AR925" s="2"/>
      <c r="AS925" s="2"/>
      <c r="AT925" s="2"/>
      <c r="AU925" s="2"/>
      <c r="AV925" s="2"/>
      <c r="AW925" s="2"/>
      <c r="AX925" s="2"/>
      <c r="AY925" s="2"/>
      <c r="AZ925" s="5"/>
      <c r="BA925" s="2"/>
      <c r="BD925" s="2"/>
      <c r="BE925" s="2"/>
      <c r="BF925" s="2"/>
      <c r="BG925" s="2"/>
      <c r="BH925" s="2"/>
      <c r="BI925" s="2"/>
      <c r="BJ925" s="2"/>
      <c r="BK925" s="2"/>
      <c r="BM925" s="2"/>
      <c r="BN925" s="2"/>
      <c r="BO925" s="2"/>
      <c r="BP925" s="2"/>
      <c r="BQ925" s="2"/>
      <c r="BR925" s="6"/>
      <c r="BS925" s="6"/>
      <c r="BT925" s="2"/>
      <c r="BU925" s="2"/>
      <c r="BV925" s="2"/>
      <c r="BW925" s="2"/>
      <c r="BX925" s="2"/>
      <c r="BY925" s="2"/>
      <c r="BZ925" s="2"/>
      <c r="CA925" s="2"/>
      <c r="CB925" s="2"/>
      <c r="CC925" s="2"/>
      <c r="CD925" s="3"/>
      <c r="CE925" s="2"/>
      <c r="CF925" s="4"/>
      <c r="CG925" s="4"/>
      <c r="CI925" s="2"/>
    </row>
    <row r="926" spans="1:87" s="101" customFormat="1" x14ac:dyDescent="0.35">
      <c r="A926" s="1"/>
      <c r="C926" s="1"/>
      <c r="G926" s="2"/>
      <c r="H926" s="2"/>
      <c r="I926" s="2"/>
      <c r="J926" s="2"/>
      <c r="K926" s="81"/>
      <c r="L926" s="4"/>
      <c r="M926" s="4"/>
      <c r="N926" s="4"/>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3"/>
      <c r="AP926" s="2"/>
      <c r="AQ926" s="2"/>
      <c r="AR926" s="2"/>
      <c r="AS926" s="2"/>
      <c r="AT926" s="2"/>
      <c r="AU926" s="2"/>
      <c r="AV926" s="2"/>
      <c r="AW926" s="2"/>
      <c r="AX926" s="2"/>
      <c r="AY926" s="2"/>
      <c r="AZ926" s="5"/>
      <c r="BA926" s="2"/>
      <c r="BD926" s="2"/>
      <c r="BE926" s="2"/>
      <c r="BF926" s="2"/>
      <c r="BG926" s="2"/>
      <c r="BH926" s="2"/>
      <c r="BI926" s="2"/>
      <c r="BJ926" s="2"/>
      <c r="BK926" s="2"/>
      <c r="BM926" s="2"/>
      <c r="BN926" s="2"/>
      <c r="BO926" s="2"/>
      <c r="BP926" s="2"/>
      <c r="BQ926" s="2"/>
      <c r="BR926" s="6"/>
      <c r="BS926" s="6"/>
      <c r="BT926" s="2"/>
      <c r="BU926" s="2"/>
      <c r="BV926" s="2"/>
      <c r="BW926" s="2"/>
      <c r="BX926" s="2"/>
      <c r="BY926" s="2"/>
      <c r="BZ926" s="2"/>
      <c r="CA926" s="2"/>
      <c r="CB926" s="2"/>
      <c r="CC926" s="2"/>
      <c r="CD926" s="3"/>
      <c r="CE926" s="2"/>
      <c r="CF926" s="4"/>
      <c r="CG926" s="4"/>
      <c r="CI926" s="2"/>
    </row>
    <row r="927" spans="1:87" s="101" customFormat="1" x14ac:dyDescent="0.35">
      <c r="A927" s="1"/>
      <c r="C927" s="1"/>
      <c r="G927" s="2"/>
      <c r="H927" s="2"/>
      <c r="I927" s="2"/>
      <c r="J927" s="2"/>
      <c r="K927" s="81"/>
      <c r="L927" s="4"/>
      <c r="M927" s="4"/>
      <c r="N927" s="4"/>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3"/>
      <c r="AP927" s="2"/>
      <c r="AQ927" s="2"/>
      <c r="AR927" s="2"/>
      <c r="AS927" s="2"/>
      <c r="AT927" s="2"/>
      <c r="AU927" s="2"/>
      <c r="AV927" s="2"/>
      <c r="AW927" s="2"/>
      <c r="AX927" s="2"/>
      <c r="AY927" s="2"/>
      <c r="AZ927" s="5"/>
      <c r="BA927" s="2"/>
      <c r="BD927" s="2"/>
      <c r="BE927" s="2"/>
      <c r="BF927" s="2"/>
      <c r="BG927" s="2"/>
      <c r="BH927" s="2"/>
      <c r="BI927" s="2"/>
      <c r="BJ927" s="2"/>
      <c r="BK927" s="2"/>
      <c r="BM927" s="2"/>
      <c r="BN927" s="2"/>
      <c r="BO927" s="2"/>
      <c r="BP927" s="2"/>
      <c r="BQ927" s="2"/>
      <c r="BR927" s="6"/>
      <c r="BS927" s="6"/>
      <c r="BT927" s="2"/>
      <c r="BU927" s="2"/>
      <c r="BV927" s="2"/>
      <c r="BW927" s="2"/>
      <c r="BX927" s="2"/>
      <c r="BY927" s="2"/>
      <c r="BZ927" s="2"/>
      <c r="CA927" s="2"/>
      <c r="CB927" s="2"/>
      <c r="CC927" s="2"/>
      <c r="CD927" s="3"/>
      <c r="CE927" s="2"/>
      <c r="CF927" s="4"/>
      <c r="CG927" s="4"/>
      <c r="CI927" s="2"/>
    </row>
    <row r="928" spans="1:87" s="101" customFormat="1" x14ac:dyDescent="0.35">
      <c r="A928" s="1"/>
      <c r="C928" s="1"/>
      <c r="G928" s="2"/>
      <c r="H928" s="2"/>
      <c r="I928" s="2"/>
      <c r="J928" s="2"/>
      <c r="K928" s="81"/>
      <c r="L928" s="4"/>
      <c r="M928" s="4"/>
      <c r="N928" s="4"/>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3"/>
      <c r="AP928" s="2"/>
      <c r="AQ928" s="2"/>
      <c r="AR928" s="2"/>
      <c r="AS928" s="2"/>
      <c r="AT928" s="2"/>
      <c r="AU928" s="2"/>
      <c r="AV928" s="2"/>
      <c r="AW928" s="2"/>
      <c r="AX928" s="2"/>
      <c r="AY928" s="2"/>
      <c r="AZ928" s="5"/>
      <c r="BA928" s="2"/>
      <c r="BD928" s="2"/>
      <c r="BE928" s="2"/>
      <c r="BF928" s="2"/>
      <c r="BG928" s="2"/>
      <c r="BH928" s="2"/>
      <c r="BI928" s="2"/>
      <c r="BJ928" s="2"/>
      <c r="BK928" s="2"/>
      <c r="BM928" s="2"/>
      <c r="BN928" s="2"/>
      <c r="BO928" s="2"/>
      <c r="BP928" s="2"/>
      <c r="BQ928" s="2"/>
      <c r="BR928" s="6"/>
      <c r="BS928" s="6"/>
      <c r="BT928" s="2"/>
      <c r="BU928" s="2"/>
      <c r="BV928" s="2"/>
      <c r="BW928" s="2"/>
      <c r="BX928" s="2"/>
      <c r="BY928" s="2"/>
      <c r="BZ928" s="2"/>
      <c r="CA928" s="2"/>
      <c r="CB928" s="2"/>
      <c r="CC928" s="2"/>
      <c r="CD928" s="3"/>
      <c r="CE928" s="2"/>
      <c r="CF928" s="4"/>
      <c r="CG928" s="4"/>
      <c r="CI928" s="2"/>
    </row>
    <row r="929" spans="1:87" s="101" customFormat="1" x14ac:dyDescent="0.35">
      <c r="A929" s="1"/>
      <c r="C929" s="1"/>
      <c r="G929" s="2"/>
      <c r="H929" s="2"/>
      <c r="I929" s="2"/>
      <c r="J929" s="2"/>
      <c r="K929" s="81"/>
      <c r="L929" s="4"/>
      <c r="M929" s="4"/>
      <c r="N929" s="4"/>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3"/>
      <c r="AP929" s="2"/>
      <c r="AQ929" s="2"/>
      <c r="AR929" s="2"/>
      <c r="AS929" s="2"/>
      <c r="AT929" s="2"/>
      <c r="AU929" s="2"/>
      <c r="AV929" s="2"/>
      <c r="AW929" s="2"/>
      <c r="AX929" s="2"/>
      <c r="AY929" s="2"/>
      <c r="AZ929" s="5"/>
      <c r="BA929" s="2"/>
      <c r="BD929" s="2"/>
      <c r="BE929" s="2"/>
      <c r="BF929" s="2"/>
      <c r="BG929" s="2"/>
      <c r="BH929" s="2"/>
      <c r="BI929" s="2"/>
      <c r="BJ929" s="2"/>
      <c r="BK929" s="2"/>
      <c r="BM929" s="2"/>
      <c r="BN929" s="2"/>
      <c r="BO929" s="2"/>
      <c r="BP929" s="2"/>
      <c r="BQ929" s="2"/>
      <c r="BR929" s="6"/>
      <c r="BS929" s="6"/>
      <c r="BT929" s="2"/>
      <c r="BU929" s="2"/>
      <c r="BV929" s="2"/>
      <c r="BW929" s="2"/>
      <c r="BX929" s="2"/>
      <c r="BY929" s="2"/>
      <c r="BZ929" s="2"/>
      <c r="CA929" s="2"/>
      <c r="CB929" s="2"/>
      <c r="CC929" s="2"/>
      <c r="CD929" s="3"/>
      <c r="CE929" s="2"/>
      <c r="CF929" s="4"/>
      <c r="CG929" s="4"/>
      <c r="CI929" s="2"/>
    </row>
    <row r="930" spans="1:87" s="101" customFormat="1" x14ac:dyDescent="0.35">
      <c r="A930" s="1"/>
      <c r="C930" s="1"/>
      <c r="G930" s="2"/>
      <c r="H930" s="2"/>
      <c r="I930" s="2"/>
      <c r="J930" s="2"/>
      <c r="K930" s="81"/>
      <c r="L930" s="4"/>
      <c r="M930" s="4"/>
      <c r="N930" s="4"/>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3"/>
      <c r="AP930" s="2"/>
      <c r="AQ930" s="2"/>
      <c r="AR930" s="2"/>
      <c r="AS930" s="2"/>
      <c r="AT930" s="2"/>
      <c r="AU930" s="2"/>
      <c r="AV930" s="2"/>
      <c r="AW930" s="2"/>
      <c r="AX930" s="2"/>
      <c r="AY930" s="2"/>
      <c r="AZ930" s="5"/>
      <c r="BA930" s="2"/>
      <c r="BD930" s="2"/>
      <c r="BE930" s="2"/>
      <c r="BF930" s="2"/>
      <c r="BG930" s="2"/>
      <c r="BH930" s="2"/>
      <c r="BI930" s="2"/>
      <c r="BJ930" s="2"/>
      <c r="BK930" s="2"/>
      <c r="BM930" s="2"/>
      <c r="BN930" s="2"/>
      <c r="BO930" s="2"/>
      <c r="BP930" s="2"/>
      <c r="BQ930" s="2"/>
      <c r="BR930" s="6"/>
      <c r="BS930" s="6"/>
      <c r="BT930" s="2"/>
      <c r="BU930" s="2"/>
      <c r="BV930" s="2"/>
      <c r="BW930" s="2"/>
      <c r="BX930" s="2"/>
      <c r="BY930" s="2"/>
      <c r="BZ930" s="2"/>
      <c r="CA930" s="2"/>
      <c r="CB930" s="2"/>
      <c r="CC930" s="2"/>
      <c r="CD930" s="3"/>
      <c r="CE930" s="2"/>
      <c r="CF930" s="4"/>
      <c r="CG930" s="4"/>
      <c r="CI930" s="2"/>
    </row>
    <row r="931" spans="1:87" s="101" customFormat="1" x14ac:dyDescent="0.35">
      <c r="A931" s="1"/>
      <c r="C931" s="1"/>
      <c r="G931" s="2"/>
      <c r="H931" s="2"/>
      <c r="I931" s="2"/>
      <c r="J931" s="2"/>
      <c r="K931" s="81"/>
      <c r="L931" s="4"/>
      <c r="M931" s="4"/>
      <c r="N931" s="4"/>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3"/>
      <c r="AP931" s="2"/>
      <c r="AQ931" s="2"/>
      <c r="AR931" s="2"/>
      <c r="AS931" s="2"/>
      <c r="AT931" s="2"/>
      <c r="AU931" s="2"/>
      <c r="AV931" s="2"/>
      <c r="AW931" s="2"/>
      <c r="AX931" s="2"/>
      <c r="AY931" s="2"/>
      <c r="AZ931" s="5"/>
      <c r="BA931" s="2"/>
      <c r="BD931" s="2"/>
      <c r="BE931" s="2"/>
      <c r="BF931" s="2"/>
      <c r="BG931" s="2"/>
      <c r="BH931" s="2"/>
      <c r="BI931" s="2"/>
      <c r="BJ931" s="2"/>
      <c r="BK931" s="2"/>
      <c r="BM931" s="2"/>
      <c r="BN931" s="2"/>
      <c r="BO931" s="2"/>
      <c r="BP931" s="2"/>
      <c r="BQ931" s="2"/>
      <c r="BR931" s="6"/>
      <c r="BS931" s="6"/>
      <c r="BT931" s="2"/>
      <c r="BU931" s="2"/>
      <c r="BV931" s="2"/>
      <c r="BW931" s="2"/>
      <c r="BX931" s="2"/>
      <c r="BY931" s="2"/>
      <c r="BZ931" s="2"/>
      <c r="CA931" s="2"/>
      <c r="CB931" s="2"/>
      <c r="CC931" s="2"/>
      <c r="CD931" s="3"/>
      <c r="CE931" s="2"/>
      <c r="CF931" s="4"/>
      <c r="CG931" s="4"/>
      <c r="CI931" s="2"/>
    </row>
    <row r="932" spans="1:87" s="101" customFormat="1" x14ac:dyDescent="0.35">
      <c r="A932" s="1"/>
      <c r="C932" s="1"/>
      <c r="G932" s="2"/>
      <c r="H932" s="2"/>
      <c r="I932" s="2"/>
      <c r="J932" s="2"/>
      <c r="K932" s="81"/>
      <c r="L932" s="4"/>
      <c r="M932" s="4"/>
      <c r="N932" s="4"/>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3"/>
      <c r="AP932" s="2"/>
      <c r="AQ932" s="2"/>
      <c r="AR932" s="2"/>
      <c r="AS932" s="2"/>
      <c r="AT932" s="2"/>
      <c r="AU932" s="2"/>
      <c r="AV932" s="2"/>
      <c r="AW932" s="2"/>
      <c r="AX932" s="2"/>
      <c r="AY932" s="2"/>
      <c r="AZ932" s="5"/>
      <c r="BA932" s="2"/>
      <c r="BD932" s="2"/>
      <c r="BE932" s="2"/>
      <c r="BF932" s="2"/>
      <c r="BG932" s="2"/>
      <c r="BH932" s="2"/>
      <c r="BI932" s="2"/>
      <c r="BJ932" s="2"/>
      <c r="BK932" s="2"/>
      <c r="BM932" s="2"/>
      <c r="BN932" s="2"/>
      <c r="BO932" s="2"/>
      <c r="BP932" s="2"/>
      <c r="BQ932" s="2"/>
      <c r="BR932" s="6"/>
      <c r="BS932" s="6"/>
      <c r="BT932" s="2"/>
      <c r="BU932" s="2"/>
      <c r="BV932" s="2"/>
      <c r="BW932" s="2"/>
      <c r="BX932" s="2"/>
      <c r="BY932" s="2"/>
      <c r="BZ932" s="2"/>
      <c r="CA932" s="2"/>
      <c r="CB932" s="2"/>
      <c r="CC932" s="2"/>
      <c r="CD932" s="3"/>
      <c r="CE932" s="2"/>
      <c r="CF932" s="4"/>
      <c r="CG932" s="4"/>
      <c r="CI932" s="2"/>
    </row>
    <row r="933" spans="1:87" s="101" customFormat="1" x14ac:dyDescent="0.35">
      <c r="A933" s="1"/>
      <c r="C933" s="1"/>
      <c r="G933" s="2"/>
      <c r="H933" s="2"/>
      <c r="I933" s="2"/>
      <c r="J933" s="2"/>
      <c r="K933" s="81"/>
      <c r="L933" s="4"/>
      <c r="M933" s="4"/>
      <c r="N933" s="4"/>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3"/>
      <c r="AP933" s="2"/>
      <c r="AQ933" s="2"/>
      <c r="AR933" s="2"/>
      <c r="AS933" s="2"/>
      <c r="AT933" s="2"/>
      <c r="AU933" s="2"/>
      <c r="AV933" s="2"/>
      <c r="AW933" s="2"/>
      <c r="AX933" s="2"/>
      <c r="AY933" s="2"/>
      <c r="AZ933" s="5"/>
      <c r="BA933" s="2"/>
      <c r="BD933" s="2"/>
      <c r="BE933" s="2"/>
      <c r="BF933" s="2"/>
      <c r="BG933" s="2"/>
      <c r="BH933" s="2"/>
      <c r="BI933" s="2"/>
      <c r="BJ933" s="2"/>
      <c r="BK933" s="2"/>
      <c r="BM933" s="2"/>
      <c r="BN933" s="2"/>
      <c r="BO933" s="2"/>
      <c r="BP933" s="2"/>
      <c r="BQ933" s="2"/>
      <c r="BR933" s="6"/>
      <c r="BS933" s="6"/>
      <c r="BT933" s="2"/>
      <c r="BU933" s="2"/>
      <c r="BV933" s="2"/>
      <c r="BW933" s="2"/>
      <c r="BX933" s="2"/>
      <c r="BY933" s="2"/>
      <c r="BZ933" s="2"/>
      <c r="CA933" s="2"/>
      <c r="CB933" s="2"/>
      <c r="CC933" s="2"/>
      <c r="CD933" s="3"/>
      <c r="CE933" s="2"/>
      <c r="CF933" s="4"/>
      <c r="CG933" s="4"/>
      <c r="CI933" s="2"/>
    </row>
    <row r="934" spans="1:87" s="101" customFormat="1" x14ac:dyDescent="0.35">
      <c r="A934" s="1"/>
      <c r="C934" s="1"/>
      <c r="G934" s="2"/>
      <c r="H934" s="2"/>
      <c r="I934" s="2"/>
      <c r="J934" s="2"/>
      <c r="K934" s="81"/>
      <c r="L934" s="4"/>
      <c r="M934" s="4"/>
      <c r="N934" s="4"/>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3"/>
      <c r="AP934" s="2"/>
      <c r="AQ934" s="2"/>
      <c r="AR934" s="2"/>
      <c r="AS934" s="2"/>
      <c r="AT934" s="2"/>
      <c r="AU934" s="2"/>
      <c r="AV934" s="2"/>
      <c r="AW934" s="2"/>
      <c r="AX934" s="2"/>
      <c r="AY934" s="2"/>
      <c r="AZ934" s="5"/>
      <c r="BA934" s="2"/>
      <c r="BD934" s="2"/>
      <c r="BE934" s="2"/>
      <c r="BF934" s="2"/>
      <c r="BG934" s="2"/>
      <c r="BH934" s="2"/>
      <c r="BI934" s="2"/>
      <c r="BJ934" s="2"/>
      <c r="BK934" s="2"/>
      <c r="BM934" s="2"/>
      <c r="BN934" s="2"/>
      <c r="BO934" s="2"/>
      <c r="BP934" s="2"/>
      <c r="BQ934" s="2"/>
      <c r="BR934" s="6"/>
      <c r="BS934" s="6"/>
      <c r="BT934" s="2"/>
      <c r="BU934" s="2"/>
      <c r="BV934" s="2"/>
      <c r="BW934" s="2"/>
      <c r="BX934" s="2"/>
      <c r="BY934" s="2"/>
      <c r="BZ934" s="2"/>
      <c r="CA934" s="2"/>
      <c r="CB934" s="2"/>
      <c r="CC934" s="2"/>
      <c r="CD934" s="3"/>
      <c r="CE934" s="2"/>
      <c r="CF934" s="4"/>
      <c r="CG934" s="4"/>
      <c r="CI934" s="2"/>
    </row>
    <row r="935" spans="1:87" s="101" customFormat="1" x14ac:dyDescent="0.35">
      <c r="A935" s="1"/>
      <c r="C935" s="1"/>
      <c r="G935" s="2"/>
      <c r="H935" s="2"/>
      <c r="I935" s="2"/>
      <c r="J935" s="2"/>
      <c r="K935" s="81"/>
      <c r="L935" s="4"/>
      <c r="M935" s="4"/>
      <c r="N935" s="4"/>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3"/>
      <c r="AP935" s="2"/>
      <c r="AQ935" s="2"/>
      <c r="AR935" s="2"/>
      <c r="AS935" s="2"/>
      <c r="AT935" s="2"/>
      <c r="AU935" s="2"/>
      <c r="AV935" s="2"/>
      <c r="AW935" s="2"/>
      <c r="AX935" s="2"/>
      <c r="AY935" s="2"/>
      <c r="AZ935" s="5"/>
      <c r="BA935" s="2"/>
      <c r="BD935" s="2"/>
      <c r="BE935" s="2"/>
      <c r="BF935" s="2"/>
      <c r="BG935" s="2"/>
      <c r="BH935" s="2"/>
      <c r="BI935" s="2"/>
      <c r="BJ935" s="2"/>
      <c r="BK935" s="2"/>
      <c r="BM935" s="2"/>
      <c r="BN935" s="2"/>
      <c r="BO935" s="2"/>
      <c r="BP935" s="2"/>
      <c r="BQ935" s="2"/>
      <c r="BR935" s="6"/>
      <c r="BS935" s="6"/>
      <c r="BT935" s="2"/>
      <c r="BU935" s="2"/>
      <c r="BV935" s="2"/>
      <c r="BW935" s="2"/>
      <c r="BX935" s="2"/>
      <c r="BY935" s="2"/>
      <c r="BZ935" s="2"/>
      <c r="CA935" s="2"/>
      <c r="CB935" s="2"/>
      <c r="CC935" s="2"/>
      <c r="CD935" s="3"/>
      <c r="CE935" s="2"/>
      <c r="CF935" s="4"/>
      <c r="CG935" s="4"/>
      <c r="CI935" s="2"/>
    </row>
    <row r="936" spans="1:87" s="101" customFormat="1" x14ac:dyDescent="0.35">
      <c r="A936" s="1"/>
      <c r="C936" s="1"/>
      <c r="G936" s="2"/>
      <c r="H936" s="2"/>
      <c r="I936" s="2"/>
      <c r="J936" s="2"/>
      <c r="K936" s="81"/>
      <c r="L936" s="4"/>
      <c r="M936" s="4"/>
      <c r="N936" s="4"/>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3"/>
      <c r="AP936" s="2"/>
      <c r="AQ936" s="2"/>
      <c r="AR936" s="2"/>
      <c r="AS936" s="2"/>
      <c r="AT936" s="2"/>
      <c r="AU936" s="2"/>
      <c r="AV936" s="2"/>
      <c r="AW936" s="2"/>
      <c r="AX936" s="2"/>
      <c r="AY936" s="2"/>
      <c r="AZ936" s="5"/>
      <c r="BA936" s="2"/>
      <c r="BD936" s="2"/>
      <c r="BE936" s="2"/>
      <c r="BF936" s="2"/>
      <c r="BG936" s="2"/>
      <c r="BH936" s="2"/>
      <c r="BI936" s="2"/>
      <c r="BJ936" s="2"/>
      <c r="BK936" s="2"/>
      <c r="BM936" s="2"/>
      <c r="BN936" s="2"/>
      <c r="BO936" s="2"/>
      <c r="BP936" s="2"/>
      <c r="BQ936" s="2"/>
      <c r="BR936" s="6"/>
      <c r="BS936" s="6"/>
      <c r="BT936" s="2"/>
      <c r="BU936" s="2"/>
      <c r="BV936" s="2"/>
      <c r="BW936" s="2"/>
      <c r="BX936" s="2"/>
      <c r="BY936" s="2"/>
      <c r="BZ936" s="2"/>
      <c r="CA936" s="2"/>
      <c r="CB936" s="2"/>
      <c r="CC936" s="2"/>
      <c r="CD936" s="3"/>
      <c r="CE936" s="2"/>
      <c r="CF936" s="4"/>
      <c r="CG936" s="4"/>
      <c r="CI936" s="2"/>
    </row>
    <row r="937" spans="1:87" s="101" customFormat="1" x14ac:dyDescent="0.35">
      <c r="A937" s="1"/>
      <c r="C937" s="1"/>
      <c r="G937" s="2"/>
      <c r="H937" s="2"/>
      <c r="I937" s="2"/>
      <c r="J937" s="2"/>
      <c r="K937" s="81"/>
      <c r="L937" s="4"/>
      <c r="M937" s="4"/>
      <c r="N937" s="4"/>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3"/>
      <c r="AP937" s="2"/>
      <c r="AQ937" s="2"/>
      <c r="AR937" s="2"/>
      <c r="AS937" s="2"/>
      <c r="AT937" s="2"/>
      <c r="AU937" s="2"/>
      <c r="AV937" s="2"/>
      <c r="AW937" s="2"/>
      <c r="AX937" s="2"/>
      <c r="AY937" s="2"/>
      <c r="AZ937" s="5"/>
      <c r="BA937" s="2"/>
      <c r="BD937" s="2"/>
      <c r="BE937" s="2"/>
      <c r="BF937" s="2"/>
      <c r="BG937" s="2"/>
      <c r="BH937" s="2"/>
      <c r="BI937" s="2"/>
      <c r="BJ937" s="2"/>
      <c r="BK937" s="2"/>
      <c r="BM937" s="2"/>
      <c r="BN937" s="2"/>
      <c r="BO937" s="2"/>
      <c r="BP937" s="2"/>
      <c r="BQ937" s="2"/>
      <c r="BR937" s="6"/>
      <c r="BS937" s="6"/>
      <c r="BT937" s="2"/>
      <c r="BU937" s="2"/>
      <c r="BV937" s="2"/>
      <c r="BW937" s="2"/>
      <c r="BX937" s="2"/>
      <c r="BY937" s="2"/>
      <c r="BZ937" s="2"/>
      <c r="CA937" s="2"/>
      <c r="CB937" s="2"/>
      <c r="CC937" s="2"/>
      <c r="CD937" s="3"/>
      <c r="CE937" s="2"/>
      <c r="CF937" s="4"/>
      <c r="CG937" s="4"/>
      <c r="CI937" s="2"/>
    </row>
    <row r="938" spans="1:87" s="101" customFormat="1" x14ac:dyDescent="0.35">
      <c r="A938" s="1"/>
      <c r="C938" s="1"/>
      <c r="G938" s="2"/>
      <c r="H938" s="2"/>
      <c r="I938" s="2"/>
      <c r="J938" s="2"/>
      <c r="K938" s="81"/>
      <c r="L938" s="4"/>
      <c r="M938" s="4"/>
      <c r="N938" s="4"/>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3"/>
      <c r="AP938" s="2"/>
      <c r="AQ938" s="2"/>
      <c r="AR938" s="2"/>
      <c r="AS938" s="2"/>
      <c r="AT938" s="2"/>
      <c r="AU938" s="2"/>
      <c r="AV938" s="2"/>
      <c r="AW938" s="2"/>
      <c r="AX938" s="2"/>
      <c r="AY938" s="2"/>
      <c r="AZ938" s="5"/>
      <c r="BA938" s="2"/>
      <c r="BD938" s="2"/>
      <c r="BE938" s="2"/>
      <c r="BF938" s="2"/>
      <c r="BG938" s="2"/>
      <c r="BH938" s="2"/>
      <c r="BI938" s="2"/>
      <c r="BJ938" s="2"/>
      <c r="BK938" s="2"/>
      <c r="BM938" s="2"/>
      <c r="BN938" s="2"/>
      <c r="BO938" s="2"/>
      <c r="BP938" s="2"/>
      <c r="BQ938" s="2"/>
      <c r="BR938" s="6"/>
      <c r="BS938" s="6"/>
      <c r="BT938" s="2"/>
      <c r="BU938" s="2"/>
      <c r="BV938" s="2"/>
      <c r="BW938" s="2"/>
      <c r="BX938" s="2"/>
      <c r="BY938" s="2"/>
      <c r="BZ938" s="2"/>
      <c r="CA938" s="2"/>
      <c r="CB938" s="2"/>
      <c r="CC938" s="2"/>
      <c r="CD938" s="3"/>
      <c r="CE938" s="2"/>
      <c r="CF938" s="4"/>
      <c r="CG938" s="4"/>
      <c r="CI938" s="2"/>
    </row>
    <row r="939" spans="1:87" s="101" customFormat="1" x14ac:dyDescent="0.35">
      <c r="A939" s="1"/>
      <c r="C939" s="1"/>
      <c r="G939" s="2"/>
      <c r="H939" s="2"/>
      <c r="I939" s="2"/>
      <c r="J939" s="2"/>
      <c r="K939" s="81"/>
      <c r="L939" s="4"/>
      <c r="M939" s="4"/>
      <c r="N939" s="4"/>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3"/>
      <c r="AP939" s="2"/>
      <c r="AQ939" s="2"/>
      <c r="AR939" s="2"/>
      <c r="AS939" s="2"/>
      <c r="AT939" s="2"/>
      <c r="AU939" s="2"/>
      <c r="AV939" s="2"/>
      <c r="AW939" s="2"/>
      <c r="AX939" s="2"/>
      <c r="AY939" s="2"/>
      <c r="AZ939" s="5"/>
      <c r="BA939" s="2"/>
      <c r="BD939" s="2"/>
      <c r="BE939" s="2"/>
      <c r="BF939" s="2"/>
      <c r="BG939" s="2"/>
      <c r="BH939" s="2"/>
      <c r="BI939" s="2"/>
      <c r="BJ939" s="2"/>
      <c r="BK939" s="2"/>
      <c r="BM939" s="2"/>
      <c r="BN939" s="2"/>
      <c r="BO939" s="2"/>
      <c r="BP939" s="2"/>
      <c r="BQ939" s="2"/>
      <c r="BR939" s="6"/>
      <c r="BS939" s="6"/>
      <c r="BT939" s="2"/>
      <c r="BU939" s="2"/>
      <c r="BV939" s="2"/>
      <c r="BW939" s="2"/>
      <c r="BX939" s="2"/>
      <c r="BY939" s="2"/>
      <c r="BZ939" s="2"/>
      <c r="CA939" s="2"/>
      <c r="CB939" s="2"/>
      <c r="CC939" s="2"/>
      <c r="CD939" s="3"/>
      <c r="CE939" s="2"/>
      <c r="CF939" s="4"/>
      <c r="CG939" s="4"/>
      <c r="CI939" s="2"/>
    </row>
    <row r="940" spans="1:87" s="101" customFormat="1" x14ac:dyDescent="0.35">
      <c r="A940" s="1"/>
      <c r="C940" s="1"/>
      <c r="G940" s="2"/>
      <c r="H940" s="2"/>
      <c r="I940" s="2"/>
      <c r="J940" s="2"/>
      <c r="K940" s="81"/>
      <c r="L940" s="4"/>
      <c r="M940" s="4"/>
      <c r="N940" s="4"/>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3"/>
      <c r="AP940" s="2"/>
      <c r="AQ940" s="2"/>
      <c r="AR940" s="2"/>
      <c r="AS940" s="2"/>
      <c r="AT940" s="2"/>
      <c r="AU940" s="2"/>
      <c r="AV940" s="2"/>
      <c r="AW940" s="2"/>
      <c r="AX940" s="2"/>
      <c r="AY940" s="2"/>
      <c r="AZ940" s="5"/>
      <c r="BA940" s="2"/>
      <c r="BD940" s="2"/>
      <c r="BE940" s="2"/>
      <c r="BF940" s="2"/>
      <c r="BG940" s="2"/>
      <c r="BH940" s="2"/>
      <c r="BI940" s="2"/>
      <c r="BJ940" s="2"/>
      <c r="BK940" s="2"/>
      <c r="BM940" s="2"/>
      <c r="BN940" s="2"/>
      <c r="BO940" s="2"/>
      <c r="BP940" s="2"/>
      <c r="BQ940" s="2"/>
      <c r="BR940" s="6"/>
      <c r="BS940" s="6"/>
      <c r="BT940" s="2"/>
      <c r="BU940" s="2"/>
      <c r="BV940" s="2"/>
      <c r="BW940" s="2"/>
      <c r="BX940" s="2"/>
      <c r="BY940" s="2"/>
      <c r="BZ940" s="2"/>
      <c r="CA940" s="2"/>
      <c r="CB940" s="2"/>
      <c r="CC940" s="2"/>
      <c r="CD940" s="3"/>
      <c r="CE940" s="2"/>
      <c r="CF940" s="4"/>
      <c r="CG940" s="4"/>
      <c r="CI940" s="2"/>
    </row>
    <row r="941" spans="1:87" s="101" customFormat="1" x14ac:dyDescent="0.35">
      <c r="A941" s="1"/>
      <c r="C941" s="1"/>
      <c r="G941" s="2"/>
      <c r="H941" s="2"/>
      <c r="I941" s="2"/>
      <c r="J941" s="2"/>
      <c r="K941" s="81"/>
      <c r="L941" s="4"/>
      <c r="M941" s="4"/>
      <c r="N941" s="4"/>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3"/>
      <c r="AP941" s="2"/>
      <c r="AQ941" s="2"/>
      <c r="AR941" s="2"/>
      <c r="AS941" s="2"/>
      <c r="AT941" s="2"/>
      <c r="AU941" s="2"/>
      <c r="AV941" s="2"/>
      <c r="AW941" s="2"/>
      <c r="AX941" s="2"/>
      <c r="AY941" s="2"/>
      <c r="AZ941" s="5"/>
      <c r="BA941" s="2"/>
      <c r="BD941" s="2"/>
      <c r="BE941" s="2"/>
      <c r="BF941" s="2"/>
      <c r="BG941" s="2"/>
      <c r="BH941" s="2"/>
      <c r="BI941" s="2"/>
      <c r="BJ941" s="2"/>
      <c r="BK941" s="2"/>
      <c r="BM941" s="2"/>
      <c r="BN941" s="2"/>
      <c r="BO941" s="2"/>
      <c r="BP941" s="2"/>
      <c r="BQ941" s="2"/>
      <c r="BR941" s="6"/>
      <c r="BS941" s="6"/>
      <c r="BT941" s="2"/>
      <c r="BU941" s="2"/>
      <c r="BV941" s="2"/>
      <c r="BW941" s="2"/>
      <c r="BX941" s="2"/>
      <c r="BY941" s="2"/>
      <c r="BZ941" s="2"/>
      <c r="CA941" s="2"/>
      <c r="CB941" s="2"/>
      <c r="CC941" s="2"/>
      <c r="CD941" s="3"/>
      <c r="CE941" s="2"/>
      <c r="CF941" s="4"/>
      <c r="CG941" s="4"/>
      <c r="CI941" s="2"/>
    </row>
    <row r="942" spans="1:87" s="101" customFormat="1" x14ac:dyDescent="0.35">
      <c r="A942" s="1"/>
      <c r="C942" s="1"/>
      <c r="G942" s="2"/>
      <c r="H942" s="2"/>
      <c r="I942" s="2"/>
      <c r="J942" s="2"/>
      <c r="K942" s="81"/>
      <c r="L942" s="4"/>
      <c r="M942" s="4"/>
      <c r="N942" s="4"/>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3"/>
      <c r="AP942" s="2"/>
      <c r="AQ942" s="2"/>
      <c r="AR942" s="2"/>
      <c r="AS942" s="2"/>
      <c r="AT942" s="2"/>
      <c r="AU942" s="2"/>
      <c r="AV942" s="2"/>
      <c r="AW942" s="2"/>
      <c r="AX942" s="2"/>
      <c r="AY942" s="2"/>
      <c r="AZ942" s="5"/>
      <c r="BA942" s="2"/>
      <c r="BD942" s="2"/>
      <c r="BE942" s="2"/>
      <c r="BF942" s="2"/>
      <c r="BG942" s="2"/>
      <c r="BH942" s="2"/>
      <c r="BI942" s="2"/>
      <c r="BJ942" s="2"/>
      <c r="BK942" s="2"/>
      <c r="BM942" s="2"/>
      <c r="BN942" s="2"/>
      <c r="BO942" s="2"/>
      <c r="BP942" s="2"/>
      <c r="BQ942" s="2"/>
      <c r="BR942" s="6"/>
      <c r="BS942" s="6"/>
      <c r="BT942" s="2"/>
      <c r="BU942" s="2"/>
      <c r="BV942" s="2"/>
      <c r="BW942" s="2"/>
      <c r="BX942" s="2"/>
      <c r="BY942" s="2"/>
      <c r="BZ942" s="2"/>
      <c r="CA942" s="2"/>
      <c r="CB942" s="2"/>
      <c r="CC942" s="2"/>
      <c r="CD942" s="3"/>
      <c r="CE942" s="2"/>
      <c r="CF942" s="4"/>
      <c r="CG942" s="4"/>
      <c r="CI942" s="2"/>
    </row>
    <row r="943" spans="1:87" s="101" customFormat="1" x14ac:dyDescent="0.35">
      <c r="A943" s="1"/>
      <c r="C943" s="1"/>
      <c r="G943" s="2"/>
      <c r="H943" s="2"/>
      <c r="I943" s="2"/>
      <c r="J943" s="2"/>
      <c r="K943" s="81"/>
      <c r="L943" s="4"/>
      <c r="M943" s="4"/>
      <c r="N943" s="4"/>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3"/>
      <c r="AP943" s="2"/>
      <c r="AQ943" s="2"/>
      <c r="AR943" s="2"/>
      <c r="AS943" s="2"/>
      <c r="AT943" s="2"/>
      <c r="AU943" s="2"/>
      <c r="AV943" s="2"/>
      <c r="AW943" s="2"/>
      <c r="AX943" s="2"/>
      <c r="AY943" s="2"/>
      <c r="AZ943" s="5"/>
      <c r="BA943" s="2"/>
      <c r="BD943" s="2"/>
      <c r="BE943" s="2"/>
      <c r="BF943" s="2"/>
      <c r="BG943" s="2"/>
      <c r="BH943" s="2"/>
      <c r="BI943" s="2"/>
      <c r="BJ943" s="2"/>
      <c r="BK943" s="2"/>
      <c r="BM943" s="2"/>
      <c r="BN943" s="2"/>
      <c r="BO943" s="2"/>
      <c r="BP943" s="2"/>
      <c r="BQ943" s="2"/>
      <c r="BR943" s="6"/>
      <c r="BS943" s="6"/>
      <c r="BT943" s="2"/>
      <c r="BU943" s="2"/>
      <c r="BV943" s="2"/>
      <c r="BW943" s="2"/>
      <c r="BX943" s="2"/>
      <c r="BY943" s="2"/>
      <c r="BZ943" s="2"/>
      <c r="CA943" s="2"/>
      <c r="CB943" s="2"/>
      <c r="CC943" s="2"/>
      <c r="CD943" s="3"/>
      <c r="CE943" s="2"/>
      <c r="CF943" s="4"/>
      <c r="CG943" s="4"/>
      <c r="CI943" s="2"/>
    </row>
    <row r="944" spans="1:87" s="101" customFormat="1" x14ac:dyDescent="0.35">
      <c r="A944" s="1"/>
      <c r="C944" s="1"/>
      <c r="G944" s="2"/>
      <c r="H944" s="2"/>
      <c r="I944" s="2"/>
      <c r="J944" s="2"/>
      <c r="K944" s="81"/>
      <c r="L944" s="4"/>
      <c r="M944" s="4"/>
      <c r="N944" s="4"/>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3"/>
      <c r="AP944" s="2"/>
      <c r="AQ944" s="2"/>
      <c r="AR944" s="2"/>
      <c r="AS944" s="2"/>
      <c r="AT944" s="2"/>
      <c r="AU944" s="2"/>
      <c r="AV944" s="2"/>
      <c r="AW944" s="2"/>
      <c r="AX944" s="2"/>
      <c r="AY944" s="2"/>
      <c r="AZ944" s="5"/>
      <c r="BA944" s="2"/>
      <c r="BD944" s="2"/>
      <c r="BE944" s="2"/>
      <c r="BF944" s="2"/>
      <c r="BG944" s="2"/>
      <c r="BH944" s="2"/>
      <c r="BI944" s="2"/>
      <c r="BJ944" s="2"/>
      <c r="BK944" s="2"/>
      <c r="BM944" s="2"/>
      <c r="BN944" s="2"/>
      <c r="BO944" s="2"/>
      <c r="BP944" s="2"/>
      <c r="BQ944" s="2"/>
      <c r="BR944" s="6"/>
      <c r="BS944" s="6"/>
      <c r="BT944" s="2"/>
      <c r="BU944" s="2"/>
      <c r="BV944" s="2"/>
      <c r="BW944" s="2"/>
      <c r="BX944" s="2"/>
      <c r="BY944" s="2"/>
      <c r="BZ944" s="2"/>
      <c r="CA944" s="2"/>
      <c r="CB944" s="2"/>
      <c r="CC944" s="2"/>
      <c r="CD944" s="3"/>
      <c r="CE944" s="2"/>
      <c r="CF944" s="4"/>
      <c r="CG944" s="4"/>
      <c r="CI944" s="2"/>
    </row>
    <row r="945" spans="1:87" s="101" customFormat="1" x14ac:dyDescent="0.35">
      <c r="A945" s="1"/>
      <c r="C945" s="1"/>
      <c r="G945" s="2"/>
      <c r="H945" s="2"/>
      <c r="I945" s="2"/>
      <c r="J945" s="2"/>
      <c r="K945" s="81"/>
      <c r="L945" s="4"/>
      <c r="M945" s="4"/>
      <c r="N945" s="4"/>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3"/>
      <c r="AP945" s="2"/>
      <c r="AQ945" s="2"/>
      <c r="AR945" s="2"/>
      <c r="AS945" s="2"/>
      <c r="AT945" s="2"/>
      <c r="AU945" s="2"/>
      <c r="AV945" s="2"/>
      <c r="AW945" s="2"/>
      <c r="AX945" s="2"/>
      <c r="AY945" s="2"/>
      <c r="AZ945" s="5"/>
      <c r="BA945" s="2"/>
      <c r="BD945" s="2"/>
      <c r="BE945" s="2"/>
      <c r="BF945" s="2"/>
      <c r="BG945" s="2"/>
      <c r="BH945" s="2"/>
      <c r="BI945" s="2"/>
      <c r="BJ945" s="2"/>
      <c r="BK945" s="2"/>
      <c r="BM945" s="2"/>
      <c r="BN945" s="2"/>
      <c r="BO945" s="2"/>
      <c r="BP945" s="2"/>
      <c r="BQ945" s="2"/>
      <c r="BR945" s="6"/>
      <c r="BS945" s="6"/>
      <c r="BT945" s="2"/>
      <c r="BU945" s="2"/>
      <c r="BV945" s="2"/>
      <c r="BW945" s="2"/>
      <c r="BX945" s="2"/>
      <c r="BY945" s="2"/>
      <c r="BZ945" s="2"/>
      <c r="CA945" s="2"/>
      <c r="CB945" s="2"/>
      <c r="CC945" s="2"/>
      <c r="CD945" s="3"/>
      <c r="CE945" s="2"/>
      <c r="CF945" s="4"/>
      <c r="CG945" s="4"/>
      <c r="CI945" s="2"/>
    </row>
    <row r="946" spans="1:87" s="101" customFormat="1" x14ac:dyDescent="0.35">
      <c r="A946" s="1"/>
      <c r="C946" s="1"/>
      <c r="G946" s="2"/>
      <c r="H946" s="2"/>
      <c r="I946" s="2"/>
      <c r="J946" s="2"/>
      <c r="K946" s="81"/>
      <c r="L946" s="4"/>
      <c r="M946" s="4"/>
      <c r="N946" s="4"/>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3"/>
      <c r="AP946" s="2"/>
      <c r="AQ946" s="2"/>
      <c r="AR946" s="2"/>
      <c r="AS946" s="2"/>
      <c r="AT946" s="2"/>
      <c r="AU946" s="2"/>
      <c r="AV946" s="2"/>
      <c r="AW946" s="2"/>
      <c r="AX946" s="2"/>
      <c r="AY946" s="2"/>
      <c r="AZ946" s="5"/>
      <c r="BA946" s="2"/>
      <c r="BD946" s="2"/>
      <c r="BE946" s="2"/>
      <c r="BF946" s="2"/>
      <c r="BG946" s="2"/>
      <c r="BH946" s="2"/>
      <c r="BI946" s="2"/>
      <c r="BJ946" s="2"/>
      <c r="BK946" s="2"/>
      <c r="BM946" s="2"/>
      <c r="BN946" s="2"/>
      <c r="BO946" s="2"/>
      <c r="BP946" s="2"/>
      <c r="BQ946" s="2"/>
      <c r="BR946" s="6"/>
      <c r="BS946" s="6"/>
      <c r="BT946" s="2"/>
      <c r="BU946" s="2"/>
      <c r="BV946" s="2"/>
      <c r="BW946" s="2"/>
      <c r="BX946" s="2"/>
      <c r="BY946" s="2"/>
      <c r="BZ946" s="2"/>
      <c r="CA946" s="2"/>
      <c r="CB946" s="2"/>
      <c r="CC946" s="2"/>
      <c r="CD946" s="3"/>
      <c r="CE946" s="2"/>
      <c r="CF946" s="4"/>
      <c r="CG946" s="4"/>
      <c r="CI946" s="2"/>
    </row>
    <row r="947" spans="1:87" s="101" customFormat="1" x14ac:dyDescent="0.35">
      <c r="A947" s="1"/>
      <c r="C947" s="1"/>
      <c r="G947" s="2"/>
      <c r="H947" s="2"/>
      <c r="I947" s="2"/>
      <c r="J947" s="2"/>
      <c r="K947" s="81"/>
      <c r="L947" s="4"/>
      <c r="M947" s="4"/>
      <c r="N947" s="4"/>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3"/>
      <c r="AP947" s="2"/>
      <c r="AQ947" s="2"/>
      <c r="AR947" s="2"/>
      <c r="AS947" s="2"/>
      <c r="AT947" s="2"/>
      <c r="AU947" s="2"/>
      <c r="AV947" s="2"/>
      <c r="AW947" s="2"/>
      <c r="AX947" s="2"/>
      <c r="AY947" s="2"/>
      <c r="AZ947" s="5"/>
      <c r="BA947" s="2"/>
      <c r="BD947" s="2"/>
      <c r="BE947" s="2"/>
      <c r="BF947" s="2"/>
      <c r="BG947" s="2"/>
      <c r="BH947" s="2"/>
      <c r="BI947" s="2"/>
      <c r="BJ947" s="2"/>
      <c r="BK947" s="2"/>
      <c r="BM947" s="2"/>
      <c r="BN947" s="2"/>
      <c r="BO947" s="2"/>
      <c r="BP947" s="2"/>
      <c r="BQ947" s="2"/>
      <c r="BR947" s="6"/>
      <c r="BS947" s="6"/>
      <c r="BT947" s="2"/>
      <c r="BU947" s="2"/>
      <c r="BV947" s="2"/>
      <c r="BW947" s="2"/>
      <c r="BX947" s="2"/>
      <c r="BY947" s="2"/>
      <c r="BZ947" s="2"/>
      <c r="CA947" s="2"/>
      <c r="CB947" s="2"/>
      <c r="CC947" s="2"/>
      <c r="CD947" s="3"/>
      <c r="CE947" s="2"/>
      <c r="CF947" s="4"/>
      <c r="CG947" s="4"/>
      <c r="CI947" s="2"/>
    </row>
    <row r="948" spans="1:87" s="101" customFormat="1" x14ac:dyDescent="0.35">
      <c r="A948" s="1"/>
      <c r="C948" s="1"/>
      <c r="G948" s="2"/>
      <c r="H948" s="2"/>
      <c r="I948" s="2"/>
      <c r="J948" s="2"/>
      <c r="K948" s="81"/>
      <c r="L948" s="4"/>
      <c r="M948" s="4"/>
      <c r="N948" s="4"/>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3"/>
      <c r="AP948" s="2"/>
      <c r="AQ948" s="2"/>
      <c r="AR948" s="2"/>
      <c r="AS948" s="2"/>
      <c r="AT948" s="2"/>
      <c r="AU948" s="2"/>
      <c r="AV948" s="2"/>
      <c r="AW948" s="2"/>
      <c r="AX948" s="2"/>
      <c r="AY948" s="2"/>
      <c r="AZ948" s="5"/>
      <c r="BA948" s="2"/>
      <c r="BD948" s="2"/>
      <c r="BE948" s="2"/>
      <c r="BF948" s="2"/>
      <c r="BG948" s="2"/>
      <c r="BH948" s="2"/>
      <c r="BI948" s="2"/>
      <c r="BJ948" s="2"/>
      <c r="BK948" s="2"/>
      <c r="BM948" s="2"/>
      <c r="BN948" s="2"/>
      <c r="BO948" s="2"/>
      <c r="BP948" s="2"/>
      <c r="BQ948" s="2"/>
      <c r="BR948" s="6"/>
      <c r="BS948" s="6"/>
      <c r="BT948" s="2"/>
      <c r="BU948" s="2"/>
      <c r="BV948" s="2"/>
      <c r="BW948" s="2"/>
      <c r="BX948" s="2"/>
      <c r="BY948" s="2"/>
      <c r="BZ948" s="2"/>
      <c r="CA948" s="2"/>
      <c r="CB948" s="2"/>
      <c r="CC948" s="2"/>
      <c r="CD948" s="3"/>
      <c r="CE948" s="2"/>
      <c r="CF948" s="4"/>
      <c r="CG948" s="4"/>
      <c r="CI948" s="2"/>
    </row>
    <row r="949" spans="1:87" s="101" customFormat="1" x14ac:dyDescent="0.35">
      <c r="A949" s="1"/>
      <c r="C949" s="1"/>
      <c r="G949" s="2"/>
      <c r="H949" s="2"/>
      <c r="I949" s="2"/>
      <c r="J949" s="2"/>
      <c r="K949" s="81"/>
      <c r="L949" s="4"/>
      <c r="M949" s="4"/>
      <c r="N949" s="4"/>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3"/>
      <c r="AP949" s="2"/>
      <c r="AQ949" s="2"/>
      <c r="AR949" s="2"/>
      <c r="AS949" s="2"/>
      <c r="AT949" s="2"/>
      <c r="AU949" s="2"/>
      <c r="AV949" s="2"/>
      <c r="AW949" s="2"/>
      <c r="AX949" s="2"/>
      <c r="AY949" s="2"/>
      <c r="AZ949" s="5"/>
      <c r="BA949" s="2"/>
      <c r="BD949" s="2"/>
      <c r="BE949" s="2"/>
      <c r="BF949" s="2"/>
      <c r="BG949" s="2"/>
      <c r="BH949" s="2"/>
      <c r="BI949" s="2"/>
      <c r="BJ949" s="2"/>
      <c r="BK949" s="2"/>
      <c r="BM949" s="2"/>
      <c r="BN949" s="2"/>
      <c r="BO949" s="2"/>
      <c r="BP949" s="2"/>
      <c r="BQ949" s="2"/>
      <c r="BR949" s="6"/>
      <c r="BS949" s="6"/>
      <c r="BT949" s="2"/>
      <c r="BU949" s="2"/>
      <c r="BV949" s="2"/>
      <c r="BW949" s="2"/>
      <c r="BX949" s="2"/>
      <c r="BY949" s="2"/>
      <c r="BZ949" s="2"/>
      <c r="CA949" s="2"/>
      <c r="CB949" s="2"/>
      <c r="CC949" s="2"/>
      <c r="CD949" s="3"/>
      <c r="CE949" s="2"/>
      <c r="CF949" s="4"/>
      <c r="CG949" s="4"/>
      <c r="CI949" s="2"/>
    </row>
    <row r="950" spans="1:87" s="101" customFormat="1" x14ac:dyDescent="0.35">
      <c r="A950" s="1"/>
      <c r="C950" s="1"/>
      <c r="G950" s="2"/>
      <c r="H950" s="2"/>
      <c r="I950" s="2"/>
      <c r="J950" s="2"/>
      <c r="K950" s="81"/>
      <c r="L950" s="4"/>
      <c r="M950" s="4"/>
      <c r="N950" s="4"/>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3"/>
      <c r="AP950" s="2"/>
      <c r="AQ950" s="2"/>
      <c r="AR950" s="2"/>
      <c r="AS950" s="2"/>
      <c r="AT950" s="2"/>
      <c r="AU950" s="2"/>
      <c r="AV950" s="2"/>
      <c r="AW950" s="2"/>
      <c r="AX950" s="2"/>
      <c r="AY950" s="2"/>
      <c r="AZ950" s="5"/>
      <c r="BA950" s="2"/>
      <c r="BD950" s="2"/>
      <c r="BE950" s="2"/>
      <c r="BF950" s="2"/>
      <c r="BG950" s="2"/>
      <c r="BH950" s="2"/>
      <c r="BI950" s="2"/>
      <c r="BJ950" s="2"/>
      <c r="BK950" s="2"/>
      <c r="BM950" s="2"/>
      <c r="BN950" s="2"/>
      <c r="BO950" s="2"/>
      <c r="BP950" s="2"/>
      <c r="BQ950" s="2"/>
      <c r="BR950" s="6"/>
      <c r="BS950" s="6"/>
      <c r="BT950" s="2"/>
      <c r="BU950" s="2"/>
      <c r="BV950" s="2"/>
      <c r="BW950" s="2"/>
      <c r="BX950" s="2"/>
      <c r="BY950" s="2"/>
      <c r="BZ950" s="2"/>
      <c r="CA950" s="2"/>
      <c r="CB950" s="2"/>
      <c r="CC950" s="2"/>
      <c r="CD950" s="3"/>
      <c r="CE950" s="2"/>
      <c r="CF950" s="4"/>
      <c r="CG950" s="4"/>
      <c r="CI950" s="2"/>
    </row>
    <row r="951" spans="1:87" s="101" customFormat="1" x14ac:dyDescent="0.35">
      <c r="A951" s="1"/>
      <c r="C951" s="1"/>
      <c r="G951" s="2"/>
      <c r="H951" s="2"/>
      <c r="I951" s="2"/>
      <c r="J951" s="2"/>
      <c r="K951" s="81"/>
      <c r="L951" s="4"/>
      <c r="M951" s="4"/>
      <c r="N951" s="4"/>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3"/>
      <c r="AP951" s="2"/>
      <c r="AQ951" s="2"/>
      <c r="AR951" s="2"/>
      <c r="AS951" s="2"/>
      <c r="AT951" s="2"/>
      <c r="AU951" s="2"/>
      <c r="AV951" s="2"/>
      <c r="AW951" s="2"/>
      <c r="AX951" s="2"/>
      <c r="AY951" s="2"/>
      <c r="AZ951" s="5"/>
      <c r="BA951" s="2"/>
      <c r="BD951" s="2"/>
      <c r="BE951" s="2"/>
      <c r="BF951" s="2"/>
      <c r="BG951" s="2"/>
      <c r="BH951" s="2"/>
      <c r="BI951" s="2"/>
      <c r="BJ951" s="2"/>
      <c r="BK951" s="2"/>
      <c r="BM951" s="2"/>
      <c r="BN951" s="2"/>
      <c r="BO951" s="2"/>
      <c r="BP951" s="2"/>
      <c r="BQ951" s="2"/>
      <c r="BR951" s="6"/>
      <c r="BS951" s="6"/>
      <c r="BT951" s="2"/>
      <c r="BU951" s="2"/>
      <c r="BV951" s="2"/>
      <c r="BW951" s="2"/>
      <c r="BX951" s="2"/>
      <c r="BY951" s="2"/>
      <c r="BZ951" s="2"/>
      <c r="CA951" s="2"/>
      <c r="CB951" s="2"/>
      <c r="CC951" s="2"/>
      <c r="CD951" s="3"/>
      <c r="CE951" s="2"/>
      <c r="CF951" s="4"/>
      <c r="CG951" s="4"/>
      <c r="CI951" s="2"/>
    </row>
    <row r="952" spans="1:87" s="101" customFormat="1" x14ac:dyDescent="0.35">
      <c r="A952" s="1"/>
      <c r="C952" s="1"/>
      <c r="G952" s="2"/>
      <c r="H952" s="2"/>
      <c r="I952" s="2"/>
      <c r="J952" s="2"/>
      <c r="K952" s="81"/>
      <c r="L952" s="4"/>
      <c r="M952" s="4"/>
      <c r="N952" s="4"/>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3"/>
      <c r="AP952" s="2"/>
      <c r="AQ952" s="2"/>
      <c r="AR952" s="2"/>
      <c r="AS952" s="2"/>
      <c r="AT952" s="2"/>
      <c r="AU952" s="2"/>
      <c r="AV952" s="2"/>
      <c r="AW952" s="2"/>
      <c r="AX952" s="2"/>
      <c r="AY952" s="2"/>
      <c r="AZ952" s="5"/>
      <c r="BA952" s="2"/>
      <c r="BD952" s="2"/>
      <c r="BE952" s="2"/>
      <c r="BF952" s="2"/>
      <c r="BG952" s="2"/>
      <c r="BH952" s="2"/>
      <c r="BI952" s="2"/>
      <c r="BJ952" s="2"/>
      <c r="BK952" s="2"/>
      <c r="BM952" s="2"/>
      <c r="BN952" s="2"/>
      <c r="BO952" s="2"/>
      <c r="BP952" s="2"/>
      <c r="BQ952" s="2"/>
      <c r="BR952" s="6"/>
      <c r="BS952" s="6"/>
      <c r="BT952" s="2"/>
      <c r="BU952" s="2"/>
      <c r="BV952" s="2"/>
      <c r="BW952" s="2"/>
      <c r="BX952" s="2"/>
      <c r="BY952" s="2"/>
      <c r="BZ952" s="2"/>
      <c r="CA952" s="2"/>
      <c r="CB952" s="2"/>
      <c r="CC952" s="2"/>
      <c r="CD952" s="3"/>
      <c r="CE952" s="2"/>
      <c r="CF952" s="4"/>
      <c r="CG952" s="4"/>
      <c r="CI952" s="2"/>
    </row>
    <row r="953" spans="1:87" s="101" customFormat="1" x14ac:dyDescent="0.35">
      <c r="A953" s="1"/>
      <c r="C953" s="1"/>
      <c r="G953" s="2"/>
      <c r="H953" s="2"/>
      <c r="I953" s="2"/>
      <c r="J953" s="2"/>
      <c r="K953" s="81"/>
      <c r="L953" s="4"/>
      <c r="M953" s="4"/>
      <c r="N953" s="4"/>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3"/>
      <c r="AP953" s="2"/>
      <c r="AQ953" s="2"/>
      <c r="AR953" s="2"/>
      <c r="AS953" s="2"/>
      <c r="AT953" s="2"/>
      <c r="AU953" s="2"/>
      <c r="AV953" s="2"/>
      <c r="AW953" s="2"/>
      <c r="AX953" s="2"/>
      <c r="AY953" s="2"/>
      <c r="AZ953" s="5"/>
      <c r="BA953" s="2"/>
      <c r="BD953" s="2"/>
      <c r="BE953" s="2"/>
      <c r="BF953" s="2"/>
      <c r="BG953" s="2"/>
      <c r="BH953" s="2"/>
      <c r="BI953" s="2"/>
      <c r="BJ953" s="2"/>
      <c r="BK953" s="2"/>
      <c r="BM953" s="2"/>
      <c r="BN953" s="2"/>
      <c r="BO953" s="2"/>
      <c r="BP953" s="2"/>
      <c r="BQ953" s="2"/>
      <c r="BR953" s="6"/>
      <c r="BS953" s="6"/>
      <c r="BT953" s="2"/>
      <c r="BU953" s="2"/>
      <c r="BV953" s="2"/>
      <c r="BW953" s="2"/>
      <c r="BX953" s="2"/>
      <c r="BY953" s="2"/>
      <c r="BZ953" s="2"/>
      <c r="CA953" s="2"/>
      <c r="CB953" s="2"/>
      <c r="CC953" s="2"/>
      <c r="CD953" s="3"/>
      <c r="CE953" s="2"/>
      <c r="CF953" s="4"/>
      <c r="CG953" s="4"/>
      <c r="CI953" s="2"/>
    </row>
    <row r="954" spans="1:87" s="101" customFormat="1" x14ac:dyDescent="0.35">
      <c r="A954" s="1"/>
      <c r="C954" s="1"/>
      <c r="G954" s="2"/>
      <c r="H954" s="2"/>
      <c r="I954" s="2"/>
      <c r="J954" s="2"/>
      <c r="K954" s="81"/>
      <c r="L954" s="4"/>
      <c r="M954" s="4"/>
      <c r="N954" s="4"/>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3"/>
      <c r="AP954" s="2"/>
      <c r="AQ954" s="2"/>
      <c r="AR954" s="2"/>
      <c r="AS954" s="2"/>
      <c r="AT954" s="2"/>
      <c r="AU954" s="2"/>
      <c r="AV954" s="2"/>
      <c r="AW954" s="2"/>
      <c r="AX954" s="2"/>
      <c r="AY954" s="2"/>
      <c r="AZ954" s="5"/>
      <c r="BA954" s="2"/>
      <c r="BD954" s="2"/>
      <c r="BE954" s="2"/>
      <c r="BF954" s="2"/>
      <c r="BG954" s="2"/>
      <c r="BH954" s="2"/>
      <c r="BI954" s="2"/>
      <c r="BJ954" s="2"/>
      <c r="BK954" s="2"/>
      <c r="BM954" s="2"/>
      <c r="BN954" s="2"/>
      <c r="BO954" s="2"/>
      <c r="BP954" s="2"/>
      <c r="BQ954" s="2"/>
      <c r="BR954" s="6"/>
      <c r="BS954" s="6"/>
      <c r="BT954" s="2"/>
      <c r="BU954" s="2"/>
      <c r="BV954" s="2"/>
      <c r="BW954" s="2"/>
      <c r="BX954" s="2"/>
      <c r="BY954" s="2"/>
      <c r="BZ954" s="2"/>
      <c r="CA954" s="2"/>
      <c r="CB954" s="2"/>
      <c r="CC954" s="2"/>
      <c r="CD954" s="3"/>
      <c r="CE954" s="2"/>
      <c r="CF954" s="4"/>
      <c r="CG954" s="4"/>
      <c r="CI954" s="2"/>
    </row>
    <row r="955" spans="1:87" s="101" customFormat="1" x14ac:dyDescent="0.35">
      <c r="A955" s="1"/>
      <c r="C955" s="1"/>
      <c r="G955" s="2"/>
      <c r="H955" s="2"/>
      <c r="I955" s="2"/>
      <c r="J955" s="2"/>
      <c r="K955" s="81"/>
      <c r="L955" s="4"/>
      <c r="M955" s="4"/>
      <c r="N955" s="4"/>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3"/>
      <c r="AP955" s="2"/>
      <c r="AQ955" s="2"/>
      <c r="AR955" s="2"/>
      <c r="AS955" s="2"/>
      <c r="AT955" s="2"/>
      <c r="AU955" s="2"/>
      <c r="AV955" s="2"/>
      <c r="AW955" s="2"/>
      <c r="AX955" s="2"/>
      <c r="AY955" s="2"/>
      <c r="AZ955" s="5"/>
      <c r="BA955" s="2"/>
      <c r="BD955" s="2"/>
      <c r="BE955" s="2"/>
      <c r="BF955" s="2"/>
      <c r="BG955" s="2"/>
      <c r="BH955" s="2"/>
      <c r="BI955" s="2"/>
      <c r="BJ955" s="2"/>
      <c r="BK955" s="2"/>
      <c r="BM955" s="2"/>
      <c r="BN955" s="2"/>
      <c r="BO955" s="2"/>
      <c r="BP955" s="2"/>
      <c r="BQ955" s="2"/>
      <c r="BR955" s="6"/>
      <c r="BS955" s="6"/>
      <c r="BT955" s="2"/>
      <c r="BU955" s="2"/>
      <c r="BV955" s="2"/>
      <c r="BW955" s="2"/>
      <c r="BX955" s="2"/>
      <c r="BY955" s="2"/>
      <c r="BZ955" s="2"/>
      <c r="CA955" s="2"/>
      <c r="CB955" s="2"/>
      <c r="CC955" s="2"/>
      <c r="CD955" s="3"/>
      <c r="CE955" s="2"/>
      <c r="CF955" s="4"/>
      <c r="CG955" s="4"/>
      <c r="CI955" s="2"/>
    </row>
    <row r="956" spans="1:87" s="101" customFormat="1" x14ac:dyDescent="0.35">
      <c r="A956" s="1"/>
      <c r="C956" s="1"/>
      <c r="G956" s="2"/>
      <c r="H956" s="2"/>
      <c r="I956" s="2"/>
      <c r="J956" s="2"/>
      <c r="K956" s="81"/>
      <c r="L956" s="4"/>
      <c r="M956" s="4"/>
      <c r="N956" s="4"/>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3"/>
      <c r="AP956" s="2"/>
      <c r="AQ956" s="2"/>
      <c r="AR956" s="2"/>
      <c r="AS956" s="2"/>
      <c r="AT956" s="2"/>
      <c r="AU956" s="2"/>
      <c r="AV956" s="2"/>
      <c r="AW956" s="2"/>
      <c r="AX956" s="2"/>
      <c r="AY956" s="2"/>
      <c r="AZ956" s="5"/>
      <c r="BA956" s="2"/>
      <c r="BD956" s="2"/>
      <c r="BE956" s="2"/>
      <c r="BF956" s="2"/>
      <c r="BG956" s="2"/>
      <c r="BH956" s="2"/>
      <c r="BI956" s="2"/>
      <c r="BJ956" s="2"/>
      <c r="BK956" s="2"/>
      <c r="BM956" s="2"/>
      <c r="BN956" s="2"/>
      <c r="BO956" s="2"/>
      <c r="BP956" s="2"/>
      <c r="BQ956" s="2"/>
      <c r="BR956" s="6"/>
      <c r="BS956" s="6"/>
      <c r="BT956" s="2"/>
      <c r="BU956" s="2"/>
      <c r="BV956" s="2"/>
      <c r="BW956" s="2"/>
      <c r="BX956" s="2"/>
      <c r="BY956" s="2"/>
      <c r="BZ956" s="2"/>
      <c r="CA956" s="2"/>
      <c r="CB956" s="2"/>
      <c r="CC956" s="2"/>
      <c r="CD956" s="3"/>
      <c r="CE956" s="2"/>
      <c r="CF956" s="4"/>
      <c r="CG956" s="4"/>
      <c r="CI956" s="2"/>
    </row>
    <row r="957" spans="1:87" s="101" customFormat="1" x14ac:dyDescent="0.35">
      <c r="A957" s="1"/>
      <c r="C957" s="1"/>
      <c r="G957" s="2"/>
      <c r="H957" s="2"/>
      <c r="I957" s="2"/>
      <c r="J957" s="2"/>
      <c r="K957" s="81"/>
      <c r="L957" s="4"/>
      <c r="M957" s="4"/>
      <c r="N957" s="4"/>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3"/>
      <c r="AP957" s="2"/>
      <c r="AQ957" s="2"/>
      <c r="AR957" s="2"/>
      <c r="AS957" s="2"/>
      <c r="AT957" s="2"/>
      <c r="AU957" s="2"/>
      <c r="AV957" s="2"/>
      <c r="AW957" s="2"/>
      <c r="AX957" s="2"/>
      <c r="AY957" s="2"/>
      <c r="AZ957" s="5"/>
      <c r="BA957" s="2"/>
      <c r="BD957" s="2"/>
      <c r="BE957" s="2"/>
      <c r="BF957" s="2"/>
      <c r="BG957" s="2"/>
      <c r="BH957" s="2"/>
      <c r="BI957" s="2"/>
      <c r="BJ957" s="2"/>
      <c r="BK957" s="2"/>
      <c r="BM957" s="2"/>
      <c r="BN957" s="2"/>
      <c r="BO957" s="2"/>
      <c r="BP957" s="2"/>
      <c r="BQ957" s="2"/>
      <c r="BR957" s="6"/>
      <c r="BS957" s="6"/>
      <c r="BT957" s="2"/>
      <c r="BU957" s="2"/>
      <c r="BV957" s="2"/>
      <c r="BW957" s="2"/>
      <c r="BX957" s="2"/>
      <c r="BY957" s="2"/>
      <c r="BZ957" s="2"/>
      <c r="CA957" s="2"/>
      <c r="CB957" s="2"/>
      <c r="CC957" s="2"/>
      <c r="CD957" s="3"/>
      <c r="CE957" s="2"/>
      <c r="CF957" s="4"/>
      <c r="CG957" s="4"/>
      <c r="CI957" s="2"/>
    </row>
    <row r="958" spans="1:87" s="101" customFormat="1" x14ac:dyDescent="0.35">
      <c r="A958" s="1"/>
      <c r="C958" s="1"/>
      <c r="G958" s="2"/>
      <c r="H958" s="2"/>
      <c r="I958" s="2"/>
      <c r="J958" s="2"/>
      <c r="K958" s="81"/>
      <c r="L958" s="4"/>
      <c r="M958" s="4"/>
      <c r="N958" s="4"/>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3"/>
      <c r="AP958" s="2"/>
      <c r="AQ958" s="2"/>
      <c r="AR958" s="2"/>
      <c r="AS958" s="2"/>
      <c r="AT958" s="2"/>
      <c r="AU958" s="2"/>
      <c r="AV958" s="2"/>
      <c r="AW958" s="2"/>
      <c r="AX958" s="2"/>
      <c r="AY958" s="2"/>
      <c r="AZ958" s="5"/>
      <c r="BA958" s="2"/>
      <c r="BD958" s="2"/>
      <c r="BE958" s="2"/>
      <c r="BF958" s="2"/>
      <c r="BG958" s="2"/>
      <c r="BH958" s="2"/>
      <c r="BI958" s="2"/>
      <c r="BJ958" s="2"/>
      <c r="BK958" s="2"/>
      <c r="BM958" s="2"/>
      <c r="BN958" s="2"/>
      <c r="BO958" s="2"/>
      <c r="BP958" s="2"/>
      <c r="BQ958" s="2"/>
      <c r="BR958" s="6"/>
      <c r="BS958" s="6"/>
      <c r="BT958" s="2"/>
      <c r="BU958" s="2"/>
      <c r="BV958" s="2"/>
      <c r="BW958" s="2"/>
      <c r="BX958" s="2"/>
      <c r="BY958" s="2"/>
      <c r="BZ958" s="2"/>
      <c r="CA958" s="2"/>
      <c r="CB958" s="2"/>
      <c r="CC958" s="2"/>
      <c r="CD958" s="3"/>
      <c r="CE958" s="2"/>
      <c r="CF958" s="4"/>
      <c r="CG958" s="4"/>
      <c r="CI958" s="2"/>
    </row>
    <row r="959" spans="1:87" s="101" customFormat="1" x14ac:dyDescent="0.35">
      <c r="A959" s="1"/>
      <c r="C959" s="1"/>
      <c r="G959" s="2"/>
      <c r="H959" s="2"/>
      <c r="I959" s="2"/>
      <c r="J959" s="2"/>
      <c r="K959" s="81"/>
      <c r="L959" s="4"/>
      <c r="M959" s="4"/>
      <c r="N959" s="4"/>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3"/>
      <c r="AP959" s="2"/>
      <c r="AQ959" s="2"/>
      <c r="AR959" s="2"/>
      <c r="AS959" s="2"/>
      <c r="AT959" s="2"/>
      <c r="AU959" s="2"/>
      <c r="AV959" s="2"/>
      <c r="AW959" s="2"/>
      <c r="AX959" s="2"/>
      <c r="AY959" s="2"/>
      <c r="AZ959" s="5"/>
      <c r="BA959" s="2"/>
      <c r="BD959" s="2"/>
      <c r="BE959" s="2"/>
      <c r="BF959" s="2"/>
      <c r="BG959" s="2"/>
      <c r="BH959" s="2"/>
      <c r="BI959" s="2"/>
      <c r="BJ959" s="2"/>
      <c r="BK959" s="2"/>
      <c r="BM959" s="2"/>
      <c r="BN959" s="2"/>
      <c r="BO959" s="2"/>
      <c r="BP959" s="2"/>
      <c r="BQ959" s="2"/>
      <c r="BR959" s="6"/>
      <c r="BS959" s="6"/>
      <c r="BT959" s="2"/>
      <c r="BU959" s="2"/>
      <c r="BV959" s="2"/>
      <c r="BW959" s="2"/>
      <c r="BX959" s="2"/>
      <c r="BY959" s="2"/>
      <c r="BZ959" s="2"/>
      <c r="CA959" s="2"/>
      <c r="CB959" s="2"/>
      <c r="CC959" s="2"/>
      <c r="CD959" s="3"/>
      <c r="CE959" s="2"/>
      <c r="CF959" s="4"/>
      <c r="CG959" s="4"/>
      <c r="CI959" s="2"/>
    </row>
    <row r="960" spans="1:87" s="101" customFormat="1" x14ac:dyDescent="0.35">
      <c r="A960" s="1"/>
      <c r="C960" s="1"/>
      <c r="G960" s="2"/>
      <c r="H960" s="2"/>
      <c r="I960" s="2"/>
      <c r="J960" s="2"/>
      <c r="K960" s="81"/>
      <c r="L960" s="4"/>
      <c r="M960" s="4"/>
      <c r="N960" s="4"/>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3"/>
      <c r="AP960" s="2"/>
      <c r="AQ960" s="2"/>
      <c r="AR960" s="2"/>
      <c r="AS960" s="2"/>
      <c r="AT960" s="2"/>
      <c r="AU960" s="2"/>
      <c r="AV960" s="2"/>
      <c r="AW960" s="2"/>
      <c r="AX960" s="2"/>
      <c r="AY960" s="2"/>
      <c r="AZ960" s="5"/>
      <c r="BA960" s="2"/>
      <c r="BD960" s="2"/>
      <c r="BE960" s="2"/>
      <c r="BF960" s="2"/>
      <c r="BG960" s="2"/>
      <c r="BH960" s="2"/>
      <c r="BI960" s="2"/>
      <c r="BJ960" s="2"/>
      <c r="BK960" s="2"/>
      <c r="BM960" s="2"/>
      <c r="BN960" s="2"/>
      <c r="BO960" s="2"/>
      <c r="BP960" s="2"/>
      <c r="BQ960" s="2"/>
      <c r="BR960" s="6"/>
      <c r="BS960" s="6"/>
      <c r="BT960" s="2"/>
      <c r="BU960" s="2"/>
      <c r="BV960" s="2"/>
      <c r="BW960" s="2"/>
      <c r="BX960" s="2"/>
      <c r="BY960" s="2"/>
      <c r="BZ960" s="2"/>
      <c r="CA960" s="2"/>
      <c r="CB960" s="2"/>
      <c r="CC960" s="2"/>
      <c r="CD960" s="3"/>
      <c r="CE960" s="2"/>
      <c r="CF960" s="4"/>
      <c r="CG960" s="4"/>
      <c r="CI960" s="2"/>
    </row>
    <row r="961" spans="1:87" s="101" customFormat="1" x14ac:dyDescent="0.35">
      <c r="A961" s="1"/>
      <c r="C961" s="1"/>
      <c r="G961" s="2"/>
      <c r="H961" s="2"/>
      <c r="I961" s="2"/>
      <c r="J961" s="2"/>
      <c r="K961" s="81"/>
      <c r="L961" s="4"/>
      <c r="M961" s="4"/>
      <c r="N961" s="4"/>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3"/>
      <c r="AP961" s="2"/>
      <c r="AQ961" s="2"/>
      <c r="AR961" s="2"/>
      <c r="AS961" s="2"/>
      <c r="AT961" s="2"/>
      <c r="AU961" s="2"/>
      <c r="AV961" s="2"/>
      <c r="AW961" s="2"/>
      <c r="AX961" s="2"/>
      <c r="AY961" s="2"/>
      <c r="AZ961" s="5"/>
      <c r="BA961" s="2"/>
      <c r="BD961" s="2"/>
      <c r="BE961" s="2"/>
      <c r="BF961" s="2"/>
      <c r="BG961" s="2"/>
      <c r="BH961" s="2"/>
      <c r="BI961" s="2"/>
      <c r="BJ961" s="2"/>
      <c r="BK961" s="2"/>
      <c r="BM961" s="2"/>
      <c r="BN961" s="2"/>
      <c r="BO961" s="2"/>
      <c r="BP961" s="2"/>
      <c r="BQ961" s="2"/>
      <c r="BR961" s="6"/>
      <c r="BS961" s="6"/>
      <c r="BT961" s="2"/>
      <c r="BU961" s="2"/>
      <c r="BV961" s="2"/>
      <c r="BW961" s="2"/>
      <c r="BX961" s="2"/>
      <c r="BY961" s="2"/>
      <c r="BZ961" s="2"/>
      <c r="CA961" s="2"/>
      <c r="CB961" s="2"/>
      <c r="CC961" s="2"/>
      <c r="CD961" s="3"/>
      <c r="CE961" s="2"/>
      <c r="CF961" s="4"/>
      <c r="CG961" s="4"/>
      <c r="CI961" s="2"/>
    </row>
    <row r="962" spans="1:87" s="101" customFormat="1" x14ac:dyDescent="0.35">
      <c r="A962" s="1"/>
      <c r="C962" s="1"/>
      <c r="G962" s="2"/>
      <c r="H962" s="2"/>
      <c r="I962" s="2"/>
      <c r="J962" s="2"/>
      <c r="K962" s="81"/>
      <c r="L962" s="4"/>
      <c r="M962" s="4"/>
      <c r="N962" s="4"/>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3"/>
      <c r="AP962" s="2"/>
      <c r="AQ962" s="2"/>
      <c r="AR962" s="2"/>
      <c r="AS962" s="2"/>
      <c r="AT962" s="2"/>
      <c r="AU962" s="2"/>
      <c r="AV962" s="2"/>
      <c r="AW962" s="2"/>
      <c r="AX962" s="2"/>
      <c r="AY962" s="2"/>
      <c r="AZ962" s="5"/>
      <c r="BA962" s="2"/>
      <c r="BD962" s="2"/>
      <c r="BE962" s="2"/>
      <c r="BF962" s="2"/>
      <c r="BG962" s="2"/>
      <c r="BH962" s="2"/>
      <c r="BI962" s="2"/>
      <c r="BJ962" s="2"/>
      <c r="BK962" s="2"/>
      <c r="BM962" s="2"/>
      <c r="BN962" s="2"/>
      <c r="BO962" s="2"/>
      <c r="BP962" s="2"/>
      <c r="BQ962" s="2"/>
      <c r="BR962" s="6"/>
      <c r="BS962" s="6"/>
      <c r="BT962" s="2"/>
      <c r="BU962" s="2"/>
      <c r="BV962" s="2"/>
      <c r="BW962" s="2"/>
      <c r="BX962" s="2"/>
      <c r="BY962" s="2"/>
      <c r="BZ962" s="2"/>
      <c r="CA962" s="2"/>
      <c r="CB962" s="2"/>
      <c r="CC962" s="2"/>
      <c r="CD962" s="3"/>
      <c r="CE962" s="2"/>
      <c r="CF962" s="4"/>
      <c r="CG962" s="4"/>
      <c r="CI962" s="2"/>
    </row>
    <row r="963" spans="1:87" s="101" customFormat="1" x14ac:dyDescent="0.35">
      <c r="A963" s="1"/>
      <c r="C963" s="1"/>
      <c r="G963" s="2"/>
      <c r="H963" s="2"/>
      <c r="I963" s="2"/>
      <c r="J963" s="2"/>
      <c r="K963" s="81"/>
      <c r="L963" s="4"/>
      <c r="M963" s="4"/>
      <c r="N963" s="4"/>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3"/>
      <c r="AP963" s="2"/>
      <c r="AQ963" s="2"/>
      <c r="AR963" s="2"/>
      <c r="AS963" s="2"/>
      <c r="AT963" s="2"/>
      <c r="AU963" s="2"/>
      <c r="AV963" s="2"/>
      <c r="AW963" s="2"/>
      <c r="AX963" s="2"/>
      <c r="AY963" s="2"/>
      <c r="AZ963" s="5"/>
      <c r="BA963" s="2"/>
      <c r="BD963" s="2"/>
      <c r="BE963" s="2"/>
      <c r="BF963" s="2"/>
      <c r="BG963" s="2"/>
      <c r="BH963" s="2"/>
      <c r="BI963" s="2"/>
      <c r="BJ963" s="2"/>
      <c r="BK963" s="2"/>
      <c r="BM963" s="2"/>
      <c r="BN963" s="2"/>
      <c r="BO963" s="2"/>
      <c r="BP963" s="2"/>
      <c r="BQ963" s="2"/>
      <c r="BR963" s="6"/>
      <c r="BS963" s="6"/>
      <c r="BT963" s="2"/>
      <c r="BU963" s="2"/>
      <c r="BV963" s="2"/>
      <c r="BW963" s="2"/>
      <c r="BX963" s="2"/>
      <c r="BY963" s="2"/>
      <c r="BZ963" s="2"/>
      <c r="CA963" s="2"/>
      <c r="CB963" s="2"/>
      <c r="CC963" s="2"/>
      <c r="CD963" s="3"/>
      <c r="CE963" s="2"/>
      <c r="CF963" s="4"/>
      <c r="CG963" s="4"/>
      <c r="CI963" s="2"/>
    </row>
    <row r="964" spans="1:87" s="101" customFormat="1" x14ac:dyDescent="0.35">
      <c r="A964" s="1"/>
      <c r="C964" s="1"/>
      <c r="G964" s="2"/>
      <c r="H964" s="2"/>
      <c r="I964" s="2"/>
      <c r="J964" s="2"/>
      <c r="K964" s="81"/>
      <c r="L964" s="4"/>
      <c r="M964" s="4"/>
      <c r="N964" s="4"/>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3"/>
      <c r="AP964" s="2"/>
      <c r="AQ964" s="2"/>
      <c r="AR964" s="2"/>
      <c r="AS964" s="2"/>
      <c r="AT964" s="2"/>
      <c r="AU964" s="2"/>
      <c r="AV964" s="2"/>
      <c r="AW964" s="2"/>
      <c r="AX964" s="2"/>
      <c r="AY964" s="2"/>
      <c r="AZ964" s="5"/>
      <c r="BA964" s="2"/>
      <c r="BD964" s="2"/>
      <c r="BE964" s="2"/>
      <c r="BF964" s="2"/>
      <c r="BG964" s="2"/>
      <c r="BH964" s="2"/>
      <c r="BI964" s="2"/>
      <c r="BJ964" s="2"/>
      <c r="BK964" s="2"/>
      <c r="BM964" s="2"/>
      <c r="BN964" s="2"/>
      <c r="BO964" s="2"/>
      <c r="BP964" s="2"/>
      <c r="BQ964" s="2"/>
      <c r="BR964" s="6"/>
      <c r="BS964" s="6"/>
      <c r="BT964" s="2"/>
      <c r="BU964" s="2"/>
      <c r="BV964" s="2"/>
      <c r="BW964" s="2"/>
      <c r="BX964" s="2"/>
      <c r="BY964" s="2"/>
      <c r="BZ964" s="2"/>
      <c r="CA964" s="2"/>
      <c r="CB964" s="2"/>
      <c r="CC964" s="2"/>
      <c r="CD964" s="3"/>
      <c r="CE964" s="2"/>
      <c r="CF964" s="4"/>
      <c r="CG964" s="4"/>
      <c r="CI964" s="2"/>
    </row>
    <row r="965" spans="1:87" s="101" customFormat="1" x14ac:dyDescent="0.35">
      <c r="A965" s="1"/>
      <c r="C965" s="1"/>
      <c r="G965" s="2"/>
      <c r="H965" s="2"/>
      <c r="I965" s="2"/>
      <c r="J965" s="2"/>
      <c r="K965" s="81"/>
      <c r="L965" s="4"/>
      <c r="M965" s="4"/>
      <c r="N965" s="4"/>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3"/>
      <c r="AP965" s="2"/>
      <c r="AQ965" s="2"/>
      <c r="AR965" s="2"/>
      <c r="AS965" s="2"/>
      <c r="AT965" s="2"/>
      <c r="AU965" s="2"/>
      <c r="AV965" s="2"/>
      <c r="AW965" s="2"/>
      <c r="AX965" s="2"/>
      <c r="AY965" s="2"/>
      <c r="AZ965" s="5"/>
      <c r="BA965" s="2"/>
      <c r="BD965" s="2"/>
      <c r="BE965" s="2"/>
      <c r="BF965" s="2"/>
      <c r="BG965" s="2"/>
      <c r="BH965" s="2"/>
      <c r="BI965" s="2"/>
      <c r="BJ965" s="2"/>
      <c r="BK965" s="2"/>
      <c r="BM965" s="2"/>
      <c r="BN965" s="2"/>
      <c r="BO965" s="2"/>
      <c r="BP965" s="2"/>
      <c r="BQ965" s="2"/>
      <c r="BR965" s="6"/>
      <c r="BS965" s="6"/>
      <c r="BT965" s="2"/>
      <c r="BU965" s="2"/>
      <c r="BV965" s="2"/>
      <c r="BW965" s="2"/>
      <c r="BX965" s="2"/>
      <c r="BY965" s="2"/>
      <c r="BZ965" s="2"/>
      <c r="CA965" s="2"/>
      <c r="CB965" s="2"/>
      <c r="CC965" s="2"/>
      <c r="CD965" s="3"/>
      <c r="CE965" s="2"/>
      <c r="CF965" s="4"/>
      <c r="CG965" s="4"/>
      <c r="CI965" s="2"/>
    </row>
    <row r="966" spans="1:87" s="101" customFormat="1" x14ac:dyDescent="0.35">
      <c r="A966" s="1"/>
      <c r="C966" s="1"/>
      <c r="G966" s="2"/>
      <c r="H966" s="2"/>
      <c r="I966" s="2"/>
      <c r="J966" s="2"/>
      <c r="K966" s="81"/>
      <c r="L966" s="4"/>
      <c r="M966" s="4"/>
      <c r="N966" s="4"/>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3"/>
      <c r="AP966" s="2"/>
      <c r="AQ966" s="2"/>
      <c r="AR966" s="2"/>
      <c r="AS966" s="2"/>
      <c r="AT966" s="2"/>
      <c r="AU966" s="2"/>
      <c r="AV966" s="2"/>
      <c r="AW966" s="2"/>
      <c r="AX966" s="2"/>
      <c r="AY966" s="2"/>
      <c r="AZ966" s="5"/>
      <c r="BA966" s="2"/>
      <c r="BD966" s="2"/>
      <c r="BE966" s="2"/>
      <c r="BF966" s="2"/>
      <c r="BG966" s="2"/>
      <c r="BH966" s="2"/>
      <c r="BI966" s="2"/>
      <c r="BJ966" s="2"/>
      <c r="BK966" s="2"/>
      <c r="BM966" s="2"/>
      <c r="BN966" s="2"/>
      <c r="BO966" s="2"/>
      <c r="BP966" s="2"/>
      <c r="BQ966" s="2"/>
      <c r="BR966" s="6"/>
      <c r="BS966" s="6"/>
      <c r="BT966" s="2"/>
      <c r="BU966" s="2"/>
      <c r="BV966" s="2"/>
      <c r="BW966" s="2"/>
      <c r="BX966" s="2"/>
      <c r="BY966" s="2"/>
      <c r="BZ966" s="2"/>
      <c r="CA966" s="2"/>
      <c r="CB966" s="2"/>
      <c r="CC966" s="2"/>
      <c r="CD966" s="3"/>
      <c r="CE966" s="2"/>
      <c r="CF966" s="4"/>
      <c r="CG966" s="4"/>
      <c r="CI966" s="2"/>
    </row>
    <row r="967" spans="1:87" s="101" customFormat="1" x14ac:dyDescent="0.35">
      <c r="A967" s="1"/>
      <c r="C967" s="1"/>
      <c r="G967" s="2"/>
      <c r="H967" s="2"/>
      <c r="I967" s="2"/>
      <c r="J967" s="2"/>
      <c r="K967" s="81"/>
      <c r="L967" s="4"/>
      <c r="M967" s="4"/>
      <c r="N967" s="4"/>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3"/>
      <c r="AP967" s="2"/>
      <c r="AQ967" s="2"/>
      <c r="AR967" s="2"/>
      <c r="AS967" s="2"/>
      <c r="AT967" s="2"/>
      <c r="AU967" s="2"/>
      <c r="AV967" s="2"/>
      <c r="AW967" s="2"/>
      <c r="AX967" s="2"/>
      <c r="AY967" s="2"/>
      <c r="AZ967" s="5"/>
      <c r="BA967" s="2"/>
      <c r="BD967" s="2"/>
      <c r="BE967" s="2"/>
      <c r="BF967" s="2"/>
      <c r="BG967" s="2"/>
      <c r="BH967" s="2"/>
      <c r="BI967" s="2"/>
      <c r="BJ967" s="2"/>
      <c r="BK967" s="2"/>
      <c r="BM967" s="2"/>
      <c r="BN967" s="2"/>
      <c r="BO967" s="2"/>
      <c r="BP967" s="2"/>
      <c r="BQ967" s="2"/>
      <c r="BR967" s="6"/>
      <c r="BS967" s="6"/>
      <c r="BT967" s="2"/>
      <c r="BU967" s="2"/>
      <c r="BV967" s="2"/>
      <c r="BW967" s="2"/>
      <c r="BX967" s="2"/>
      <c r="BY967" s="2"/>
      <c r="BZ967" s="2"/>
      <c r="CA967" s="2"/>
      <c r="CB967" s="2"/>
      <c r="CC967" s="2"/>
      <c r="CD967" s="3"/>
      <c r="CE967" s="2"/>
      <c r="CF967" s="4"/>
      <c r="CG967" s="4"/>
      <c r="CI967" s="2"/>
    </row>
    <row r="968" spans="1:87" s="101" customFormat="1" x14ac:dyDescent="0.35">
      <c r="A968" s="1"/>
      <c r="C968" s="1"/>
      <c r="G968" s="2"/>
      <c r="H968" s="2"/>
      <c r="I968" s="2"/>
      <c r="J968" s="2"/>
      <c r="K968" s="81"/>
      <c r="L968" s="4"/>
      <c r="M968" s="4"/>
      <c r="N968" s="4"/>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3"/>
      <c r="AP968" s="2"/>
      <c r="AQ968" s="2"/>
      <c r="AR968" s="2"/>
      <c r="AS968" s="2"/>
      <c r="AT968" s="2"/>
      <c r="AU968" s="2"/>
      <c r="AV968" s="2"/>
      <c r="AW968" s="2"/>
      <c r="AX968" s="2"/>
      <c r="AY968" s="2"/>
      <c r="AZ968" s="5"/>
      <c r="BA968" s="2"/>
      <c r="BD968" s="2"/>
      <c r="BE968" s="2"/>
      <c r="BF968" s="2"/>
      <c r="BG968" s="2"/>
      <c r="BH968" s="2"/>
      <c r="BI968" s="2"/>
      <c r="BJ968" s="2"/>
      <c r="BK968" s="2"/>
      <c r="BM968" s="2"/>
      <c r="BN968" s="2"/>
      <c r="BO968" s="2"/>
      <c r="BP968" s="2"/>
      <c r="BQ968" s="2"/>
      <c r="BR968" s="6"/>
      <c r="BS968" s="6"/>
      <c r="BT968" s="2"/>
      <c r="BU968" s="2"/>
      <c r="BV968" s="2"/>
      <c r="BW968" s="2"/>
      <c r="BX968" s="2"/>
      <c r="BY968" s="2"/>
      <c r="BZ968" s="2"/>
      <c r="CA968" s="2"/>
      <c r="CB968" s="2"/>
      <c r="CC968" s="2"/>
      <c r="CD968" s="3"/>
      <c r="CE968" s="2"/>
      <c r="CF968" s="4"/>
      <c r="CG968" s="4"/>
      <c r="CI968" s="2"/>
    </row>
    <row r="969" spans="1:87" s="101" customFormat="1" x14ac:dyDescent="0.35">
      <c r="A969" s="1"/>
      <c r="C969" s="1"/>
      <c r="G969" s="2"/>
      <c r="H969" s="2"/>
      <c r="I969" s="2"/>
      <c r="J969" s="2"/>
      <c r="K969" s="81"/>
      <c r="L969" s="4"/>
      <c r="M969" s="4"/>
      <c r="N969" s="4"/>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3"/>
      <c r="AP969" s="2"/>
      <c r="AQ969" s="2"/>
      <c r="AR969" s="2"/>
      <c r="AS969" s="2"/>
      <c r="AT969" s="2"/>
      <c r="AU969" s="2"/>
      <c r="AV969" s="2"/>
      <c r="AW969" s="2"/>
      <c r="AX969" s="2"/>
      <c r="AY969" s="2"/>
      <c r="AZ969" s="5"/>
      <c r="BA969" s="2"/>
      <c r="BD969" s="2"/>
      <c r="BE969" s="2"/>
      <c r="BF969" s="2"/>
      <c r="BG969" s="2"/>
      <c r="BH969" s="2"/>
      <c r="BI969" s="2"/>
      <c r="BJ969" s="2"/>
      <c r="BK969" s="2"/>
      <c r="BM969" s="2"/>
      <c r="BN969" s="2"/>
      <c r="BO969" s="2"/>
      <c r="BP969" s="2"/>
      <c r="BQ969" s="2"/>
      <c r="BR969" s="6"/>
      <c r="BS969" s="6"/>
      <c r="BT969" s="2"/>
      <c r="BU969" s="2"/>
      <c r="BV969" s="2"/>
      <c r="BW969" s="2"/>
      <c r="BX969" s="2"/>
      <c r="BY969" s="2"/>
      <c r="BZ969" s="2"/>
      <c r="CA969" s="2"/>
      <c r="CB969" s="2"/>
      <c r="CC969" s="2"/>
      <c r="CD969" s="3"/>
      <c r="CE969" s="2"/>
      <c r="CF969" s="4"/>
      <c r="CG969" s="4"/>
      <c r="CI969" s="2"/>
    </row>
    <row r="970" spans="1:87" s="101" customFormat="1" x14ac:dyDescent="0.35">
      <c r="A970" s="1"/>
      <c r="C970" s="1"/>
      <c r="G970" s="2"/>
      <c r="H970" s="2"/>
      <c r="I970" s="2"/>
      <c r="J970" s="2"/>
      <c r="K970" s="81"/>
      <c r="L970" s="4"/>
      <c r="M970" s="4"/>
      <c r="N970" s="4"/>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3"/>
      <c r="AP970" s="2"/>
      <c r="AQ970" s="2"/>
      <c r="AR970" s="2"/>
      <c r="AS970" s="2"/>
      <c r="AT970" s="2"/>
      <c r="AU970" s="2"/>
      <c r="AV970" s="2"/>
      <c r="AW970" s="2"/>
      <c r="AX970" s="2"/>
      <c r="AY970" s="2"/>
      <c r="AZ970" s="5"/>
      <c r="BA970" s="2"/>
      <c r="BD970" s="2"/>
      <c r="BE970" s="2"/>
      <c r="BF970" s="2"/>
      <c r="BG970" s="2"/>
      <c r="BH970" s="2"/>
      <c r="BI970" s="2"/>
      <c r="BJ970" s="2"/>
      <c r="BK970" s="2"/>
      <c r="BM970" s="2"/>
      <c r="BN970" s="2"/>
      <c r="BO970" s="2"/>
      <c r="BP970" s="2"/>
      <c r="BQ970" s="2"/>
      <c r="BR970" s="6"/>
      <c r="BS970" s="6"/>
      <c r="BT970" s="2"/>
      <c r="BU970" s="2"/>
      <c r="BV970" s="2"/>
      <c r="BW970" s="2"/>
      <c r="BX970" s="2"/>
      <c r="BY970" s="2"/>
      <c r="BZ970" s="2"/>
      <c r="CA970" s="2"/>
      <c r="CB970" s="2"/>
      <c r="CC970" s="2"/>
      <c r="CD970" s="3"/>
      <c r="CE970" s="2"/>
      <c r="CF970" s="4"/>
      <c r="CG970" s="4"/>
      <c r="CI970" s="2"/>
    </row>
    <row r="971" spans="1:87" s="101" customFormat="1" x14ac:dyDescent="0.35">
      <c r="A971" s="1"/>
      <c r="C971" s="1"/>
      <c r="G971" s="2"/>
      <c r="H971" s="2"/>
      <c r="I971" s="2"/>
      <c r="J971" s="2"/>
      <c r="K971" s="81"/>
      <c r="L971" s="4"/>
      <c r="M971" s="4"/>
      <c r="N971" s="4"/>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3"/>
      <c r="AP971" s="2"/>
      <c r="AQ971" s="2"/>
      <c r="AR971" s="2"/>
      <c r="AS971" s="2"/>
      <c r="AT971" s="2"/>
      <c r="AU971" s="2"/>
      <c r="AV971" s="2"/>
      <c r="AW971" s="2"/>
      <c r="AX971" s="2"/>
      <c r="AY971" s="2"/>
      <c r="AZ971" s="5"/>
      <c r="BA971" s="2"/>
      <c r="BD971" s="2"/>
      <c r="BE971" s="2"/>
      <c r="BF971" s="2"/>
      <c r="BG971" s="2"/>
      <c r="BH971" s="2"/>
      <c r="BI971" s="2"/>
      <c r="BJ971" s="2"/>
      <c r="BK971" s="2"/>
      <c r="BM971" s="2"/>
      <c r="BN971" s="2"/>
      <c r="BO971" s="2"/>
      <c r="BP971" s="2"/>
      <c r="BQ971" s="2"/>
      <c r="BR971" s="6"/>
      <c r="BS971" s="6"/>
      <c r="BT971" s="2"/>
      <c r="BU971" s="2"/>
      <c r="BV971" s="2"/>
      <c r="BW971" s="2"/>
      <c r="BX971" s="2"/>
      <c r="BY971" s="2"/>
      <c r="BZ971" s="2"/>
      <c r="CA971" s="2"/>
      <c r="CB971" s="2"/>
      <c r="CC971" s="2"/>
      <c r="CD971" s="3"/>
      <c r="CE971" s="2"/>
      <c r="CF971" s="4"/>
      <c r="CG971" s="4"/>
      <c r="CI971" s="2"/>
    </row>
    <row r="972" spans="1:87" s="101" customFormat="1" x14ac:dyDescent="0.35">
      <c r="A972" s="1"/>
      <c r="C972" s="1"/>
      <c r="G972" s="2"/>
      <c r="H972" s="2"/>
      <c r="I972" s="2"/>
      <c r="J972" s="2"/>
      <c r="K972" s="81"/>
      <c r="L972" s="4"/>
      <c r="M972" s="4"/>
      <c r="N972" s="4"/>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3"/>
      <c r="AP972" s="2"/>
      <c r="AQ972" s="2"/>
      <c r="AR972" s="2"/>
      <c r="AS972" s="2"/>
      <c r="AT972" s="2"/>
      <c r="AU972" s="2"/>
      <c r="AV972" s="2"/>
      <c r="AW972" s="2"/>
      <c r="AX972" s="2"/>
      <c r="AY972" s="2"/>
      <c r="AZ972" s="5"/>
      <c r="BA972" s="2"/>
      <c r="BD972" s="2"/>
      <c r="BE972" s="2"/>
      <c r="BF972" s="2"/>
      <c r="BG972" s="2"/>
      <c r="BH972" s="2"/>
      <c r="BI972" s="2"/>
      <c r="BJ972" s="2"/>
      <c r="BK972" s="2"/>
      <c r="BM972" s="2"/>
      <c r="BN972" s="2"/>
      <c r="BO972" s="2"/>
      <c r="BP972" s="2"/>
      <c r="BQ972" s="2"/>
      <c r="BR972" s="6"/>
      <c r="BS972" s="6"/>
      <c r="BT972" s="2"/>
      <c r="BU972" s="2"/>
      <c r="BV972" s="2"/>
      <c r="BW972" s="2"/>
      <c r="BX972" s="2"/>
      <c r="BY972" s="2"/>
      <c r="BZ972" s="2"/>
      <c r="CA972" s="2"/>
      <c r="CB972" s="2"/>
      <c r="CC972" s="2"/>
      <c r="CD972" s="3"/>
      <c r="CE972" s="2"/>
      <c r="CF972" s="4"/>
      <c r="CG972" s="4"/>
      <c r="CI972" s="2"/>
    </row>
    <row r="973" spans="1:87" s="101" customFormat="1" x14ac:dyDescent="0.35">
      <c r="A973" s="1"/>
      <c r="C973" s="1"/>
      <c r="G973" s="2"/>
      <c r="H973" s="2"/>
      <c r="I973" s="2"/>
      <c r="J973" s="2"/>
      <c r="K973" s="81"/>
      <c r="L973" s="4"/>
      <c r="M973" s="4"/>
      <c r="N973" s="4"/>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3"/>
      <c r="AP973" s="2"/>
      <c r="AQ973" s="2"/>
      <c r="AR973" s="2"/>
      <c r="AS973" s="2"/>
      <c r="AT973" s="2"/>
      <c r="AU973" s="2"/>
      <c r="AV973" s="2"/>
      <c r="AW973" s="2"/>
      <c r="AX973" s="2"/>
      <c r="AY973" s="2"/>
      <c r="AZ973" s="5"/>
      <c r="BA973" s="2"/>
      <c r="BD973" s="2"/>
      <c r="BE973" s="2"/>
      <c r="BF973" s="2"/>
      <c r="BG973" s="2"/>
      <c r="BH973" s="2"/>
      <c r="BI973" s="2"/>
      <c r="BJ973" s="2"/>
      <c r="BK973" s="2"/>
      <c r="BM973" s="2"/>
      <c r="BN973" s="2"/>
      <c r="BO973" s="2"/>
      <c r="BP973" s="2"/>
      <c r="BQ973" s="2"/>
      <c r="BR973" s="6"/>
      <c r="BS973" s="6"/>
      <c r="BT973" s="2"/>
      <c r="BU973" s="2"/>
      <c r="BV973" s="2"/>
      <c r="BW973" s="2"/>
      <c r="BX973" s="2"/>
      <c r="BY973" s="2"/>
      <c r="BZ973" s="2"/>
      <c r="CA973" s="2"/>
      <c r="CB973" s="2"/>
      <c r="CC973" s="2"/>
      <c r="CD973" s="3"/>
      <c r="CE973" s="2"/>
      <c r="CF973" s="4"/>
      <c r="CG973" s="4"/>
      <c r="CI973" s="2"/>
    </row>
    <row r="974" spans="1:87" s="101" customFormat="1" x14ac:dyDescent="0.35">
      <c r="A974" s="1"/>
      <c r="C974" s="1"/>
      <c r="G974" s="2"/>
      <c r="H974" s="2"/>
      <c r="I974" s="2"/>
      <c r="J974" s="2"/>
      <c r="K974" s="81"/>
      <c r="L974" s="4"/>
      <c r="M974" s="4"/>
      <c r="N974" s="4"/>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3"/>
      <c r="AP974" s="2"/>
      <c r="AQ974" s="2"/>
      <c r="AR974" s="2"/>
      <c r="AS974" s="2"/>
      <c r="AT974" s="2"/>
      <c r="AU974" s="2"/>
      <c r="AV974" s="2"/>
      <c r="AW974" s="2"/>
      <c r="AX974" s="2"/>
      <c r="AY974" s="2"/>
      <c r="AZ974" s="5"/>
      <c r="BA974" s="2"/>
      <c r="BD974" s="2"/>
      <c r="BE974" s="2"/>
      <c r="BF974" s="2"/>
      <c r="BG974" s="2"/>
      <c r="BH974" s="2"/>
      <c r="BI974" s="2"/>
      <c r="BJ974" s="2"/>
      <c r="BK974" s="2"/>
      <c r="BM974" s="2"/>
      <c r="BN974" s="2"/>
      <c r="BO974" s="2"/>
      <c r="BP974" s="2"/>
      <c r="BQ974" s="2"/>
      <c r="BR974" s="6"/>
      <c r="BS974" s="6"/>
      <c r="BT974" s="2"/>
      <c r="BU974" s="2"/>
      <c r="BV974" s="2"/>
      <c r="BW974" s="2"/>
      <c r="BX974" s="2"/>
      <c r="BY974" s="2"/>
      <c r="BZ974" s="2"/>
      <c r="CA974" s="2"/>
      <c r="CB974" s="2"/>
      <c r="CC974" s="2"/>
      <c r="CD974" s="3"/>
      <c r="CE974" s="2"/>
      <c r="CF974" s="4"/>
      <c r="CG974" s="4"/>
      <c r="CI974" s="2"/>
    </row>
    <row r="975" spans="1:87" s="101" customFormat="1" x14ac:dyDescent="0.35">
      <c r="A975" s="1"/>
      <c r="C975" s="1"/>
      <c r="G975" s="2"/>
      <c r="H975" s="2"/>
      <c r="I975" s="2"/>
      <c r="J975" s="2"/>
      <c r="K975" s="81"/>
      <c r="L975" s="4"/>
      <c r="M975" s="4"/>
      <c r="N975" s="4"/>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3"/>
      <c r="AP975" s="2"/>
      <c r="AQ975" s="2"/>
      <c r="AR975" s="2"/>
      <c r="AS975" s="2"/>
      <c r="AT975" s="2"/>
      <c r="AU975" s="2"/>
      <c r="AV975" s="2"/>
      <c r="AW975" s="2"/>
      <c r="AX975" s="2"/>
      <c r="AY975" s="2"/>
      <c r="AZ975" s="5"/>
      <c r="BA975" s="2"/>
      <c r="BD975" s="2"/>
      <c r="BE975" s="2"/>
      <c r="BF975" s="2"/>
      <c r="BG975" s="2"/>
      <c r="BH975" s="2"/>
      <c r="BI975" s="2"/>
      <c r="BJ975" s="2"/>
      <c r="BK975" s="2"/>
      <c r="BM975" s="2"/>
      <c r="BN975" s="2"/>
      <c r="BO975" s="2"/>
      <c r="BP975" s="2"/>
      <c r="BQ975" s="2"/>
      <c r="BR975" s="6"/>
      <c r="BS975" s="6"/>
      <c r="BT975" s="2"/>
      <c r="BU975" s="2"/>
      <c r="BV975" s="2"/>
      <c r="BW975" s="2"/>
      <c r="BX975" s="2"/>
      <c r="BY975" s="2"/>
      <c r="BZ975" s="2"/>
      <c r="CA975" s="2"/>
      <c r="CB975" s="2"/>
      <c r="CC975" s="2"/>
      <c r="CD975" s="3"/>
      <c r="CE975" s="2"/>
      <c r="CF975" s="4"/>
      <c r="CG975" s="4"/>
      <c r="CI975" s="2"/>
    </row>
    <row r="976" spans="1:87" s="101" customFormat="1" x14ac:dyDescent="0.35">
      <c r="A976" s="1"/>
      <c r="C976" s="1"/>
      <c r="G976" s="2"/>
      <c r="H976" s="2"/>
      <c r="I976" s="2"/>
      <c r="J976" s="2"/>
      <c r="K976" s="81"/>
      <c r="L976" s="4"/>
      <c r="M976" s="4"/>
      <c r="N976" s="4"/>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3"/>
      <c r="AP976" s="2"/>
      <c r="AQ976" s="2"/>
      <c r="AR976" s="2"/>
      <c r="AS976" s="2"/>
      <c r="AT976" s="2"/>
      <c r="AU976" s="2"/>
      <c r="AV976" s="2"/>
      <c r="AW976" s="2"/>
      <c r="AX976" s="2"/>
      <c r="AY976" s="2"/>
      <c r="AZ976" s="5"/>
      <c r="BA976" s="2"/>
      <c r="BD976" s="2"/>
      <c r="BE976" s="2"/>
      <c r="BF976" s="2"/>
      <c r="BG976" s="2"/>
      <c r="BH976" s="2"/>
      <c r="BI976" s="2"/>
      <c r="BJ976" s="2"/>
      <c r="BK976" s="2"/>
      <c r="BM976" s="2"/>
      <c r="BN976" s="2"/>
      <c r="BO976" s="2"/>
      <c r="BP976" s="2"/>
      <c r="BQ976" s="2"/>
      <c r="BR976" s="6"/>
      <c r="BS976" s="6"/>
      <c r="BT976" s="2"/>
      <c r="BU976" s="2"/>
      <c r="BV976" s="2"/>
      <c r="BW976" s="2"/>
      <c r="BX976" s="2"/>
      <c r="BY976" s="2"/>
      <c r="BZ976" s="2"/>
      <c r="CA976" s="2"/>
      <c r="CB976" s="2"/>
      <c r="CC976" s="2"/>
      <c r="CD976" s="3"/>
      <c r="CE976" s="2"/>
      <c r="CF976" s="4"/>
      <c r="CG976" s="4"/>
      <c r="CI976" s="2"/>
    </row>
    <row r="977" spans="1:87" s="101" customFormat="1" x14ac:dyDescent="0.35">
      <c r="A977" s="1"/>
      <c r="C977" s="1"/>
      <c r="G977" s="2"/>
      <c r="H977" s="2"/>
      <c r="I977" s="2"/>
      <c r="J977" s="2"/>
      <c r="K977" s="81"/>
      <c r="L977" s="4"/>
      <c r="M977" s="4"/>
      <c r="N977" s="4"/>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3"/>
      <c r="AP977" s="2"/>
      <c r="AQ977" s="2"/>
      <c r="AR977" s="2"/>
      <c r="AS977" s="2"/>
      <c r="AT977" s="2"/>
      <c r="AU977" s="2"/>
      <c r="AV977" s="2"/>
      <c r="AW977" s="2"/>
      <c r="AX977" s="2"/>
      <c r="AY977" s="2"/>
      <c r="AZ977" s="5"/>
      <c r="BA977" s="2"/>
      <c r="BD977" s="2"/>
      <c r="BE977" s="2"/>
      <c r="BF977" s="2"/>
      <c r="BG977" s="2"/>
      <c r="BH977" s="2"/>
      <c r="BI977" s="2"/>
      <c r="BJ977" s="2"/>
      <c r="BK977" s="2"/>
      <c r="BM977" s="2"/>
      <c r="BN977" s="2"/>
      <c r="BO977" s="2"/>
      <c r="BP977" s="2"/>
      <c r="BQ977" s="2"/>
      <c r="BR977" s="6"/>
      <c r="BS977" s="6"/>
      <c r="BT977" s="2"/>
      <c r="BU977" s="2"/>
      <c r="BV977" s="2"/>
      <c r="BW977" s="2"/>
      <c r="BX977" s="2"/>
      <c r="BY977" s="2"/>
      <c r="BZ977" s="2"/>
      <c r="CA977" s="2"/>
      <c r="CB977" s="2"/>
      <c r="CC977" s="2"/>
      <c r="CD977" s="3"/>
      <c r="CE977" s="2"/>
      <c r="CF977" s="4"/>
      <c r="CG977" s="4"/>
      <c r="CI977" s="2"/>
    </row>
    <row r="978" spans="1:87" s="101" customFormat="1" x14ac:dyDescent="0.35">
      <c r="A978" s="1"/>
      <c r="C978" s="1"/>
      <c r="G978" s="2"/>
      <c r="H978" s="2"/>
      <c r="I978" s="2"/>
      <c r="J978" s="2"/>
      <c r="K978" s="81"/>
      <c r="L978" s="4"/>
      <c r="M978" s="4"/>
      <c r="N978" s="4"/>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3"/>
      <c r="AP978" s="2"/>
      <c r="AQ978" s="2"/>
      <c r="AR978" s="2"/>
      <c r="AS978" s="2"/>
      <c r="AT978" s="2"/>
      <c r="AU978" s="2"/>
      <c r="AV978" s="2"/>
      <c r="AW978" s="2"/>
      <c r="AX978" s="2"/>
      <c r="AY978" s="2"/>
      <c r="AZ978" s="5"/>
      <c r="BA978" s="2"/>
      <c r="BD978" s="2"/>
      <c r="BE978" s="2"/>
      <c r="BF978" s="2"/>
      <c r="BG978" s="2"/>
      <c r="BH978" s="2"/>
      <c r="BI978" s="2"/>
      <c r="BJ978" s="2"/>
      <c r="BK978" s="2"/>
      <c r="BM978" s="2"/>
      <c r="BN978" s="2"/>
      <c r="BO978" s="2"/>
      <c r="BP978" s="2"/>
      <c r="BQ978" s="2"/>
      <c r="BR978" s="6"/>
      <c r="BS978" s="6"/>
      <c r="BT978" s="2"/>
      <c r="BU978" s="2"/>
      <c r="BV978" s="2"/>
      <c r="BW978" s="2"/>
      <c r="BX978" s="2"/>
      <c r="BY978" s="2"/>
      <c r="BZ978" s="2"/>
      <c r="CA978" s="2"/>
      <c r="CB978" s="2"/>
      <c r="CC978" s="2"/>
      <c r="CD978" s="3"/>
      <c r="CE978" s="2"/>
      <c r="CF978" s="4"/>
      <c r="CG978" s="4"/>
      <c r="CI978" s="2"/>
    </row>
    <row r="979" spans="1:87" s="101" customFormat="1" x14ac:dyDescent="0.35">
      <c r="A979" s="1"/>
      <c r="C979" s="1"/>
      <c r="G979" s="2"/>
      <c r="H979" s="2"/>
      <c r="I979" s="2"/>
      <c r="J979" s="2"/>
      <c r="K979" s="81"/>
      <c r="L979" s="4"/>
      <c r="M979" s="4"/>
      <c r="N979" s="4"/>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3"/>
      <c r="AP979" s="2"/>
      <c r="AQ979" s="2"/>
      <c r="AR979" s="2"/>
      <c r="AS979" s="2"/>
      <c r="AT979" s="2"/>
      <c r="AU979" s="2"/>
      <c r="AV979" s="2"/>
      <c r="AW979" s="2"/>
      <c r="AX979" s="2"/>
      <c r="AY979" s="2"/>
      <c r="AZ979" s="5"/>
      <c r="BA979" s="2"/>
      <c r="BD979" s="2"/>
      <c r="BE979" s="2"/>
      <c r="BF979" s="2"/>
      <c r="BG979" s="2"/>
      <c r="BH979" s="2"/>
      <c r="BI979" s="2"/>
      <c r="BJ979" s="2"/>
      <c r="BK979" s="2"/>
      <c r="BM979" s="2"/>
      <c r="BN979" s="2"/>
      <c r="BO979" s="2"/>
      <c r="BP979" s="2"/>
      <c r="BQ979" s="2"/>
      <c r="BR979" s="6"/>
      <c r="BS979" s="6"/>
      <c r="BT979" s="2"/>
      <c r="BU979" s="2"/>
      <c r="BV979" s="2"/>
      <c r="BW979" s="2"/>
      <c r="BX979" s="2"/>
      <c r="BY979" s="2"/>
      <c r="BZ979" s="2"/>
      <c r="CA979" s="2"/>
      <c r="CB979" s="2"/>
      <c r="CC979" s="2"/>
      <c r="CD979" s="3"/>
      <c r="CE979" s="2"/>
      <c r="CF979" s="4"/>
      <c r="CG979" s="4"/>
      <c r="CI979" s="2"/>
    </row>
    <row r="980" spans="1:87" s="101" customFormat="1" x14ac:dyDescent="0.35">
      <c r="A980" s="1"/>
      <c r="C980" s="1"/>
      <c r="G980" s="2"/>
      <c r="H980" s="2"/>
      <c r="I980" s="2"/>
      <c r="J980" s="2"/>
      <c r="K980" s="81"/>
      <c r="L980" s="4"/>
      <c r="M980" s="4"/>
      <c r="N980" s="4"/>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3"/>
      <c r="AP980" s="2"/>
      <c r="AQ980" s="2"/>
      <c r="AR980" s="2"/>
      <c r="AS980" s="2"/>
      <c r="AT980" s="2"/>
      <c r="AU980" s="2"/>
      <c r="AV980" s="2"/>
      <c r="AW980" s="2"/>
      <c r="AX980" s="2"/>
      <c r="AY980" s="2"/>
      <c r="AZ980" s="5"/>
      <c r="BA980" s="2"/>
      <c r="BD980" s="2"/>
      <c r="BE980" s="2"/>
      <c r="BF980" s="2"/>
      <c r="BG980" s="2"/>
      <c r="BH980" s="2"/>
      <c r="BI980" s="2"/>
      <c r="BJ980" s="2"/>
      <c r="BK980" s="2"/>
      <c r="BM980" s="2"/>
      <c r="BN980" s="2"/>
      <c r="BO980" s="2"/>
      <c r="BP980" s="2"/>
      <c r="BQ980" s="2"/>
      <c r="BR980" s="6"/>
      <c r="BS980" s="6"/>
      <c r="BT980" s="2"/>
      <c r="BU980" s="2"/>
      <c r="BV980" s="2"/>
      <c r="BW980" s="2"/>
      <c r="BX980" s="2"/>
      <c r="BY980" s="2"/>
      <c r="BZ980" s="2"/>
      <c r="CA980" s="2"/>
      <c r="CB980" s="2"/>
      <c r="CC980" s="2"/>
      <c r="CD980" s="3"/>
      <c r="CE980" s="2"/>
      <c r="CF980" s="4"/>
      <c r="CG980" s="4"/>
      <c r="CI980" s="2"/>
    </row>
    <row r="981" spans="1:87" s="101" customFormat="1" x14ac:dyDescent="0.35">
      <c r="A981" s="1"/>
      <c r="C981" s="1"/>
      <c r="G981" s="2"/>
      <c r="H981" s="2"/>
      <c r="I981" s="2"/>
      <c r="J981" s="2"/>
      <c r="K981" s="81"/>
      <c r="L981" s="4"/>
      <c r="M981" s="4"/>
      <c r="N981" s="4"/>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3"/>
      <c r="AP981" s="2"/>
      <c r="AQ981" s="2"/>
      <c r="AR981" s="2"/>
      <c r="AS981" s="2"/>
      <c r="AT981" s="2"/>
      <c r="AU981" s="2"/>
      <c r="AV981" s="2"/>
      <c r="AW981" s="2"/>
      <c r="AX981" s="2"/>
      <c r="AY981" s="2"/>
      <c r="AZ981" s="5"/>
      <c r="BA981" s="2"/>
      <c r="BD981" s="2"/>
      <c r="BE981" s="2"/>
      <c r="BF981" s="2"/>
      <c r="BG981" s="2"/>
      <c r="BH981" s="2"/>
      <c r="BI981" s="2"/>
      <c r="BJ981" s="2"/>
      <c r="BK981" s="2"/>
      <c r="BM981" s="2"/>
      <c r="BN981" s="2"/>
      <c r="BO981" s="2"/>
      <c r="BP981" s="2"/>
      <c r="BQ981" s="2"/>
      <c r="BR981" s="6"/>
      <c r="BS981" s="6"/>
      <c r="BT981" s="2"/>
      <c r="BU981" s="2"/>
      <c r="BV981" s="2"/>
      <c r="BW981" s="2"/>
      <c r="BX981" s="2"/>
      <c r="BY981" s="2"/>
      <c r="BZ981" s="2"/>
      <c r="CA981" s="2"/>
      <c r="CB981" s="2"/>
      <c r="CC981" s="2"/>
      <c r="CD981" s="3"/>
      <c r="CE981" s="2"/>
      <c r="CF981" s="4"/>
      <c r="CG981" s="4"/>
      <c r="CI981" s="2"/>
    </row>
    <row r="982" spans="1:87" s="101" customFormat="1" x14ac:dyDescent="0.35">
      <c r="A982" s="1"/>
      <c r="C982" s="1"/>
      <c r="G982" s="2"/>
      <c r="H982" s="2"/>
      <c r="I982" s="2"/>
      <c r="J982" s="2"/>
      <c r="K982" s="81"/>
      <c r="L982" s="4"/>
      <c r="M982" s="4"/>
      <c r="N982" s="4"/>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3"/>
      <c r="AP982" s="2"/>
      <c r="AQ982" s="2"/>
      <c r="AR982" s="2"/>
      <c r="AS982" s="2"/>
      <c r="AT982" s="2"/>
      <c r="AU982" s="2"/>
      <c r="AV982" s="2"/>
      <c r="AW982" s="2"/>
      <c r="AX982" s="2"/>
      <c r="AY982" s="2"/>
      <c r="AZ982" s="5"/>
      <c r="BA982" s="2"/>
      <c r="BD982" s="2"/>
      <c r="BE982" s="2"/>
      <c r="BF982" s="2"/>
      <c r="BG982" s="2"/>
      <c r="BH982" s="2"/>
      <c r="BI982" s="2"/>
      <c r="BJ982" s="2"/>
      <c r="BK982" s="2"/>
      <c r="BM982" s="2"/>
      <c r="BN982" s="2"/>
      <c r="BO982" s="2"/>
      <c r="BP982" s="2"/>
      <c r="BQ982" s="2"/>
      <c r="BR982" s="6"/>
      <c r="BS982" s="6"/>
      <c r="BT982" s="2"/>
      <c r="BU982" s="2"/>
      <c r="BV982" s="2"/>
      <c r="BW982" s="2"/>
      <c r="BX982" s="2"/>
      <c r="BY982" s="2"/>
      <c r="BZ982" s="2"/>
      <c r="CA982" s="2"/>
      <c r="CB982" s="2"/>
      <c r="CC982" s="2"/>
      <c r="CD982" s="3"/>
      <c r="CE982" s="2"/>
      <c r="CF982" s="4"/>
      <c r="CG982" s="4"/>
      <c r="CI982" s="2"/>
    </row>
    <row r="983" spans="1:87" s="101" customFormat="1" x14ac:dyDescent="0.35">
      <c r="A983" s="1"/>
      <c r="C983" s="1"/>
      <c r="G983" s="2"/>
      <c r="H983" s="2"/>
      <c r="I983" s="2"/>
      <c r="J983" s="2"/>
      <c r="K983" s="81"/>
      <c r="L983" s="4"/>
      <c r="M983" s="4"/>
      <c r="N983" s="4"/>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3"/>
      <c r="AP983" s="2"/>
      <c r="AQ983" s="2"/>
      <c r="AR983" s="2"/>
      <c r="AS983" s="2"/>
      <c r="AT983" s="2"/>
      <c r="AU983" s="2"/>
      <c r="AV983" s="2"/>
      <c r="AW983" s="2"/>
      <c r="AX983" s="2"/>
      <c r="AY983" s="2"/>
      <c r="AZ983" s="5"/>
      <c r="BA983" s="2"/>
      <c r="BD983" s="2"/>
      <c r="BE983" s="2"/>
      <c r="BF983" s="2"/>
      <c r="BG983" s="2"/>
      <c r="BH983" s="2"/>
      <c r="BI983" s="2"/>
      <c r="BJ983" s="2"/>
      <c r="BK983" s="2"/>
      <c r="BM983" s="2"/>
      <c r="BN983" s="2"/>
      <c r="BO983" s="2"/>
      <c r="BP983" s="2"/>
      <c r="BQ983" s="2"/>
      <c r="BR983" s="6"/>
      <c r="BS983" s="6"/>
      <c r="BT983" s="2"/>
      <c r="BU983" s="2"/>
      <c r="BV983" s="2"/>
      <c r="BW983" s="2"/>
      <c r="BX983" s="2"/>
      <c r="BY983" s="2"/>
      <c r="BZ983" s="2"/>
      <c r="CA983" s="2"/>
      <c r="CB983" s="2"/>
      <c r="CC983" s="2"/>
      <c r="CD983" s="3"/>
      <c r="CE983" s="2"/>
      <c r="CF983" s="4"/>
      <c r="CG983" s="4"/>
      <c r="CI983" s="2"/>
    </row>
    <row r="984" spans="1:87" s="101" customFormat="1" x14ac:dyDescent="0.35">
      <c r="A984" s="1"/>
      <c r="C984" s="1"/>
      <c r="G984" s="2"/>
      <c r="H984" s="2"/>
      <c r="I984" s="2"/>
      <c r="J984" s="2"/>
      <c r="K984" s="81"/>
      <c r="L984" s="4"/>
      <c r="M984" s="4"/>
      <c r="N984" s="4"/>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3"/>
      <c r="AP984" s="2"/>
      <c r="AQ984" s="2"/>
      <c r="AR984" s="2"/>
      <c r="AS984" s="2"/>
      <c r="AT984" s="2"/>
      <c r="AU984" s="2"/>
      <c r="AV984" s="2"/>
      <c r="AW984" s="2"/>
      <c r="AX984" s="2"/>
      <c r="AY984" s="2"/>
      <c r="AZ984" s="5"/>
      <c r="BA984" s="2"/>
      <c r="BD984" s="2"/>
      <c r="BE984" s="2"/>
      <c r="BF984" s="2"/>
      <c r="BG984" s="2"/>
      <c r="BH984" s="2"/>
      <c r="BI984" s="2"/>
      <c r="BJ984" s="2"/>
      <c r="BK984" s="2"/>
      <c r="BM984" s="2"/>
      <c r="BN984" s="2"/>
      <c r="BO984" s="2"/>
      <c r="BP984" s="2"/>
      <c r="BQ984" s="2"/>
      <c r="BR984" s="6"/>
      <c r="BS984" s="6"/>
      <c r="BT984" s="2"/>
      <c r="BU984" s="2"/>
      <c r="BV984" s="2"/>
      <c r="BW984" s="2"/>
      <c r="BX984" s="2"/>
      <c r="BY984" s="2"/>
      <c r="BZ984" s="2"/>
      <c r="CA984" s="2"/>
      <c r="CB984" s="2"/>
      <c r="CC984" s="2"/>
      <c r="CD984" s="3"/>
      <c r="CE984" s="2"/>
      <c r="CF984" s="4"/>
      <c r="CG984" s="4"/>
      <c r="CI984" s="2"/>
    </row>
    <row r="985" spans="1:87" s="101" customFormat="1" x14ac:dyDescent="0.35">
      <c r="A985" s="1"/>
      <c r="C985" s="1"/>
      <c r="G985" s="2"/>
      <c r="H985" s="2"/>
      <c r="I985" s="2"/>
      <c r="J985" s="2"/>
      <c r="K985" s="81"/>
      <c r="L985" s="4"/>
      <c r="M985" s="4"/>
      <c r="N985" s="4"/>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3"/>
      <c r="AP985" s="2"/>
      <c r="AQ985" s="2"/>
      <c r="AR985" s="2"/>
      <c r="AS985" s="2"/>
      <c r="AT985" s="2"/>
      <c r="AU985" s="2"/>
      <c r="AV985" s="2"/>
      <c r="AW985" s="2"/>
      <c r="AX985" s="2"/>
      <c r="AY985" s="2"/>
      <c r="AZ985" s="5"/>
      <c r="BA985" s="2"/>
      <c r="BD985" s="2"/>
      <c r="BE985" s="2"/>
      <c r="BF985" s="2"/>
      <c r="BG985" s="2"/>
      <c r="BH985" s="2"/>
      <c r="BI985" s="2"/>
      <c r="BJ985" s="2"/>
      <c r="BK985" s="2"/>
      <c r="BM985" s="2"/>
      <c r="BN985" s="2"/>
      <c r="BO985" s="2"/>
      <c r="BP985" s="2"/>
      <c r="BQ985" s="2"/>
      <c r="BR985" s="6"/>
      <c r="BS985" s="6"/>
      <c r="BT985" s="2"/>
      <c r="BU985" s="2"/>
      <c r="BV985" s="2"/>
      <c r="BW985" s="2"/>
      <c r="BX985" s="2"/>
      <c r="BY985" s="2"/>
      <c r="BZ985" s="2"/>
      <c r="CA985" s="2"/>
      <c r="CB985" s="2"/>
      <c r="CC985" s="2"/>
      <c r="CD985" s="3"/>
      <c r="CE985" s="2"/>
      <c r="CF985" s="4"/>
      <c r="CG985" s="4"/>
      <c r="CI985" s="2"/>
    </row>
    <row r="986" spans="1:87" s="101" customFormat="1" x14ac:dyDescent="0.35">
      <c r="A986" s="1"/>
      <c r="C986" s="1"/>
      <c r="G986" s="2"/>
      <c r="H986" s="2"/>
      <c r="I986" s="2"/>
      <c r="J986" s="2"/>
      <c r="K986" s="81"/>
      <c r="L986" s="4"/>
      <c r="M986" s="4"/>
      <c r="N986" s="4"/>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3"/>
      <c r="AP986" s="2"/>
      <c r="AQ986" s="2"/>
      <c r="AR986" s="2"/>
      <c r="AS986" s="2"/>
      <c r="AT986" s="2"/>
      <c r="AU986" s="2"/>
      <c r="AV986" s="2"/>
      <c r="AW986" s="2"/>
      <c r="AX986" s="2"/>
      <c r="AY986" s="2"/>
      <c r="AZ986" s="5"/>
      <c r="BA986" s="2"/>
      <c r="BD986" s="2"/>
      <c r="BE986" s="2"/>
      <c r="BF986" s="2"/>
      <c r="BG986" s="2"/>
      <c r="BH986" s="2"/>
      <c r="BI986" s="2"/>
      <c r="BJ986" s="2"/>
      <c r="BK986" s="2"/>
      <c r="BM986" s="2"/>
      <c r="BN986" s="2"/>
      <c r="BO986" s="2"/>
      <c r="BP986" s="2"/>
      <c r="BQ986" s="2"/>
      <c r="BR986" s="6"/>
      <c r="BS986" s="6"/>
      <c r="BT986" s="2"/>
      <c r="BU986" s="2"/>
      <c r="BV986" s="2"/>
      <c r="BW986" s="2"/>
      <c r="BX986" s="2"/>
      <c r="BY986" s="2"/>
      <c r="BZ986" s="2"/>
      <c r="CA986" s="2"/>
      <c r="CB986" s="2"/>
      <c r="CC986" s="2"/>
      <c r="CD986" s="3"/>
      <c r="CE986" s="2"/>
      <c r="CF986" s="4"/>
      <c r="CG986" s="4"/>
      <c r="CI986" s="2"/>
    </row>
    <row r="987" spans="1:87" s="101" customFormat="1" x14ac:dyDescent="0.35">
      <c r="A987" s="1"/>
      <c r="C987" s="1"/>
      <c r="G987" s="2"/>
      <c r="H987" s="2"/>
      <c r="I987" s="2"/>
      <c r="J987" s="2"/>
      <c r="K987" s="81"/>
      <c r="L987" s="4"/>
      <c r="M987" s="4"/>
      <c r="N987" s="4"/>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3"/>
      <c r="AP987" s="2"/>
      <c r="AQ987" s="2"/>
      <c r="AR987" s="2"/>
      <c r="AS987" s="2"/>
      <c r="AT987" s="2"/>
      <c r="AU987" s="2"/>
      <c r="AV987" s="2"/>
      <c r="AW987" s="2"/>
      <c r="AX987" s="2"/>
      <c r="AY987" s="2"/>
      <c r="AZ987" s="5"/>
      <c r="BA987" s="2"/>
      <c r="BD987" s="2"/>
      <c r="BE987" s="2"/>
      <c r="BF987" s="2"/>
      <c r="BG987" s="2"/>
      <c r="BH987" s="2"/>
      <c r="BI987" s="2"/>
      <c r="BJ987" s="2"/>
      <c r="BK987" s="2"/>
      <c r="BM987" s="2"/>
      <c r="BN987" s="2"/>
      <c r="BO987" s="2"/>
      <c r="BP987" s="2"/>
      <c r="BQ987" s="2"/>
      <c r="BR987" s="6"/>
      <c r="BS987" s="6"/>
      <c r="BT987" s="2"/>
      <c r="BU987" s="2"/>
      <c r="BV987" s="2"/>
      <c r="BW987" s="2"/>
      <c r="BX987" s="2"/>
      <c r="BY987" s="2"/>
      <c r="BZ987" s="2"/>
      <c r="CA987" s="2"/>
      <c r="CB987" s="2"/>
      <c r="CC987" s="2"/>
      <c r="CD987" s="3"/>
      <c r="CE987" s="2"/>
      <c r="CF987" s="4"/>
      <c r="CG987" s="4"/>
      <c r="CI987" s="2"/>
    </row>
    <row r="988" spans="1:87" s="101" customFormat="1" x14ac:dyDescent="0.35">
      <c r="A988" s="1"/>
      <c r="C988" s="1"/>
      <c r="G988" s="2"/>
      <c r="H988" s="2"/>
      <c r="I988" s="2"/>
      <c r="J988" s="2"/>
      <c r="K988" s="81"/>
      <c r="L988" s="4"/>
      <c r="M988" s="4"/>
      <c r="N988" s="4"/>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3"/>
      <c r="AP988" s="2"/>
      <c r="AQ988" s="2"/>
      <c r="AR988" s="2"/>
      <c r="AS988" s="2"/>
      <c r="AT988" s="2"/>
      <c r="AU988" s="2"/>
      <c r="AV988" s="2"/>
      <c r="AW988" s="2"/>
      <c r="AX988" s="2"/>
      <c r="AY988" s="2"/>
      <c r="AZ988" s="5"/>
      <c r="BA988" s="2"/>
      <c r="BD988" s="2"/>
      <c r="BE988" s="2"/>
      <c r="BF988" s="2"/>
      <c r="BG988" s="2"/>
      <c r="BH988" s="2"/>
      <c r="BI988" s="2"/>
      <c r="BJ988" s="2"/>
      <c r="BK988" s="2"/>
      <c r="BM988" s="2"/>
      <c r="BN988" s="2"/>
      <c r="BO988" s="2"/>
      <c r="BP988" s="2"/>
      <c r="BQ988" s="2"/>
      <c r="BR988" s="6"/>
      <c r="BS988" s="6"/>
      <c r="BT988" s="2"/>
      <c r="BU988" s="2"/>
      <c r="BV988" s="2"/>
      <c r="BW988" s="2"/>
      <c r="BX988" s="2"/>
      <c r="BY988" s="2"/>
      <c r="BZ988" s="2"/>
      <c r="CA988" s="2"/>
      <c r="CB988" s="2"/>
      <c r="CC988" s="2"/>
      <c r="CD988" s="3"/>
      <c r="CE988" s="2"/>
      <c r="CF988" s="4"/>
      <c r="CG988" s="4"/>
      <c r="CI988" s="2"/>
    </row>
    <row r="989" spans="1:87" s="101" customFormat="1" x14ac:dyDescent="0.35">
      <c r="A989" s="1"/>
      <c r="C989" s="1"/>
      <c r="G989" s="2"/>
      <c r="H989" s="2"/>
      <c r="I989" s="2"/>
      <c r="J989" s="2"/>
      <c r="K989" s="81"/>
      <c r="L989" s="4"/>
      <c r="M989" s="4"/>
      <c r="N989" s="4"/>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3"/>
      <c r="AP989" s="2"/>
      <c r="AQ989" s="2"/>
      <c r="AR989" s="2"/>
      <c r="AS989" s="2"/>
      <c r="AT989" s="2"/>
      <c r="AU989" s="2"/>
      <c r="AV989" s="2"/>
      <c r="AW989" s="2"/>
      <c r="AX989" s="2"/>
      <c r="AY989" s="2"/>
      <c r="AZ989" s="5"/>
      <c r="BA989" s="2"/>
      <c r="BD989" s="2"/>
      <c r="BE989" s="2"/>
      <c r="BF989" s="2"/>
      <c r="BG989" s="2"/>
      <c r="BH989" s="2"/>
      <c r="BI989" s="2"/>
      <c r="BJ989" s="2"/>
      <c r="BK989" s="2"/>
      <c r="BM989" s="2"/>
      <c r="BN989" s="2"/>
      <c r="BO989" s="2"/>
      <c r="BP989" s="2"/>
      <c r="BQ989" s="2"/>
      <c r="BR989" s="6"/>
      <c r="BS989" s="6"/>
      <c r="BT989" s="2"/>
      <c r="BU989" s="2"/>
      <c r="BV989" s="2"/>
      <c r="BW989" s="2"/>
      <c r="BX989" s="2"/>
      <c r="BY989" s="2"/>
      <c r="BZ989" s="2"/>
      <c r="CA989" s="2"/>
      <c r="CB989" s="2"/>
      <c r="CC989" s="2"/>
      <c r="CD989" s="3"/>
      <c r="CE989" s="2"/>
      <c r="CF989" s="4"/>
      <c r="CG989" s="4"/>
      <c r="CI989" s="2"/>
    </row>
    <row r="990" spans="1:87" s="101" customFormat="1" x14ac:dyDescent="0.35">
      <c r="A990" s="1"/>
      <c r="C990" s="1"/>
      <c r="G990" s="2"/>
      <c r="H990" s="2"/>
      <c r="I990" s="2"/>
      <c r="J990" s="2"/>
      <c r="K990" s="81"/>
      <c r="L990" s="4"/>
      <c r="M990" s="4"/>
      <c r="N990" s="4"/>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3"/>
      <c r="AP990" s="2"/>
      <c r="AQ990" s="2"/>
      <c r="AR990" s="2"/>
      <c r="AS990" s="2"/>
      <c r="AT990" s="2"/>
      <c r="AU990" s="2"/>
      <c r="AV990" s="2"/>
      <c r="AW990" s="2"/>
      <c r="AX990" s="2"/>
      <c r="AY990" s="2"/>
      <c r="AZ990" s="5"/>
      <c r="BA990" s="2"/>
      <c r="BD990" s="2"/>
      <c r="BE990" s="2"/>
      <c r="BF990" s="2"/>
      <c r="BG990" s="2"/>
      <c r="BH990" s="2"/>
      <c r="BI990" s="2"/>
      <c r="BJ990" s="2"/>
      <c r="BK990" s="2"/>
      <c r="BM990" s="2"/>
      <c r="BN990" s="2"/>
      <c r="BO990" s="2"/>
      <c r="BP990" s="2"/>
      <c r="BQ990" s="2"/>
      <c r="BR990" s="6"/>
      <c r="BS990" s="6"/>
      <c r="BT990" s="2"/>
      <c r="BU990" s="2"/>
      <c r="BV990" s="2"/>
      <c r="BW990" s="2"/>
      <c r="BX990" s="2"/>
      <c r="BY990" s="2"/>
      <c r="BZ990" s="2"/>
      <c r="CA990" s="2"/>
      <c r="CB990" s="2"/>
      <c r="CC990" s="2"/>
      <c r="CD990" s="3"/>
      <c r="CE990" s="2"/>
      <c r="CF990" s="4"/>
      <c r="CG990" s="4"/>
      <c r="CI990" s="2"/>
    </row>
    <row r="991" spans="1:87" s="101" customFormat="1" x14ac:dyDescent="0.35">
      <c r="A991" s="1"/>
      <c r="C991" s="1"/>
      <c r="G991" s="2"/>
      <c r="H991" s="2"/>
      <c r="I991" s="2"/>
      <c r="J991" s="2"/>
      <c r="K991" s="81"/>
      <c r="L991" s="4"/>
      <c r="M991" s="4"/>
      <c r="N991" s="4"/>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3"/>
      <c r="AP991" s="2"/>
      <c r="AQ991" s="2"/>
      <c r="AR991" s="2"/>
      <c r="AS991" s="2"/>
      <c r="AT991" s="2"/>
      <c r="AU991" s="2"/>
      <c r="AV991" s="2"/>
      <c r="AW991" s="2"/>
      <c r="AX991" s="2"/>
      <c r="AY991" s="2"/>
      <c r="AZ991" s="5"/>
      <c r="BA991" s="2"/>
      <c r="BD991" s="2"/>
      <c r="BE991" s="2"/>
      <c r="BF991" s="2"/>
      <c r="BG991" s="2"/>
      <c r="BH991" s="2"/>
      <c r="BI991" s="2"/>
      <c r="BJ991" s="2"/>
      <c r="BK991" s="2"/>
      <c r="BM991" s="2"/>
      <c r="BN991" s="2"/>
      <c r="BO991" s="2"/>
      <c r="BP991" s="2"/>
      <c r="BQ991" s="2"/>
      <c r="BR991" s="6"/>
      <c r="BS991" s="6"/>
      <c r="BT991" s="2"/>
      <c r="BU991" s="2"/>
      <c r="BV991" s="2"/>
      <c r="BW991" s="2"/>
      <c r="BX991" s="2"/>
      <c r="BY991" s="2"/>
      <c r="BZ991" s="2"/>
      <c r="CA991" s="2"/>
      <c r="CB991" s="2"/>
      <c r="CC991" s="2"/>
      <c r="CD991" s="3"/>
      <c r="CE991" s="2"/>
      <c r="CF991" s="4"/>
      <c r="CG991" s="4"/>
      <c r="CI991" s="2"/>
    </row>
    <row r="992" spans="1:87" s="101" customFormat="1" x14ac:dyDescent="0.35">
      <c r="A992" s="1"/>
      <c r="C992" s="1"/>
      <c r="G992" s="2"/>
      <c r="H992" s="2"/>
      <c r="I992" s="2"/>
      <c r="J992" s="2"/>
      <c r="K992" s="81"/>
      <c r="L992" s="4"/>
      <c r="M992" s="4"/>
      <c r="N992" s="4"/>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3"/>
      <c r="AP992" s="2"/>
      <c r="AQ992" s="2"/>
      <c r="AR992" s="2"/>
      <c r="AS992" s="2"/>
      <c r="AT992" s="2"/>
      <c r="AU992" s="2"/>
      <c r="AV992" s="2"/>
      <c r="AW992" s="2"/>
      <c r="AX992" s="2"/>
      <c r="AY992" s="2"/>
      <c r="AZ992" s="5"/>
      <c r="BA992" s="2"/>
      <c r="BD992" s="2"/>
      <c r="BE992" s="2"/>
      <c r="BF992" s="2"/>
      <c r="BG992" s="2"/>
      <c r="BH992" s="2"/>
      <c r="BI992" s="2"/>
      <c r="BJ992" s="2"/>
      <c r="BK992" s="2"/>
      <c r="BM992" s="2"/>
      <c r="BN992" s="2"/>
      <c r="BO992" s="2"/>
      <c r="BP992" s="2"/>
      <c r="BQ992" s="2"/>
      <c r="BR992" s="6"/>
      <c r="BS992" s="6"/>
      <c r="BT992" s="2"/>
      <c r="BU992" s="2"/>
      <c r="BV992" s="2"/>
      <c r="BW992" s="2"/>
      <c r="BX992" s="2"/>
      <c r="BY992" s="2"/>
      <c r="BZ992" s="2"/>
      <c r="CA992" s="2"/>
      <c r="CB992" s="2"/>
      <c r="CC992" s="2"/>
      <c r="CD992" s="3"/>
      <c r="CE992" s="2"/>
      <c r="CF992" s="4"/>
      <c r="CG992" s="4"/>
      <c r="CI992" s="2"/>
    </row>
    <row r="993" spans="1:87" s="101" customFormat="1" x14ac:dyDescent="0.35">
      <c r="A993" s="1"/>
      <c r="C993" s="1"/>
      <c r="G993" s="2"/>
      <c r="H993" s="2"/>
      <c r="I993" s="2"/>
      <c r="J993" s="2"/>
      <c r="K993" s="81"/>
      <c r="L993" s="4"/>
      <c r="M993" s="4"/>
      <c r="N993" s="4"/>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3"/>
      <c r="AP993" s="2"/>
      <c r="AQ993" s="2"/>
      <c r="AR993" s="2"/>
      <c r="AS993" s="2"/>
      <c r="AT993" s="2"/>
      <c r="AU993" s="2"/>
      <c r="AV993" s="2"/>
      <c r="AW993" s="2"/>
      <c r="AX993" s="2"/>
      <c r="AY993" s="2"/>
      <c r="AZ993" s="5"/>
      <c r="BA993" s="2"/>
      <c r="BD993" s="2"/>
      <c r="BE993" s="2"/>
      <c r="BF993" s="2"/>
      <c r="BG993" s="2"/>
      <c r="BH993" s="2"/>
      <c r="BI993" s="2"/>
      <c r="BJ993" s="2"/>
      <c r="BK993" s="2"/>
      <c r="BM993" s="2"/>
      <c r="BN993" s="2"/>
      <c r="BO993" s="2"/>
      <c r="BP993" s="2"/>
      <c r="BQ993" s="2"/>
      <c r="BR993" s="6"/>
      <c r="BS993" s="6"/>
      <c r="BT993" s="2"/>
      <c r="BU993" s="2"/>
      <c r="BV993" s="2"/>
      <c r="BW993" s="2"/>
      <c r="BX993" s="2"/>
      <c r="BY993" s="2"/>
      <c r="BZ993" s="2"/>
      <c r="CA993" s="2"/>
      <c r="CB993" s="2"/>
      <c r="CC993" s="2"/>
      <c r="CD993" s="3"/>
      <c r="CE993" s="2"/>
      <c r="CF993" s="4"/>
      <c r="CG993" s="4"/>
      <c r="CI993" s="2"/>
    </row>
    <row r="994" spans="1:87" s="101" customFormat="1" x14ac:dyDescent="0.35">
      <c r="A994" s="1"/>
      <c r="C994" s="1"/>
      <c r="G994" s="2"/>
      <c r="H994" s="2"/>
      <c r="I994" s="2"/>
      <c r="J994" s="2"/>
      <c r="K994" s="81"/>
      <c r="L994" s="4"/>
      <c r="M994" s="4"/>
      <c r="N994" s="4"/>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3"/>
      <c r="AP994" s="2"/>
      <c r="AQ994" s="2"/>
      <c r="AR994" s="2"/>
      <c r="AS994" s="2"/>
      <c r="AT994" s="2"/>
      <c r="AU994" s="2"/>
      <c r="AV994" s="2"/>
      <c r="AW994" s="2"/>
      <c r="AX994" s="2"/>
      <c r="AY994" s="2"/>
      <c r="AZ994" s="5"/>
      <c r="BA994" s="2"/>
      <c r="BD994" s="2"/>
      <c r="BE994" s="2"/>
      <c r="BF994" s="2"/>
      <c r="BG994" s="2"/>
      <c r="BH994" s="2"/>
      <c r="BI994" s="2"/>
      <c r="BJ994" s="2"/>
      <c r="BK994" s="2"/>
      <c r="BM994" s="2"/>
      <c r="BN994" s="2"/>
      <c r="BO994" s="2"/>
      <c r="BP994" s="2"/>
      <c r="BQ994" s="2"/>
      <c r="BR994" s="6"/>
      <c r="BS994" s="6"/>
      <c r="BT994" s="2"/>
      <c r="BU994" s="2"/>
      <c r="BV994" s="2"/>
      <c r="BW994" s="2"/>
      <c r="BX994" s="2"/>
      <c r="BY994" s="2"/>
      <c r="BZ994" s="2"/>
      <c r="CA994" s="2"/>
      <c r="CB994" s="2"/>
      <c r="CC994" s="2"/>
      <c r="CD994" s="3"/>
      <c r="CE994" s="2"/>
      <c r="CF994" s="4"/>
      <c r="CG994" s="4"/>
      <c r="CI994" s="2"/>
    </row>
    <row r="995" spans="1:87" s="101" customFormat="1" x14ac:dyDescent="0.35">
      <c r="A995" s="1"/>
      <c r="C995" s="1"/>
      <c r="G995" s="2"/>
      <c r="H995" s="2"/>
      <c r="I995" s="2"/>
      <c r="J995" s="2"/>
      <c r="K995" s="81"/>
      <c r="L995" s="4"/>
      <c r="M995" s="4"/>
      <c r="N995" s="4"/>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3"/>
      <c r="AP995" s="2"/>
      <c r="AQ995" s="2"/>
      <c r="AR995" s="2"/>
      <c r="AS995" s="2"/>
      <c r="AT995" s="2"/>
      <c r="AU995" s="2"/>
      <c r="AV995" s="2"/>
      <c r="AW995" s="2"/>
      <c r="AX995" s="2"/>
      <c r="AY995" s="2"/>
      <c r="AZ995" s="5"/>
      <c r="BA995" s="2"/>
      <c r="BD995" s="2"/>
      <c r="BE995" s="2"/>
      <c r="BF995" s="2"/>
      <c r="BG995" s="2"/>
      <c r="BH995" s="2"/>
      <c r="BI995" s="2"/>
      <c r="BJ995" s="2"/>
      <c r="BK995" s="2"/>
      <c r="BM995" s="2"/>
      <c r="BN995" s="2"/>
      <c r="BO995" s="2"/>
      <c r="BP995" s="2"/>
      <c r="BQ995" s="2"/>
      <c r="BR995" s="6"/>
      <c r="BS995" s="6"/>
      <c r="BT995" s="2"/>
      <c r="BU995" s="2"/>
      <c r="BV995" s="2"/>
      <c r="BW995" s="2"/>
      <c r="BX995" s="2"/>
      <c r="BY995" s="2"/>
      <c r="BZ995" s="2"/>
      <c r="CA995" s="2"/>
      <c r="CB995" s="2"/>
      <c r="CC995" s="2"/>
      <c r="CD995" s="3"/>
      <c r="CE995" s="2"/>
      <c r="CF995" s="4"/>
      <c r="CG995" s="4"/>
      <c r="CI995" s="2"/>
    </row>
    <row r="996" spans="1:87" s="101" customFormat="1" x14ac:dyDescent="0.35">
      <c r="A996" s="1"/>
      <c r="C996" s="1"/>
      <c r="G996" s="2"/>
      <c r="H996" s="2"/>
      <c r="I996" s="2"/>
      <c r="J996" s="2"/>
      <c r="K996" s="81"/>
      <c r="L996" s="4"/>
      <c r="M996" s="4"/>
      <c r="N996" s="4"/>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3"/>
      <c r="AP996" s="2"/>
      <c r="AQ996" s="2"/>
      <c r="AR996" s="2"/>
      <c r="AS996" s="2"/>
      <c r="AT996" s="2"/>
      <c r="AU996" s="2"/>
      <c r="AV996" s="2"/>
      <c r="AW996" s="2"/>
      <c r="AX996" s="2"/>
      <c r="AY996" s="2"/>
      <c r="AZ996" s="5"/>
      <c r="BA996" s="2"/>
      <c r="BD996" s="2"/>
      <c r="BE996" s="2"/>
      <c r="BF996" s="2"/>
      <c r="BG996" s="2"/>
      <c r="BH996" s="2"/>
      <c r="BI996" s="2"/>
      <c r="BJ996" s="2"/>
      <c r="BK996" s="2"/>
      <c r="BM996" s="2"/>
      <c r="BN996" s="2"/>
      <c r="BO996" s="2"/>
      <c r="BP996" s="2"/>
      <c r="BQ996" s="2"/>
      <c r="BR996" s="6"/>
      <c r="BS996" s="6"/>
      <c r="BT996" s="2"/>
      <c r="BU996" s="2"/>
      <c r="BV996" s="2"/>
      <c r="BW996" s="2"/>
      <c r="BX996" s="2"/>
      <c r="BY996" s="2"/>
      <c r="BZ996" s="2"/>
      <c r="CA996" s="2"/>
      <c r="CB996" s="2"/>
      <c r="CC996" s="2"/>
      <c r="CD996" s="3"/>
      <c r="CE996" s="2"/>
      <c r="CF996" s="4"/>
      <c r="CG996" s="4"/>
      <c r="CI996" s="2"/>
    </row>
    <row r="997" spans="1:87" s="101" customFormat="1" x14ac:dyDescent="0.35">
      <c r="A997" s="1"/>
      <c r="C997" s="1"/>
      <c r="G997" s="2"/>
      <c r="H997" s="2"/>
      <c r="I997" s="2"/>
      <c r="J997" s="2"/>
      <c r="K997" s="81"/>
      <c r="L997" s="4"/>
      <c r="M997" s="4"/>
      <c r="N997" s="4"/>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3"/>
      <c r="AP997" s="2"/>
      <c r="AQ997" s="2"/>
      <c r="AR997" s="2"/>
      <c r="AS997" s="2"/>
      <c r="AT997" s="2"/>
      <c r="AU997" s="2"/>
      <c r="AV997" s="2"/>
      <c r="AW997" s="2"/>
      <c r="AX997" s="2"/>
      <c r="AY997" s="2"/>
      <c r="AZ997" s="5"/>
      <c r="BA997" s="2"/>
      <c r="BD997" s="2"/>
      <c r="BE997" s="2"/>
      <c r="BF997" s="2"/>
      <c r="BG997" s="2"/>
      <c r="BH997" s="2"/>
      <c r="BI997" s="2"/>
      <c r="BJ997" s="2"/>
      <c r="BK997" s="2"/>
      <c r="BM997" s="2"/>
      <c r="BN997" s="2"/>
      <c r="BO997" s="2"/>
      <c r="BP997" s="2"/>
      <c r="BQ997" s="2"/>
      <c r="BR997" s="6"/>
      <c r="BS997" s="6"/>
      <c r="BT997" s="2"/>
      <c r="BU997" s="2"/>
      <c r="BV997" s="2"/>
      <c r="BW997" s="2"/>
      <c r="BX997" s="2"/>
      <c r="BY997" s="2"/>
      <c r="BZ997" s="2"/>
      <c r="CA997" s="2"/>
      <c r="CB997" s="2"/>
      <c r="CC997" s="2"/>
      <c r="CD997" s="3"/>
      <c r="CE997" s="2"/>
      <c r="CF997" s="4"/>
      <c r="CG997" s="4"/>
      <c r="CI997" s="2"/>
    </row>
    <row r="998" spans="1:87" s="101" customFormat="1" x14ac:dyDescent="0.35">
      <c r="A998" s="1"/>
      <c r="C998" s="1"/>
      <c r="G998" s="2"/>
      <c r="H998" s="2"/>
      <c r="I998" s="2"/>
      <c r="J998" s="2"/>
      <c r="K998" s="81"/>
      <c r="L998" s="4"/>
      <c r="M998" s="4"/>
      <c r="N998" s="4"/>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3"/>
      <c r="AP998" s="2"/>
      <c r="AQ998" s="2"/>
      <c r="AR998" s="2"/>
      <c r="AS998" s="2"/>
      <c r="AT998" s="2"/>
      <c r="AU998" s="2"/>
      <c r="AV998" s="2"/>
      <c r="AW998" s="2"/>
      <c r="AX998" s="2"/>
      <c r="AY998" s="2"/>
      <c r="AZ998" s="5"/>
      <c r="BA998" s="2"/>
      <c r="BD998" s="2"/>
      <c r="BE998" s="2"/>
      <c r="BF998" s="2"/>
      <c r="BG998" s="2"/>
      <c r="BH998" s="2"/>
      <c r="BI998" s="2"/>
      <c r="BJ998" s="2"/>
      <c r="BK998" s="2"/>
      <c r="BM998" s="2"/>
      <c r="BN998" s="2"/>
      <c r="BO998" s="2"/>
      <c r="BP998" s="2"/>
      <c r="BQ998" s="2"/>
      <c r="BR998" s="6"/>
      <c r="BS998" s="6"/>
      <c r="BT998" s="2"/>
      <c r="BU998" s="2"/>
      <c r="BV998" s="2"/>
      <c r="BW998" s="2"/>
      <c r="BX998" s="2"/>
      <c r="BY998" s="2"/>
      <c r="BZ998" s="2"/>
      <c r="CA998" s="2"/>
      <c r="CB998" s="2"/>
      <c r="CC998" s="2"/>
      <c r="CD998" s="3"/>
      <c r="CE998" s="2"/>
      <c r="CF998" s="4"/>
      <c r="CG998" s="4"/>
      <c r="CI998" s="2"/>
    </row>
    <row r="999" spans="1:87" s="101" customFormat="1" x14ac:dyDescent="0.35">
      <c r="A999" s="1"/>
      <c r="C999" s="1"/>
      <c r="G999" s="2"/>
      <c r="H999" s="2"/>
      <c r="I999" s="2"/>
      <c r="J999" s="2"/>
      <c r="K999" s="81"/>
      <c r="L999" s="4"/>
      <c r="M999" s="4"/>
      <c r="N999" s="4"/>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3"/>
      <c r="AP999" s="2"/>
      <c r="AQ999" s="2"/>
      <c r="AR999" s="2"/>
      <c r="AS999" s="2"/>
      <c r="AT999" s="2"/>
      <c r="AU999" s="2"/>
      <c r="AV999" s="2"/>
      <c r="AW999" s="2"/>
      <c r="AX999" s="2"/>
      <c r="AY999" s="2"/>
      <c r="AZ999" s="5"/>
      <c r="BA999" s="2"/>
      <c r="BD999" s="2"/>
      <c r="BE999" s="2"/>
      <c r="BF999" s="2"/>
      <c r="BG999" s="2"/>
      <c r="BH999" s="2"/>
      <c r="BI999" s="2"/>
      <c r="BJ999" s="2"/>
      <c r="BK999" s="2"/>
      <c r="BM999" s="2"/>
      <c r="BN999" s="2"/>
      <c r="BO999" s="2"/>
      <c r="BP999" s="2"/>
      <c r="BQ999" s="2"/>
      <c r="BR999" s="6"/>
      <c r="BS999" s="6"/>
      <c r="BT999" s="2"/>
      <c r="BU999" s="2"/>
      <c r="BV999" s="2"/>
      <c r="BW999" s="2"/>
      <c r="BX999" s="2"/>
      <c r="BY999" s="2"/>
      <c r="BZ999" s="2"/>
      <c r="CA999" s="2"/>
      <c r="CB999" s="2"/>
      <c r="CC999" s="2"/>
      <c r="CD999" s="3"/>
      <c r="CE999" s="2"/>
      <c r="CF999" s="4"/>
      <c r="CG999" s="4"/>
      <c r="CI999" s="2"/>
    </row>
    <row r="1000" spans="1:87" s="101" customFormat="1" x14ac:dyDescent="0.35">
      <c r="A1000" s="1"/>
      <c r="C1000" s="1"/>
      <c r="G1000" s="2"/>
      <c r="H1000" s="2"/>
      <c r="I1000" s="2"/>
      <c r="J1000" s="2"/>
      <c r="K1000" s="81"/>
      <c r="L1000" s="4"/>
      <c r="M1000" s="4"/>
      <c r="N1000" s="4"/>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3"/>
      <c r="AP1000" s="2"/>
      <c r="AQ1000" s="2"/>
      <c r="AR1000" s="2"/>
      <c r="AS1000" s="2"/>
      <c r="AT1000" s="2"/>
      <c r="AU1000" s="2"/>
      <c r="AV1000" s="2"/>
      <c r="AW1000" s="2"/>
      <c r="AX1000" s="2"/>
      <c r="AY1000" s="2"/>
      <c r="AZ1000" s="5"/>
      <c r="BA1000" s="2"/>
      <c r="BD1000" s="2"/>
      <c r="BE1000" s="2"/>
      <c r="BF1000" s="2"/>
      <c r="BG1000" s="2"/>
      <c r="BH1000" s="2"/>
      <c r="BI1000" s="2"/>
      <c r="BJ1000" s="2"/>
      <c r="BK1000" s="2"/>
      <c r="BM1000" s="2"/>
      <c r="BN1000" s="2"/>
      <c r="BO1000" s="2"/>
      <c r="BP1000" s="2"/>
      <c r="BQ1000" s="2"/>
      <c r="BR1000" s="6"/>
      <c r="BS1000" s="6"/>
      <c r="BT1000" s="2"/>
      <c r="BU1000" s="2"/>
      <c r="BV1000" s="2"/>
      <c r="BW1000" s="2"/>
      <c r="BX1000" s="2"/>
      <c r="BY1000" s="2"/>
      <c r="BZ1000" s="2"/>
      <c r="CA1000" s="2"/>
      <c r="CB1000" s="2"/>
      <c r="CC1000" s="2"/>
      <c r="CD1000" s="3"/>
      <c r="CE1000" s="2"/>
      <c r="CF1000" s="4"/>
      <c r="CG1000" s="4"/>
      <c r="CI1000" s="2"/>
    </row>
    <row r="1001" spans="1:87" s="101" customFormat="1" x14ac:dyDescent="0.35">
      <c r="A1001" s="1"/>
      <c r="C1001" s="1"/>
      <c r="G1001" s="2"/>
      <c r="H1001" s="2"/>
      <c r="I1001" s="2"/>
      <c r="J1001" s="2"/>
      <c r="K1001" s="81"/>
      <c r="L1001" s="4"/>
      <c r="M1001" s="4"/>
      <c r="N1001" s="4"/>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3"/>
      <c r="AP1001" s="2"/>
      <c r="AQ1001" s="2"/>
      <c r="AR1001" s="2"/>
      <c r="AS1001" s="2"/>
      <c r="AT1001" s="2"/>
      <c r="AU1001" s="2"/>
      <c r="AV1001" s="2"/>
      <c r="AW1001" s="2"/>
      <c r="AX1001" s="2"/>
      <c r="AY1001" s="2"/>
      <c r="AZ1001" s="5"/>
      <c r="BA1001" s="2"/>
      <c r="BD1001" s="2"/>
      <c r="BE1001" s="2"/>
      <c r="BF1001" s="2"/>
      <c r="BG1001" s="2"/>
      <c r="BH1001" s="2"/>
      <c r="BI1001" s="2"/>
      <c r="BJ1001" s="2"/>
      <c r="BK1001" s="2"/>
      <c r="BM1001" s="2"/>
      <c r="BN1001" s="2"/>
      <c r="BO1001" s="2"/>
      <c r="BP1001" s="2"/>
      <c r="BQ1001" s="2"/>
      <c r="BR1001" s="6"/>
      <c r="BS1001" s="6"/>
      <c r="BT1001" s="2"/>
      <c r="BU1001" s="2"/>
      <c r="BV1001" s="2"/>
      <c r="BW1001" s="2"/>
      <c r="BX1001" s="2"/>
      <c r="BY1001" s="2"/>
      <c r="BZ1001" s="2"/>
      <c r="CA1001" s="2"/>
      <c r="CB1001" s="2"/>
      <c r="CC1001" s="2"/>
      <c r="CD1001" s="3"/>
      <c r="CE1001" s="2"/>
      <c r="CF1001" s="4"/>
      <c r="CG1001" s="4"/>
      <c r="CI1001" s="2"/>
    </row>
    <row r="1002" spans="1:87" s="101" customFormat="1" x14ac:dyDescent="0.35">
      <c r="A1002" s="1"/>
      <c r="C1002" s="1"/>
      <c r="G1002" s="2"/>
      <c r="H1002" s="2"/>
      <c r="I1002" s="2"/>
      <c r="J1002" s="2"/>
      <c r="K1002" s="81"/>
      <c r="L1002" s="4"/>
      <c r="M1002" s="4"/>
      <c r="N1002" s="4"/>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3"/>
      <c r="AP1002" s="2"/>
      <c r="AQ1002" s="2"/>
      <c r="AR1002" s="2"/>
      <c r="AS1002" s="2"/>
      <c r="AT1002" s="2"/>
      <c r="AU1002" s="2"/>
      <c r="AV1002" s="2"/>
      <c r="AW1002" s="2"/>
      <c r="AX1002" s="2"/>
      <c r="AY1002" s="2"/>
      <c r="AZ1002" s="5"/>
      <c r="BA1002" s="2"/>
      <c r="BD1002" s="2"/>
      <c r="BE1002" s="2"/>
      <c r="BF1002" s="2"/>
      <c r="BG1002" s="2"/>
      <c r="BH1002" s="2"/>
      <c r="BI1002" s="2"/>
      <c r="BJ1002" s="2"/>
      <c r="BK1002" s="2"/>
      <c r="BM1002" s="2"/>
      <c r="BN1002" s="2"/>
      <c r="BO1002" s="2"/>
      <c r="BP1002" s="2"/>
      <c r="BQ1002" s="2"/>
      <c r="BR1002" s="6"/>
      <c r="BS1002" s="6"/>
      <c r="BT1002" s="2"/>
      <c r="BU1002" s="2"/>
      <c r="BV1002" s="2"/>
      <c r="BW1002" s="2"/>
      <c r="BX1002" s="2"/>
      <c r="BY1002" s="2"/>
      <c r="BZ1002" s="2"/>
      <c r="CA1002" s="2"/>
      <c r="CB1002" s="2"/>
      <c r="CC1002" s="2"/>
      <c r="CD1002" s="3"/>
      <c r="CE1002" s="2"/>
      <c r="CF1002" s="4"/>
      <c r="CG1002" s="4"/>
      <c r="CI1002" s="2"/>
    </row>
    <row r="1003" spans="1:87" s="101" customFormat="1" x14ac:dyDescent="0.35">
      <c r="A1003" s="1"/>
      <c r="C1003" s="1"/>
      <c r="G1003" s="2"/>
      <c r="H1003" s="2"/>
      <c r="I1003" s="2"/>
      <c r="J1003" s="2"/>
      <c r="K1003" s="81"/>
      <c r="L1003" s="4"/>
      <c r="M1003" s="4"/>
      <c r="N1003" s="4"/>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3"/>
      <c r="AP1003" s="2"/>
      <c r="AQ1003" s="2"/>
      <c r="AR1003" s="2"/>
      <c r="AS1003" s="2"/>
      <c r="AT1003" s="2"/>
      <c r="AU1003" s="2"/>
      <c r="AV1003" s="2"/>
      <c r="AW1003" s="2"/>
      <c r="AX1003" s="2"/>
      <c r="AY1003" s="2"/>
      <c r="AZ1003" s="5"/>
      <c r="BA1003" s="2"/>
      <c r="BD1003" s="2"/>
      <c r="BE1003" s="2"/>
      <c r="BF1003" s="2"/>
      <c r="BG1003" s="2"/>
      <c r="BH1003" s="2"/>
      <c r="BI1003" s="2"/>
      <c r="BJ1003" s="2"/>
      <c r="BK1003" s="2"/>
      <c r="BM1003" s="2"/>
      <c r="BN1003" s="2"/>
      <c r="BO1003" s="2"/>
      <c r="BP1003" s="2"/>
      <c r="BQ1003" s="2"/>
      <c r="BR1003" s="6"/>
      <c r="BS1003" s="6"/>
      <c r="BT1003" s="2"/>
      <c r="BU1003" s="2"/>
      <c r="BV1003" s="2"/>
      <c r="BW1003" s="2"/>
      <c r="BX1003" s="2"/>
      <c r="BY1003" s="2"/>
      <c r="BZ1003" s="2"/>
      <c r="CA1003" s="2"/>
      <c r="CB1003" s="2"/>
      <c r="CC1003" s="2"/>
      <c r="CD1003" s="3"/>
      <c r="CE1003" s="2"/>
      <c r="CF1003" s="4"/>
      <c r="CG1003" s="4"/>
      <c r="CI1003" s="2"/>
    </row>
    <row r="1004" spans="1:87" s="101" customFormat="1" x14ac:dyDescent="0.35">
      <c r="A1004" s="1"/>
      <c r="C1004" s="1"/>
      <c r="G1004" s="2"/>
      <c r="H1004" s="2"/>
      <c r="I1004" s="2"/>
      <c r="J1004" s="2"/>
      <c r="K1004" s="81"/>
      <c r="L1004" s="4"/>
      <c r="M1004" s="4"/>
      <c r="N1004" s="4"/>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3"/>
      <c r="AP1004" s="2"/>
      <c r="AQ1004" s="2"/>
      <c r="AR1004" s="2"/>
      <c r="AS1004" s="2"/>
      <c r="AT1004" s="2"/>
      <c r="AU1004" s="2"/>
      <c r="AV1004" s="2"/>
      <c r="AW1004" s="2"/>
      <c r="AX1004" s="2"/>
      <c r="AY1004" s="2"/>
      <c r="AZ1004" s="5"/>
      <c r="BA1004" s="2"/>
      <c r="BD1004" s="2"/>
      <c r="BE1004" s="2"/>
      <c r="BF1004" s="2"/>
      <c r="BG1004" s="2"/>
      <c r="BH1004" s="2"/>
      <c r="BI1004" s="2"/>
      <c r="BJ1004" s="2"/>
      <c r="BK1004" s="2"/>
      <c r="BM1004" s="2"/>
      <c r="BN1004" s="2"/>
      <c r="BO1004" s="2"/>
      <c r="BP1004" s="2"/>
      <c r="BQ1004" s="2"/>
      <c r="BR1004" s="6"/>
      <c r="BS1004" s="6"/>
      <c r="BT1004" s="2"/>
      <c r="BU1004" s="2"/>
      <c r="BV1004" s="2"/>
      <c r="BW1004" s="2"/>
      <c r="BX1004" s="2"/>
      <c r="BY1004" s="2"/>
      <c r="BZ1004" s="2"/>
      <c r="CA1004" s="2"/>
      <c r="CB1004" s="2"/>
      <c r="CC1004" s="2"/>
      <c r="CD1004" s="3"/>
      <c r="CE1004" s="2"/>
      <c r="CF1004" s="4"/>
      <c r="CG1004" s="4"/>
      <c r="CI1004" s="2"/>
    </row>
    <row r="1005" spans="1:87" s="101" customFormat="1" x14ac:dyDescent="0.35">
      <c r="A1005" s="1"/>
      <c r="C1005" s="1"/>
      <c r="G1005" s="2"/>
      <c r="H1005" s="2"/>
      <c r="I1005" s="2"/>
      <c r="J1005" s="2"/>
      <c r="K1005" s="81"/>
      <c r="L1005" s="4"/>
      <c r="M1005" s="4"/>
      <c r="N1005" s="4"/>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3"/>
      <c r="AP1005" s="2"/>
      <c r="AQ1005" s="2"/>
      <c r="AR1005" s="2"/>
      <c r="AS1005" s="2"/>
      <c r="AT1005" s="2"/>
      <c r="AU1005" s="2"/>
      <c r="AV1005" s="2"/>
      <c r="AW1005" s="2"/>
      <c r="AX1005" s="2"/>
      <c r="AY1005" s="2"/>
      <c r="AZ1005" s="5"/>
      <c r="BA1005" s="2"/>
      <c r="BD1005" s="2"/>
      <c r="BE1005" s="2"/>
      <c r="BF1005" s="2"/>
      <c r="BG1005" s="2"/>
      <c r="BH1005" s="2"/>
      <c r="BI1005" s="2"/>
      <c r="BJ1005" s="2"/>
      <c r="BK1005" s="2"/>
      <c r="BM1005" s="2"/>
      <c r="BN1005" s="2"/>
      <c r="BO1005" s="2"/>
      <c r="BP1005" s="2"/>
      <c r="BQ1005" s="2"/>
      <c r="BR1005" s="6"/>
      <c r="BS1005" s="6"/>
      <c r="BT1005" s="2"/>
      <c r="BU1005" s="2"/>
      <c r="BV1005" s="2"/>
      <c r="BW1005" s="2"/>
      <c r="BX1005" s="2"/>
      <c r="BY1005" s="2"/>
      <c r="BZ1005" s="2"/>
      <c r="CA1005" s="2"/>
      <c r="CB1005" s="2"/>
      <c r="CC1005" s="2"/>
      <c r="CD1005" s="3"/>
      <c r="CE1005" s="2"/>
      <c r="CF1005" s="4"/>
      <c r="CG1005" s="4"/>
      <c r="CI1005" s="2"/>
    </row>
    <row r="1006" spans="1:87" s="101" customFormat="1" x14ac:dyDescent="0.35">
      <c r="A1006" s="1"/>
      <c r="C1006" s="1"/>
      <c r="G1006" s="2"/>
      <c r="H1006" s="2"/>
      <c r="I1006" s="2"/>
      <c r="J1006" s="2"/>
      <c r="K1006" s="81"/>
      <c r="L1006" s="4"/>
      <c r="M1006" s="4"/>
      <c r="N1006" s="4"/>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3"/>
      <c r="AP1006" s="2"/>
      <c r="AQ1006" s="2"/>
      <c r="AR1006" s="2"/>
      <c r="AS1006" s="2"/>
      <c r="AT1006" s="2"/>
      <c r="AU1006" s="2"/>
      <c r="AV1006" s="2"/>
      <c r="AW1006" s="2"/>
      <c r="AX1006" s="2"/>
      <c r="AY1006" s="2"/>
      <c r="AZ1006" s="5"/>
      <c r="BA1006" s="2"/>
      <c r="BD1006" s="2"/>
      <c r="BE1006" s="2"/>
      <c r="BF1006" s="2"/>
      <c r="BG1006" s="2"/>
      <c r="BH1006" s="2"/>
      <c r="BI1006" s="2"/>
      <c r="BJ1006" s="2"/>
      <c r="BK1006" s="2"/>
      <c r="BM1006" s="2"/>
      <c r="BN1006" s="2"/>
      <c r="BO1006" s="2"/>
      <c r="BP1006" s="2"/>
      <c r="BQ1006" s="2"/>
      <c r="BR1006" s="6"/>
      <c r="BS1006" s="6"/>
      <c r="BT1006" s="2"/>
      <c r="BU1006" s="2"/>
      <c r="BV1006" s="2"/>
      <c r="BW1006" s="2"/>
      <c r="BX1006" s="2"/>
      <c r="BY1006" s="2"/>
      <c r="BZ1006" s="2"/>
      <c r="CA1006" s="2"/>
      <c r="CB1006" s="2"/>
      <c r="CC1006" s="2"/>
      <c r="CD1006" s="3"/>
      <c r="CE1006" s="2"/>
      <c r="CF1006" s="4"/>
      <c r="CG1006" s="4"/>
      <c r="CI1006" s="2"/>
    </row>
    <row r="1007" spans="1:87" s="101" customFormat="1" x14ac:dyDescent="0.35">
      <c r="A1007" s="1"/>
      <c r="C1007" s="1"/>
      <c r="G1007" s="2"/>
      <c r="H1007" s="2"/>
      <c r="I1007" s="2"/>
      <c r="J1007" s="2"/>
      <c r="K1007" s="81"/>
      <c r="L1007" s="4"/>
      <c r="M1007" s="4"/>
      <c r="N1007" s="4"/>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3"/>
      <c r="AP1007" s="2"/>
      <c r="AQ1007" s="2"/>
      <c r="AR1007" s="2"/>
      <c r="AS1007" s="2"/>
      <c r="AT1007" s="2"/>
      <c r="AU1007" s="2"/>
      <c r="AV1007" s="2"/>
      <c r="AW1007" s="2"/>
      <c r="AX1007" s="2"/>
      <c r="AY1007" s="2"/>
      <c r="AZ1007" s="5"/>
      <c r="BA1007" s="2"/>
      <c r="BD1007" s="2"/>
      <c r="BE1007" s="2"/>
      <c r="BF1007" s="2"/>
      <c r="BG1007" s="2"/>
      <c r="BH1007" s="2"/>
      <c r="BI1007" s="2"/>
      <c r="BJ1007" s="2"/>
      <c r="BK1007" s="2"/>
      <c r="BM1007" s="2"/>
      <c r="BN1007" s="2"/>
      <c r="BO1007" s="2"/>
      <c r="BP1007" s="2"/>
      <c r="BQ1007" s="2"/>
      <c r="BR1007" s="6"/>
      <c r="BS1007" s="6"/>
      <c r="BT1007" s="2"/>
      <c r="BU1007" s="2"/>
      <c r="BV1007" s="2"/>
      <c r="BW1007" s="2"/>
      <c r="BX1007" s="2"/>
      <c r="BY1007" s="2"/>
      <c r="BZ1007" s="2"/>
      <c r="CA1007" s="2"/>
      <c r="CB1007" s="2"/>
      <c r="CC1007" s="2"/>
      <c r="CD1007" s="3"/>
      <c r="CE1007" s="2"/>
      <c r="CF1007" s="4"/>
      <c r="CG1007" s="4"/>
      <c r="CI1007" s="2"/>
    </row>
    <row r="1008" spans="1:87" s="101" customFormat="1" x14ac:dyDescent="0.35">
      <c r="A1008" s="1"/>
      <c r="C1008" s="1"/>
      <c r="G1008" s="2"/>
      <c r="H1008" s="2"/>
      <c r="I1008" s="2"/>
      <c r="J1008" s="2"/>
      <c r="K1008" s="81"/>
      <c r="L1008" s="4"/>
      <c r="M1008" s="4"/>
      <c r="N1008" s="4"/>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3"/>
      <c r="AP1008" s="2"/>
      <c r="AQ1008" s="2"/>
      <c r="AR1008" s="2"/>
      <c r="AS1008" s="2"/>
      <c r="AT1008" s="2"/>
      <c r="AU1008" s="2"/>
      <c r="AV1008" s="2"/>
      <c r="AW1008" s="2"/>
      <c r="AX1008" s="2"/>
      <c r="AY1008" s="2"/>
      <c r="AZ1008" s="5"/>
      <c r="BA1008" s="2"/>
      <c r="BD1008" s="2"/>
      <c r="BE1008" s="2"/>
      <c r="BF1008" s="2"/>
      <c r="BG1008" s="2"/>
      <c r="BH1008" s="2"/>
      <c r="BI1008" s="2"/>
      <c r="BJ1008" s="2"/>
      <c r="BK1008" s="2"/>
      <c r="BM1008" s="2"/>
      <c r="BN1008" s="2"/>
      <c r="BO1008" s="2"/>
      <c r="BP1008" s="2"/>
      <c r="BQ1008" s="2"/>
      <c r="BR1008" s="6"/>
      <c r="BS1008" s="6"/>
      <c r="BT1008" s="2"/>
      <c r="BU1008" s="2"/>
      <c r="BV1008" s="2"/>
      <c r="BW1008" s="2"/>
      <c r="BX1008" s="2"/>
      <c r="BY1008" s="2"/>
      <c r="BZ1008" s="2"/>
      <c r="CA1008" s="2"/>
      <c r="CB1008" s="2"/>
      <c r="CC1008" s="2"/>
      <c r="CD1008" s="3"/>
      <c r="CE1008" s="2"/>
      <c r="CF1008" s="4"/>
      <c r="CG1008" s="4"/>
      <c r="CI1008" s="2"/>
    </row>
    <row r="1009" spans="1:87" s="101" customFormat="1" x14ac:dyDescent="0.35">
      <c r="A1009" s="1"/>
      <c r="C1009" s="1"/>
      <c r="G1009" s="2"/>
      <c r="H1009" s="2"/>
      <c r="I1009" s="2"/>
      <c r="J1009" s="2"/>
      <c r="K1009" s="81"/>
      <c r="L1009" s="4"/>
      <c r="M1009" s="4"/>
      <c r="N1009" s="4"/>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3"/>
      <c r="AP1009" s="2"/>
      <c r="AQ1009" s="2"/>
      <c r="AR1009" s="2"/>
      <c r="AS1009" s="2"/>
      <c r="AT1009" s="2"/>
      <c r="AU1009" s="2"/>
      <c r="AV1009" s="2"/>
      <c r="AW1009" s="2"/>
      <c r="AX1009" s="2"/>
      <c r="AY1009" s="2"/>
      <c r="AZ1009" s="5"/>
      <c r="BA1009" s="2"/>
      <c r="BD1009" s="2"/>
      <c r="BE1009" s="2"/>
      <c r="BF1009" s="2"/>
      <c r="BG1009" s="2"/>
      <c r="BH1009" s="2"/>
      <c r="BI1009" s="2"/>
      <c r="BJ1009" s="2"/>
      <c r="BK1009" s="2"/>
      <c r="BM1009" s="2"/>
      <c r="BN1009" s="2"/>
      <c r="BO1009" s="2"/>
      <c r="BP1009" s="2"/>
      <c r="BQ1009" s="2"/>
      <c r="BR1009" s="6"/>
      <c r="BS1009" s="6"/>
      <c r="BT1009" s="2"/>
      <c r="BU1009" s="2"/>
      <c r="BV1009" s="2"/>
      <c r="BW1009" s="2"/>
      <c r="BX1009" s="2"/>
      <c r="BY1009" s="2"/>
      <c r="BZ1009" s="2"/>
      <c r="CA1009" s="2"/>
      <c r="CB1009" s="2"/>
      <c r="CC1009" s="2"/>
      <c r="CD1009" s="3"/>
      <c r="CE1009" s="2"/>
      <c r="CF1009" s="4"/>
      <c r="CG1009" s="4"/>
      <c r="CI1009" s="2"/>
    </row>
    <row r="1010" spans="1:87" s="101" customFormat="1" x14ac:dyDescent="0.35">
      <c r="A1010" s="1"/>
      <c r="C1010" s="1"/>
      <c r="G1010" s="2"/>
      <c r="H1010" s="2"/>
      <c r="I1010" s="2"/>
      <c r="J1010" s="2"/>
      <c r="K1010" s="81"/>
      <c r="L1010" s="4"/>
      <c r="M1010" s="4"/>
      <c r="N1010" s="4"/>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3"/>
      <c r="AP1010" s="2"/>
      <c r="AQ1010" s="2"/>
      <c r="AR1010" s="2"/>
      <c r="AS1010" s="2"/>
      <c r="AT1010" s="2"/>
      <c r="AU1010" s="2"/>
      <c r="AV1010" s="2"/>
      <c r="AW1010" s="2"/>
      <c r="AX1010" s="2"/>
      <c r="AY1010" s="2"/>
      <c r="AZ1010" s="5"/>
      <c r="BA1010" s="2"/>
      <c r="BD1010" s="2"/>
      <c r="BE1010" s="2"/>
      <c r="BF1010" s="2"/>
      <c r="BG1010" s="2"/>
      <c r="BH1010" s="2"/>
      <c r="BI1010" s="2"/>
      <c r="BJ1010" s="2"/>
      <c r="BK1010" s="2"/>
      <c r="BM1010" s="2"/>
      <c r="BN1010" s="2"/>
      <c r="BO1010" s="2"/>
      <c r="BP1010" s="2"/>
      <c r="BQ1010" s="2"/>
      <c r="BR1010" s="6"/>
      <c r="BS1010" s="6"/>
      <c r="BT1010" s="2"/>
      <c r="BU1010" s="2"/>
      <c r="BV1010" s="2"/>
      <c r="BW1010" s="2"/>
      <c r="BX1010" s="2"/>
      <c r="BY1010" s="2"/>
      <c r="BZ1010" s="2"/>
      <c r="CA1010" s="2"/>
      <c r="CB1010" s="2"/>
      <c r="CC1010" s="2"/>
      <c r="CD1010" s="3"/>
      <c r="CE1010" s="2"/>
      <c r="CF1010" s="4"/>
      <c r="CG1010" s="4"/>
      <c r="CI1010" s="2"/>
    </row>
    <row r="1011" spans="1:87" s="101" customFormat="1" x14ac:dyDescent="0.35">
      <c r="A1011" s="1"/>
      <c r="C1011" s="1"/>
      <c r="G1011" s="2"/>
      <c r="H1011" s="2"/>
      <c r="I1011" s="2"/>
      <c r="J1011" s="2"/>
      <c r="K1011" s="81"/>
      <c r="L1011" s="4"/>
      <c r="M1011" s="4"/>
      <c r="N1011" s="4"/>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3"/>
      <c r="AP1011" s="2"/>
      <c r="AQ1011" s="2"/>
      <c r="AR1011" s="2"/>
      <c r="AS1011" s="2"/>
      <c r="AT1011" s="2"/>
      <c r="AU1011" s="2"/>
      <c r="AV1011" s="2"/>
      <c r="AW1011" s="2"/>
      <c r="AX1011" s="2"/>
      <c r="AY1011" s="2"/>
      <c r="AZ1011" s="5"/>
      <c r="BA1011" s="2"/>
      <c r="BD1011" s="2"/>
      <c r="BE1011" s="2"/>
      <c r="BF1011" s="2"/>
      <c r="BG1011" s="2"/>
      <c r="BH1011" s="2"/>
      <c r="BI1011" s="2"/>
      <c r="BJ1011" s="2"/>
      <c r="BK1011" s="2"/>
      <c r="BM1011" s="2"/>
      <c r="BN1011" s="2"/>
      <c r="BO1011" s="2"/>
      <c r="BP1011" s="2"/>
      <c r="BQ1011" s="2"/>
      <c r="BR1011" s="6"/>
      <c r="BS1011" s="6"/>
      <c r="BT1011" s="2"/>
      <c r="BU1011" s="2"/>
      <c r="BV1011" s="2"/>
      <c r="BW1011" s="2"/>
      <c r="BX1011" s="2"/>
      <c r="BY1011" s="2"/>
      <c r="BZ1011" s="2"/>
      <c r="CA1011" s="2"/>
      <c r="CB1011" s="2"/>
      <c r="CC1011" s="2"/>
      <c r="CD1011" s="3"/>
      <c r="CE1011" s="2"/>
      <c r="CF1011" s="4"/>
      <c r="CG1011" s="4"/>
      <c r="CI1011" s="2"/>
    </row>
    <row r="1012" spans="1:87" s="101" customFormat="1" x14ac:dyDescent="0.35">
      <c r="A1012" s="1"/>
      <c r="C1012" s="1"/>
      <c r="G1012" s="2"/>
      <c r="H1012" s="2"/>
      <c r="I1012" s="2"/>
      <c r="J1012" s="2"/>
      <c r="K1012" s="81"/>
      <c r="L1012" s="4"/>
      <c r="M1012" s="4"/>
      <c r="N1012" s="4"/>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3"/>
      <c r="AP1012" s="2"/>
      <c r="AQ1012" s="2"/>
      <c r="AR1012" s="2"/>
      <c r="AS1012" s="2"/>
      <c r="AT1012" s="2"/>
      <c r="AU1012" s="2"/>
      <c r="AV1012" s="2"/>
      <c r="AW1012" s="2"/>
      <c r="AX1012" s="2"/>
      <c r="AY1012" s="2"/>
      <c r="AZ1012" s="5"/>
      <c r="BA1012" s="2"/>
      <c r="BD1012" s="2"/>
      <c r="BE1012" s="2"/>
      <c r="BF1012" s="2"/>
      <c r="BG1012" s="2"/>
      <c r="BH1012" s="2"/>
      <c r="BI1012" s="2"/>
      <c r="BJ1012" s="2"/>
      <c r="BK1012" s="2"/>
      <c r="BM1012" s="2"/>
      <c r="BN1012" s="2"/>
      <c r="BO1012" s="2"/>
      <c r="BP1012" s="2"/>
      <c r="BQ1012" s="2"/>
      <c r="BR1012" s="6"/>
      <c r="BS1012" s="6"/>
      <c r="BT1012" s="2"/>
      <c r="BU1012" s="2"/>
      <c r="BV1012" s="2"/>
      <c r="BW1012" s="2"/>
      <c r="BX1012" s="2"/>
      <c r="BY1012" s="2"/>
      <c r="BZ1012" s="2"/>
      <c r="CA1012" s="2"/>
      <c r="CB1012" s="2"/>
      <c r="CC1012" s="2"/>
      <c r="CD1012" s="3"/>
      <c r="CE1012" s="2"/>
      <c r="CF1012" s="4"/>
      <c r="CG1012" s="4"/>
      <c r="CI1012" s="2"/>
    </row>
    <row r="1013" spans="1:87" s="101" customFormat="1" x14ac:dyDescent="0.35">
      <c r="A1013" s="1"/>
      <c r="C1013" s="1"/>
      <c r="G1013" s="2"/>
      <c r="H1013" s="2"/>
      <c r="I1013" s="2"/>
      <c r="J1013" s="2"/>
      <c r="K1013" s="81"/>
      <c r="L1013" s="4"/>
      <c r="M1013" s="4"/>
      <c r="N1013" s="4"/>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3"/>
      <c r="AP1013" s="2"/>
      <c r="AQ1013" s="2"/>
      <c r="AR1013" s="2"/>
      <c r="AS1013" s="2"/>
      <c r="AT1013" s="2"/>
      <c r="AU1013" s="2"/>
      <c r="AV1013" s="2"/>
      <c r="AW1013" s="2"/>
      <c r="AX1013" s="2"/>
      <c r="AY1013" s="2"/>
      <c r="AZ1013" s="5"/>
      <c r="BA1013" s="2"/>
      <c r="BD1013" s="2"/>
      <c r="BE1013" s="2"/>
      <c r="BF1013" s="2"/>
      <c r="BG1013" s="2"/>
      <c r="BH1013" s="2"/>
      <c r="BI1013" s="2"/>
      <c r="BJ1013" s="2"/>
      <c r="BK1013" s="2"/>
      <c r="BM1013" s="2"/>
      <c r="BN1013" s="2"/>
      <c r="BO1013" s="2"/>
      <c r="BP1013" s="2"/>
      <c r="BQ1013" s="2"/>
      <c r="BR1013" s="6"/>
      <c r="BS1013" s="6"/>
      <c r="BT1013" s="2"/>
      <c r="BU1013" s="2"/>
      <c r="BV1013" s="2"/>
      <c r="BW1013" s="2"/>
      <c r="BX1013" s="2"/>
      <c r="BY1013" s="2"/>
      <c r="BZ1013" s="2"/>
      <c r="CA1013" s="2"/>
      <c r="CB1013" s="2"/>
      <c r="CC1013" s="2"/>
      <c r="CD1013" s="3"/>
      <c r="CE1013" s="2"/>
      <c r="CF1013" s="4"/>
      <c r="CG1013" s="4"/>
      <c r="CI1013" s="2"/>
    </row>
    <row r="1014" spans="1:87" s="101" customFormat="1" x14ac:dyDescent="0.35">
      <c r="A1014" s="1"/>
      <c r="C1014" s="1"/>
      <c r="G1014" s="2"/>
      <c r="H1014" s="2"/>
      <c r="I1014" s="2"/>
      <c r="J1014" s="2"/>
      <c r="K1014" s="81"/>
      <c r="L1014" s="4"/>
      <c r="M1014" s="4"/>
      <c r="N1014" s="4"/>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3"/>
      <c r="AP1014" s="2"/>
      <c r="AQ1014" s="2"/>
      <c r="AR1014" s="2"/>
      <c r="AS1014" s="2"/>
      <c r="AT1014" s="2"/>
      <c r="AU1014" s="2"/>
      <c r="AV1014" s="2"/>
      <c r="AW1014" s="2"/>
      <c r="AX1014" s="2"/>
      <c r="AY1014" s="2"/>
      <c r="AZ1014" s="5"/>
      <c r="BA1014" s="2"/>
      <c r="BD1014" s="2"/>
      <c r="BE1014" s="2"/>
      <c r="BF1014" s="2"/>
      <c r="BG1014" s="2"/>
      <c r="BH1014" s="2"/>
      <c r="BI1014" s="2"/>
      <c r="BJ1014" s="2"/>
      <c r="BK1014" s="2"/>
      <c r="BM1014" s="2"/>
      <c r="BN1014" s="2"/>
      <c r="BO1014" s="2"/>
      <c r="BP1014" s="2"/>
      <c r="BQ1014" s="2"/>
      <c r="BR1014" s="6"/>
      <c r="BS1014" s="6"/>
      <c r="BT1014" s="2"/>
      <c r="BU1014" s="2"/>
      <c r="BV1014" s="2"/>
      <c r="BW1014" s="2"/>
      <c r="BX1014" s="2"/>
      <c r="BY1014" s="2"/>
      <c r="BZ1014" s="2"/>
      <c r="CA1014" s="2"/>
      <c r="CB1014" s="2"/>
      <c r="CC1014" s="2"/>
      <c r="CD1014" s="3"/>
      <c r="CE1014" s="2"/>
      <c r="CF1014" s="4"/>
      <c r="CG1014" s="4"/>
      <c r="CI1014" s="2"/>
    </row>
    <row r="1015" spans="1:87" s="101" customFormat="1" x14ac:dyDescent="0.35">
      <c r="A1015" s="1"/>
      <c r="C1015" s="1"/>
      <c r="G1015" s="2"/>
      <c r="H1015" s="2"/>
      <c r="I1015" s="2"/>
      <c r="J1015" s="2"/>
      <c r="K1015" s="81"/>
      <c r="L1015" s="4"/>
      <c r="M1015" s="4"/>
      <c r="N1015" s="4"/>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3"/>
      <c r="AP1015" s="2"/>
      <c r="AQ1015" s="2"/>
      <c r="AR1015" s="2"/>
      <c r="AS1015" s="2"/>
      <c r="AT1015" s="2"/>
      <c r="AU1015" s="2"/>
      <c r="AV1015" s="2"/>
      <c r="AW1015" s="2"/>
      <c r="AX1015" s="2"/>
      <c r="AY1015" s="2"/>
      <c r="AZ1015" s="5"/>
      <c r="BA1015" s="2"/>
      <c r="BD1015" s="2"/>
      <c r="BE1015" s="2"/>
      <c r="BF1015" s="2"/>
      <c r="BG1015" s="2"/>
      <c r="BH1015" s="2"/>
      <c r="BI1015" s="2"/>
      <c r="BJ1015" s="2"/>
      <c r="BK1015" s="2"/>
      <c r="BM1015" s="2"/>
      <c r="BN1015" s="2"/>
      <c r="BO1015" s="2"/>
      <c r="BP1015" s="2"/>
      <c r="BQ1015" s="2"/>
      <c r="BR1015" s="6"/>
      <c r="BS1015" s="6"/>
      <c r="BT1015" s="2"/>
      <c r="BU1015" s="2"/>
      <c r="BV1015" s="2"/>
      <c r="BW1015" s="2"/>
      <c r="BX1015" s="2"/>
      <c r="BY1015" s="2"/>
      <c r="BZ1015" s="2"/>
      <c r="CA1015" s="2"/>
      <c r="CB1015" s="2"/>
      <c r="CC1015" s="2"/>
      <c r="CD1015" s="3"/>
      <c r="CE1015" s="2"/>
      <c r="CF1015" s="4"/>
      <c r="CG1015" s="4"/>
      <c r="CI1015" s="2"/>
    </row>
    <row r="1016" spans="1:87" s="101" customFormat="1" x14ac:dyDescent="0.35">
      <c r="A1016" s="1"/>
      <c r="C1016" s="1"/>
      <c r="G1016" s="2"/>
      <c r="H1016" s="2"/>
      <c r="I1016" s="2"/>
      <c r="J1016" s="2"/>
      <c r="K1016" s="81"/>
      <c r="L1016" s="4"/>
      <c r="M1016" s="4"/>
      <c r="N1016" s="4"/>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3"/>
      <c r="AP1016" s="2"/>
      <c r="AQ1016" s="2"/>
      <c r="AR1016" s="2"/>
      <c r="AS1016" s="2"/>
      <c r="AT1016" s="2"/>
      <c r="AU1016" s="2"/>
      <c r="AV1016" s="2"/>
      <c r="AW1016" s="2"/>
      <c r="AX1016" s="2"/>
      <c r="AY1016" s="2"/>
      <c r="AZ1016" s="5"/>
      <c r="BA1016" s="2"/>
      <c r="BD1016" s="2"/>
      <c r="BE1016" s="2"/>
      <c r="BF1016" s="2"/>
      <c r="BG1016" s="2"/>
      <c r="BH1016" s="2"/>
      <c r="BI1016" s="2"/>
      <c r="BJ1016" s="2"/>
      <c r="BK1016" s="2"/>
      <c r="BM1016" s="2"/>
      <c r="BN1016" s="2"/>
      <c r="BO1016" s="2"/>
      <c r="BP1016" s="2"/>
      <c r="BQ1016" s="2"/>
      <c r="BR1016" s="6"/>
      <c r="BS1016" s="6"/>
      <c r="BT1016" s="2"/>
      <c r="BU1016" s="2"/>
      <c r="BV1016" s="2"/>
      <c r="BW1016" s="2"/>
      <c r="BX1016" s="2"/>
      <c r="BY1016" s="2"/>
      <c r="BZ1016" s="2"/>
      <c r="CA1016" s="2"/>
      <c r="CB1016" s="2"/>
      <c r="CC1016" s="2"/>
      <c r="CD1016" s="3"/>
      <c r="CE1016" s="2"/>
      <c r="CF1016" s="4"/>
      <c r="CG1016" s="4"/>
      <c r="CI1016" s="2"/>
    </row>
    <row r="1017" spans="1:87" s="101" customFormat="1" x14ac:dyDescent="0.35">
      <c r="A1017" s="1"/>
      <c r="C1017" s="1"/>
      <c r="G1017" s="2"/>
      <c r="H1017" s="2"/>
      <c r="I1017" s="2"/>
      <c r="J1017" s="2"/>
      <c r="K1017" s="81"/>
      <c r="L1017" s="4"/>
      <c r="M1017" s="4"/>
      <c r="N1017" s="4"/>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3"/>
      <c r="AP1017" s="2"/>
      <c r="AQ1017" s="2"/>
      <c r="AR1017" s="2"/>
      <c r="AS1017" s="2"/>
      <c r="AT1017" s="2"/>
      <c r="AU1017" s="2"/>
      <c r="AV1017" s="2"/>
      <c r="AW1017" s="2"/>
      <c r="AX1017" s="2"/>
      <c r="AY1017" s="2"/>
      <c r="AZ1017" s="5"/>
      <c r="BA1017" s="2"/>
      <c r="BD1017" s="2"/>
      <c r="BE1017" s="2"/>
      <c r="BF1017" s="2"/>
      <c r="BG1017" s="2"/>
      <c r="BH1017" s="2"/>
      <c r="BI1017" s="2"/>
      <c r="BJ1017" s="2"/>
      <c r="BK1017" s="2"/>
      <c r="BM1017" s="2"/>
      <c r="BN1017" s="2"/>
      <c r="BO1017" s="2"/>
      <c r="BP1017" s="2"/>
      <c r="BQ1017" s="2"/>
      <c r="BR1017" s="6"/>
      <c r="BS1017" s="6"/>
      <c r="BT1017" s="2"/>
      <c r="BU1017" s="2"/>
      <c r="BV1017" s="2"/>
      <c r="BW1017" s="2"/>
      <c r="BX1017" s="2"/>
      <c r="BY1017" s="2"/>
      <c r="BZ1017" s="2"/>
      <c r="CA1017" s="2"/>
      <c r="CB1017" s="2"/>
      <c r="CC1017" s="2"/>
      <c r="CD1017" s="3"/>
      <c r="CE1017" s="2"/>
      <c r="CF1017" s="4"/>
      <c r="CG1017" s="4"/>
      <c r="CI1017" s="2"/>
    </row>
    <row r="1018" spans="1:87" s="101" customFormat="1" x14ac:dyDescent="0.35">
      <c r="A1018" s="1"/>
      <c r="C1018" s="1"/>
      <c r="G1018" s="2"/>
      <c r="H1018" s="2"/>
      <c r="I1018" s="2"/>
      <c r="J1018" s="2"/>
      <c r="K1018" s="81"/>
      <c r="L1018" s="4"/>
      <c r="M1018" s="4"/>
      <c r="N1018" s="4"/>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3"/>
      <c r="AP1018" s="2"/>
      <c r="AQ1018" s="2"/>
      <c r="AR1018" s="2"/>
      <c r="AS1018" s="2"/>
      <c r="AT1018" s="2"/>
      <c r="AU1018" s="2"/>
      <c r="AV1018" s="2"/>
      <c r="AW1018" s="2"/>
      <c r="AX1018" s="2"/>
      <c r="AY1018" s="2"/>
      <c r="AZ1018" s="5"/>
      <c r="BA1018" s="2"/>
      <c r="BD1018" s="2"/>
      <c r="BE1018" s="2"/>
      <c r="BF1018" s="2"/>
      <c r="BG1018" s="2"/>
      <c r="BH1018" s="2"/>
      <c r="BI1018" s="2"/>
      <c r="BJ1018" s="2"/>
      <c r="BK1018" s="2"/>
      <c r="BM1018" s="2"/>
      <c r="BN1018" s="2"/>
      <c r="BO1018" s="2"/>
      <c r="BP1018" s="2"/>
      <c r="BQ1018" s="2"/>
      <c r="BR1018" s="6"/>
      <c r="BS1018" s="6"/>
      <c r="BT1018" s="2"/>
      <c r="BU1018" s="2"/>
      <c r="BV1018" s="2"/>
      <c r="BW1018" s="2"/>
      <c r="BX1018" s="2"/>
      <c r="BY1018" s="2"/>
      <c r="BZ1018" s="2"/>
      <c r="CA1018" s="2"/>
      <c r="CB1018" s="2"/>
      <c r="CC1018" s="2"/>
      <c r="CD1018" s="3"/>
      <c r="CE1018" s="2"/>
      <c r="CF1018" s="4"/>
      <c r="CG1018" s="4"/>
      <c r="CI1018" s="2"/>
    </row>
    <row r="1019" spans="1:87" s="101" customFormat="1" x14ac:dyDescent="0.35">
      <c r="A1019" s="1"/>
      <c r="C1019" s="1"/>
      <c r="G1019" s="2"/>
      <c r="H1019" s="2"/>
      <c r="I1019" s="2"/>
      <c r="J1019" s="2"/>
      <c r="K1019" s="81"/>
      <c r="L1019" s="4"/>
      <c r="M1019" s="4"/>
      <c r="N1019" s="4"/>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3"/>
      <c r="AP1019" s="2"/>
      <c r="AQ1019" s="2"/>
      <c r="AR1019" s="2"/>
      <c r="AS1019" s="2"/>
      <c r="AT1019" s="2"/>
      <c r="AU1019" s="2"/>
      <c r="AV1019" s="2"/>
      <c r="AW1019" s="2"/>
      <c r="AX1019" s="2"/>
      <c r="AY1019" s="2"/>
      <c r="AZ1019" s="5"/>
      <c r="BA1019" s="2"/>
      <c r="BD1019" s="2"/>
      <c r="BE1019" s="2"/>
      <c r="BF1019" s="2"/>
      <c r="BG1019" s="2"/>
      <c r="BH1019" s="2"/>
      <c r="BI1019" s="2"/>
      <c r="BJ1019" s="2"/>
      <c r="BK1019" s="2"/>
      <c r="BM1019" s="2"/>
      <c r="BN1019" s="2"/>
      <c r="BO1019" s="2"/>
      <c r="BP1019" s="2"/>
      <c r="BQ1019" s="2"/>
      <c r="BR1019" s="6"/>
      <c r="BS1019" s="6"/>
      <c r="BT1019" s="2"/>
      <c r="BU1019" s="2"/>
      <c r="BV1019" s="2"/>
      <c r="BW1019" s="2"/>
      <c r="BX1019" s="2"/>
      <c r="BY1019" s="2"/>
      <c r="BZ1019" s="2"/>
      <c r="CA1019" s="2"/>
      <c r="CB1019" s="2"/>
      <c r="CC1019" s="2"/>
      <c r="CD1019" s="3"/>
      <c r="CE1019" s="2"/>
      <c r="CF1019" s="4"/>
      <c r="CG1019" s="4"/>
      <c r="CI1019" s="2"/>
    </row>
    <row r="1020" spans="1:87" s="101" customFormat="1" x14ac:dyDescent="0.35">
      <c r="A1020" s="1"/>
      <c r="C1020" s="1"/>
      <c r="G1020" s="2"/>
      <c r="H1020" s="2"/>
      <c r="I1020" s="2"/>
      <c r="J1020" s="2"/>
      <c r="K1020" s="81"/>
      <c r="L1020" s="4"/>
      <c r="M1020" s="4"/>
      <c r="N1020" s="4"/>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3"/>
      <c r="AP1020" s="2"/>
      <c r="AQ1020" s="2"/>
      <c r="AR1020" s="2"/>
      <c r="AS1020" s="2"/>
      <c r="AT1020" s="2"/>
      <c r="AU1020" s="2"/>
      <c r="AV1020" s="2"/>
      <c r="AW1020" s="2"/>
      <c r="AX1020" s="2"/>
      <c r="AY1020" s="2"/>
      <c r="AZ1020" s="5"/>
      <c r="BA1020" s="2"/>
      <c r="BD1020" s="2"/>
      <c r="BE1020" s="2"/>
      <c r="BF1020" s="2"/>
      <c r="BG1020" s="2"/>
      <c r="BH1020" s="2"/>
      <c r="BI1020" s="2"/>
      <c r="BJ1020" s="2"/>
      <c r="BK1020" s="2"/>
      <c r="BM1020" s="2"/>
      <c r="BN1020" s="2"/>
      <c r="BO1020" s="2"/>
      <c r="BP1020" s="2"/>
      <c r="BQ1020" s="2"/>
      <c r="BR1020" s="6"/>
      <c r="BS1020" s="6"/>
      <c r="BT1020" s="2"/>
      <c r="BU1020" s="2"/>
      <c r="BV1020" s="2"/>
      <c r="BW1020" s="2"/>
      <c r="BX1020" s="2"/>
      <c r="BY1020" s="2"/>
      <c r="BZ1020" s="2"/>
      <c r="CA1020" s="2"/>
      <c r="CB1020" s="2"/>
      <c r="CC1020" s="2"/>
      <c r="CD1020" s="3"/>
      <c r="CE1020" s="2"/>
      <c r="CF1020" s="4"/>
      <c r="CG1020" s="4"/>
      <c r="CI1020" s="2"/>
    </row>
    <row r="1021" spans="1:87" s="101" customFormat="1" x14ac:dyDescent="0.35">
      <c r="A1021" s="1"/>
      <c r="C1021" s="1"/>
      <c r="G1021" s="2"/>
      <c r="H1021" s="2"/>
      <c r="I1021" s="2"/>
      <c r="J1021" s="2"/>
      <c r="K1021" s="81"/>
      <c r="L1021" s="4"/>
      <c r="M1021" s="4"/>
      <c r="N1021" s="4"/>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3"/>
      <c r="AP1021" s="2"/>
      <c r="AQ1021" s="2"/>
      <c r="AR1021" s="2"/>
      <c r="AS1021" s="2"/>
      <c r="AT1021" s="2"/>
      <c r="AU1021" s="2"/>
      <c r="AV1021" s="2"/>
      <c r="AW1021" s="2"/>
      <c r="AX1021" s="2"/>
      <c r="AY1021" s="2"/>
      <c r="AZ1021" s="5"/>
      <c r="BA1021" s="2"/>
      <c r="BD1021" s="2"/>
      <c r="BE1021" s="2"/>
      <c r="BF1021" s="2"/>
      <c r="BG1021" s="2"/>
      <c r="BH1021" s="2"/>
      <c r="BI1021" s="2"/>
      <c r="BJ1021" s="2"/>
      <c r="BK1021" s="2"/>
      <c r="BM1021" s="2"/>
      <c r="BN1021" s="2"/>
      <c r="BO1021" s="2"/>
      <c r="BP1021" s="2"/>
      <c r="BQ1021" s="2"/>
      <c r="BR1021" s="6"/>
      <c r="BS1021" s="6"/>
      <c r="BT1021" s="2"/>
      <c r="BU1021" s="2"/>
      <c r="BV1021" s="2"/>
      <c r="BW1021" s="2"/>
      <c r="BX1021" s="2"/>
      <c r="BY1021" s="2"/>
      <c r="BZ1021" s="2"/>
      <c r="CA1021" s="2"/>
      <c r="CB1021" s="2"/>
      <c r="CC1021" s="2"/>
      <c r="CD1021" s="3"/>
      <c r="CE1021" s="2"/>
      <c r="CF1021" s="4"/>
      <c r="CG1021" s="4"/>
      <c r="CI1021" s="2"/>
    </row>
    <row r="1022" spans="1:87" s="101" customFormat="1" x14ac:dyDescent="0.35">
      <c r="A1022" s="1"/>
      <c r="C1022" s="1"/>
      <c r="G1022" s="2"/>
      <c r="H1022" s="2"/>
      <c r="I1022" s="2"/>
      <c r="J1022" s="2"/>
      <c r="K1022" s="81"/>
      <c r="L1022" s="4"/>
      <c r="M1022" s="4"/>
      <c r="N1022" s="4"/>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3"/>
      <c r="AP1022" s="2"/>
      <c r="AQ1022" s="2"/>
      <c r="AR1022" s="2"/>
      <c r="AS1022" s="2"/>
      <c r="AT1022" s="2"/>
      <c r="AU1022" s="2"/>
      <c r="AV1022" s="2"/>
      <c r="AW1022" s="2"/>
      <c r="AX1022" s="2"/>
      <c r="AY1022" s="2"/>
      <c r="AZ1022" s="5"/>
      <c r="BA1022" s="2"/>
      <c r="BD1022" s="2"/>
      <c r="BE1022" s="2"/>
      <c r="BF1022" s="2"/>
      <c r="BG1022" s="2"/>
      <c r="BH1022" s="2"/>
      <c r="BI1022" s="2"/>
      <c r="BJ1022" s="2"/>
      <c r="BK1022" s="2"/>
      <c r="BM1022" s="2"/>
      <c r="BN1022" s="2"/>
      <c r="BO1022" s="2"/>
      <c r="BP1022" s="2"/>
      <c r="BQ1022" s="2"/>
      <c r="BR1022" s="6"/>
      <c r="BS1022" s="6"/>
      <c r="BT1022" s="2"/>
      <c r="BU1022" s="2"/>
      <c r="BV1022" s="2"/>
      <c r="BW1022" s="2"/>
      <c r="BX1022" s="2"/>
      <c r="BY1022" s="2"/>
      <c r="BZ1022" s="2"/>
      <c r="CA1022" s="2"/>
      <c r="CB1022" s="2"/>
      <c r="CC1022" s="2"/>
      <c r="CD1022" s="3"/>
      <c r="CE1022" s="2"/>
      <c r="CF1022" s="4"/>
      <c r="CG1022" s="4"/>
      <c r="CI1022" s="2"/>
    </row>
    <row r="1023" spans="1:87" s="101" customFormat="1" x14ac:dyDescent="0.35">
      <c r="A1023" s="1"/>
      <c r="C1023" s="1"/>
      <c r="G1023" s="2"/>
      <c r="H1023" s="2"/>
      <c r="I1023" s="2"/>
      <c r="J1023" s="2"/>
      <c r="K1023" s="81"/>
      <c r="L1023" s="4"/>
      <c r="M1023" s="4"/>
      <c r="N1023" s="4"/>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3"/>
      <c r="AP1023" s="2"/>
      <c r="AQ1023" s="2"/>
      <c r="AR1023" s="2"/>
      <c r="AS1023" s="2"/>
      <c r="AT1023" s="2"/>
      <c r="AU1023" s="2"/>
      <c r="AV1023" s="2"/>
      <c r="AW1023" s="2"/>
      <c r="AX1023" s="2"/>
      <c r="AY1023" s="2"/>
      <c r="AZ1023" s="5"/>
      <c r="BA1023" s="2"/>
      <c r="BD1023" s="2"/>
      <c r="BE1023" s="2"/>
      <c r="BF1023" s="2"/>
      <c r="BG1023" s="2"/>
      <c r="BH1023" s="2"/>
      <c r="BI1023" s="2"/>
      <c r="BJ1023" s="2"/>
      <c r="BK1023" s="2"/>
      <c r="BM1023" s="2"/>
      <c r="BN1023" s="2"/>
      <c r="BO1023" s="2"/>
      <c r="BP1023" s="2"/>
      <c r="BQ1023" s="2"/>
      <c r="BR1023" s="6"/>
      <c r="BS1023" s="6"/>
      <c r="BT1023" s="2"/>
      <c r="BU1023" s="2"/>
      <c r="BV1023" s="2"/>
      <c r="BW1023" s="2"/>
      <c r="BX1023" s="2"/>
      <c r="BY1023" s="2"/>
      <c r="BZ1023" s="2"/>
      <c r="CA1023" s="2"/>
      <c r="CB1023" s="2"/>
      <c r="CC1023" s="2"/>
      <c r="CD1023" s="3"/>
      <c r="CE1023" s="2"/>
      <c r="CF1023" s="4"/>
      <c r="CG1023" s="4"/>
      <c r="CI1023" s="2"/>
    </row>
    <row r="1024" spans="1:87" s="101" customFormat="1" x14ac:dyDescent="0.35">
      <c r="A1024" s="1"/>
      <c r="C1024" s="1"/>
      <c r="G1024" s="2"/>
      <c r="H1024" s="2"/>
      <c r="I1024" s="2"/>
      <c r="J1024" s="2"/>
      <c r="K1024" s="81"/>
      <c r="L1024" s="4"/>
      <c r="M1024" s="4"/>
      <c r="N1024" s="4"/>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3"/>
      <c r="AP1024" s="2"/>
      <c r="AQ1024" s="2"/>
      <c r="AR1024" s="2"/>
      <c r="AS1024" s="2"/>
      <c r="AT1024" s="2"/>
      <c r="AU1024" s="2"/>
      <c r="AV1024" s="2"/>
      <c r="AW1024" s="2"/>
      <c r="AX1024" s="2"/>
      <c r="AY1024" s="2"/>
      <c r="AZ1024" s="5"/>
      <c r="BA1024" s="2"/>
      <c r="BD1024" s="2"/>
      <c r="BE1024" s="2"/>
      <c r="BF1024" s="2"/>
      <c r="BG1024" s="2"/>
      <c r="BH1024" s="2"/>
      <c r="BI1024" s="2"/>
      <c r="BJ1024" s="2"/>
      <c r="BK1024" s="2"/>
      <c r="BM1024" s="2"/>
      <c r="BN1024" s="2"/>
      <c r="BO1024" s="2"/>
      <c r="BP1024" s="2"/>
      <c r="BQ1024" s="2"/>
      <c r="BR1024" s="6"/>
      <c r="BS1024" s="6"/>
      <c r="BT1024" s="2"/>
      <c r="BU1024" s="2"/>
      <c r="BV1024" s="2"/>
      <c r="BW1024" s="2"/>
      <c r="BX1024" s="2"/>
      <c r="BY1024" s="2"/>
      <c r="BZ1024" s="2"/>
      <c r="CA1024" s="2"/>
      <c r="CB1024" s="2"/>
      <c r="CC1024" s="2"/>
      <c r="CD1024" s="3"/>
      <c r="CE1024" s="2"/>
      <c r="CF1024" s="4"/>
      <c r="CG1024" s="4"/>
      <c r="CI1024" s="2"/>
    </row>
    <row r="1025" spans="1:87" s="101" customFormat="1" x14ac:dyDescent="0.35">
      <c r="A1025" s="1"/>
      <c r="C1025" s="1"/>
      <c r="G1025" s="2"/>
      <c r="H1025" s="2"/>
      <c r="I1025" s="2"/>
      <c r="J1025" s="2"/>
      <c r="K1025" s="81"/>
      <c r="L1025" s="4"/>
      <c r="M1025" s="4"/>
      <c r="N1025" s="4"/>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3"/>
      <c r="AP1025" s="2"/>
      <c r="AQ1025" s="2"/>
      <c r="AR1025" s="2"/>
      <c r="AS1025" s="2"/>
      <c r="AT1025" s="2"/>
      <c r="AU1025" s="2"/>
      <c r="AV1025" s="2"/>
      <c r="AW1025" s="2"/>
      <c r="AX1025" s="2"/>
      <c r="AY1025" s="2"/>
      <c r="AZ1025" s="5"/>
      <c r="BA1025" s="2"/>
      <c r="BD1025" s="2"/>
      <c r="BE1025" s="2"/>
      <c r="BF1025" s="2"/>
      <c r="BG1025" s="2"/>
      <c r="BH1025" s="2"/>
      <c r="BI1025" s="2"/>
      <c r="BJ1025" s="2"/>
      <c r="BK1025" s="2"/>
      <c r="BM1025" s="2"/>
      <c r="BN1025" s="2"/>
      <c r="BO1025" s="2"/>
      <c r="BP1025" s="2"/>
      <c r="BQ1025" s="2"/>
      <c r="BR1025" s="6"/>
      <c r="BS1025" s="6"/>
      <c r="BT1025" s="2"/>
      <c r="BU1025" s="2"/>
      <c r="BV1025" s="2"/>
      <c r="BW1025" s="2"/>
      <c r="BX1025" s="2"/>
      <c r="BY1025" s="2"/>
      <c r="BZ1025" s="2"/>
      <c r="CA1025" s="2"/>
      <c r="CB1025" s="2"/>
      <c r="CC1025" s="2"/>
      <c r="CD1025" s="3"/>
      <c r="CE1025" s="2"/>
      <c r="CF1025" s="4"/>
      <c r="CG1025" s="4"/>
      <c r="CI1025" s="2"/>
    </row>
    <row r="1026" spans="1:87" s="101" customFormat="1" x14ac:dyDescent="0.35">
      <c r="A1026" s="1"/>
      <c r="C1026" s="1"/>
      <c r="G1026" s="2"/>
      <c r="H1026" s="2"/>
      <c r="I1026" s="2"/>
      <c r="J1026" s="2"/>
      <c r="K1026" s="81"/>
      <c r="L1026" s="4"/>
      <c r="M1026" s="4"/>
      <c r="N1026" s="4"/>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3"/>
      <c r="AP1026" s="2"/>
      <c r="AQ1026" s="2"/>
      <c r="AR1026" s="2"/>
      <c r="AS1026" s="2"/>
      <c r="AT1026" s="2"/>
      <c r="AU1026" s="2"/>
      <c r="AV1026" s="2"/>
      <c r="AW1026" s="2"/>
      <c r="AX1026" s="2"/>
      <c r="AY1026" s="2"/>
      <c r="AZ1026" s="5"/>
      <c r="BA1026" s="2"/>
      <c r="BD1026" s="2"/>
      <c r="BE1026" s="2"/>
      <c r="BF1026" s="2"/>
      <c r="BG1026" s="2"/>
      <c r="BH1026" s="2"/>
      <c r="BI1026" s="2"/>
      <c r="BJ1026" s="2"/>
      <c r="BK1026" s="2"/>
      <c r="BM1026" s="2"/>
      <c r="BN1026" s="2"/>
      <c r="BO1026" s="2"/>
      <c r="BP1026" s="2"/>
      <c r="BQ1026" s="2"/>
      <c r="BR1026" s="6"/>
      <c r="BS1026" s="6"/>
      <c r="BT1026" s="2"/>
      <c r="BU1026" s="2"/>
      <c r="BV1026" s="2"/>
      <c r="BW1026" s="2"/>
      <c r="BX1026" s="2"/>
      <c r="BY1026" s="2"/>
      <c r="BZ1026" s="2"/>
      <c r="CA1026" s="2"/>
      <c r="CB1026" s="2"/>
      <c r="CC1026" s="2"/>
      <c r="CD1026" s="3"/>
      <c r="CE1026" s="2"/>
      <c r="CF1026" s="4"/>
      <c r="CG1026" s="4"/>
      <c r="CI1026" s="2"/>
    </row>
    <row r="1027" spans="1:87" s="101" customFormat="1" x14ac:dyDescent="0.35">
      <c r="A1027" s="1"/>
      <c r="C1027" s="1"/>
      <c r="G1027" s="2"/>
      <c r="H1027" s="2"/>
      <c r="I1027" s="2"/>
      <c r="J1027" s="2"/>
      <c r="K1027" s="81"/>
      <c r="L1027" s="4"/>
      <c r="M1027" s="4"/>
      <c r="N1027" s="4"/>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3"/>
      <c r="AP1027" s="2"/>
      <c r="AQ1027" s="2"/>
      <c r="AR1027" s="2"/>
      <c r="AS1027" s="2"/>
      <c r="AT1027" s="2"/>
      <c r="AU1027" s="2"/>
      <c r="AV1027" s="2"/>
      <c r="AW1027" s="2"/>
      <c r="AX1027" s="2"/>
      <c r="AY1027" s="2"/>
      <c r="AZ1027" s="5"/>
      <c r="BA1027" s="2"/>
      <c r="BD1027" s="2"/>
      <c r="BE1027" s="2"/>
      <c r="BF1027" s="2"/>
      <c r="BG1027" s="2"/>
      <c r="BH1027" s="2"/>
      <c r="BI1027" s="2"/>
      <c r="BJ1027" s="2"/>
      <c r="BK1027" s="2"/>
      <c r="BM1027" s="2"/>
      <c r="BN1027" s="2"/>
      <c r="BO1027" s="2"/>
      <c r="BP1027" s="2"/>
      <c r="BQ1027" s="2"/>
      <c r="BR1027" s="6"/>
      <c r="BS1027" s="6"/>
      <c r="BT1027" s="2"/>
      <c r="BU1027" s="2"/>
      <c r="BV1027" s="2"/>
      <c r="BW1027" s="2"/>
      <c r="BX1027" s="2"/>
      <c r="BY1027" s="2"/>
      <c r="BZ1027" s="2"/>
      <c r="CA1027" s="2"/>
      <c r="CB1027" s="2"/>
      <c r="CC1027" s="2"/>
      <c r="CD1027" s="3"/>
      <c r="CE1027" s="2"/>
      <c r="CF1027" s="4"/>
      <c r="CG1027" s="4"/>
      <c r="CI1027" s="2"/>
    </row>
    <row r="1028" spans="1:87" s="101" customFormat="1" x14ac:dyDescent="0.35">
      <c r="A1028" s="1"/>
      <c r="C1028" s="1"/>
      <c r="G1028" s="2"/>
      <c r="H1028" s="2"/>
      <c r="I1028" s="2"/>
      <c r="J1028" s="2"/>
      <c r="K1028" s="81"/>
      <c r="L1028" s="4"/>
      <c r="M1028" s="4"/>
      <c r="N1028" s="4"/>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3"/>
      <c r="AP1028" s="2"/>
      <c r="AQ1028" s="2"/>
      <c r="AR1028" s="2"/>
      <c r="AS1028" s="2"/>
      <c r="AT1028" s="2"/>
      <c r="AU1028" s="2"/>
      <c r="AV1028" s="2"/>
      <c r="AW1028" s="2"/>
      <c r="AX1028" s="2"/>
      <c r="AY1028" s="2"/>
      <c r="AZ1028" s="5"/>
      <c r="BA1028" s="2"/>
      <c r="BD1028" s="2"/>
      <c r="BE1028" s="2"/>
      <c r="BF1028" s="2"/>
      <c r="BG1028" s="2"/>
      <c r="BH1028" s="2"/>
      <c r="BI1028" s="2"/>
      <c r="BJ1028" s="2"/>
      <c r="BK1028" s="2"/>
      <c r="BM1028" s="2"/>
      <c r="BN1028" s="2"/>
      <c r="BO1028" s="2"/>
      <c r="BP1028" s="2"/>
      <c r="BQ1028" s="2"/>
      <c r="BR1028" s="6"/>
      <c r="BS1028" s="6"/>
      <c r="BT1028" s="2"/>
      <c r="BU1028" s="2"/>
      <c r="BV1028" s="2"/>
      <c r="BW1028" s="2"/>
      <c r="BX1028" s="2"/>
      <c r="BY1028" s="2"/>
      <c r="BZ1028" s="2"/>
      <c r="CA1028" s="2"/>
      <c r="CB1028" s="2"/>
      <c r="CC1028" s="2"/>
      <c r="CD1028" s="3"/>
      <c r="CE1028" s="2"/>
      <c r="CF1028" s="4"/>
      <c r="CG1028" s="4"/>
      <c r="CI1028" s="2"/>
    </row>
    <row r="1029" spans="1:87" s="101" customFormat="1" x14ac:dyDescent="0.35">
      <c r="A1029" s="1"/>
      <c r="C1029" s="1"/>
      <c r="G1029" s="2"/>
      <c r="H1029" s="2"/>
      <c r="I1029" s="2"/>
      <c r="J1029" s="2"/>
      <c r="K1029" s="81"/>
      <c r="L1029" s="4"/>
      <c r="M1029" s="4"/>
      <c r="N1029" s="4"/>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3"/>
      <c r="AP1029" s="2"/>
      <c r="AQ1029" s="2"/>
      <c r="AR1029" s="2"/>
      <c r="AS1029" s="2"/>
      <c r="AT1029" s="2"/>
      <c r="AU1029" s="2"/>
      <c r="AV1029" s="2"/>
      <c r="AW1029" s="2"/>
      <c r="AX1029" s="2"/>
      <c r="AY1029" s="2"/>
      <c r="AZ1029" s="5"/>
      <c r="BA1029" s="2"/>
      <c r="BD1029" s="2"/>
      <c r="BE1029" s="2"/>
      <c r="BF1029" s="2"/>
      <c r="BG1029" s="2"/>
      <c r="BH1029" s="2"/>
      <c r="BI1029" s="2"/>
      <c r="BJ1029" s="2"/>
      <c r="BK1029" s="2"/>
      <c r="BM1029" s="2"/>
      <c r="BN1029" s="2"/>
      <c r="BO1029" s="2"/>
      <c r="BP1029" s="2"/>
      <c r="BQ1029" s="2"/>
      <c r="BR1029" s="6"/>
      <c r="BS1029" s="6"/>
      <c r="BT1029" s="2"/>
      <c r="BU1029" s="2"/>
      <c r="BV1029" s="2"/>
      <c r="BW1029" s="2"/>
      <c r="BX1029" s="2"/>
      <c r="BY1029" s="2"/>
      <c r="BZ1029" s="2"/>
      <c r="CA1029" s="2"/>
      <c r="CB1029" s="2"/>
      <c r="CC1029" s="2"/>
      <c r="CD1029" s="3"/>
      <c r="CE1029" s="2"/>
      <c r="CF1029" s="4"/>
      <c r="CG1029" s="4"/>
      <c r="CI1029" s="2"/>
    </row>
    <row r="1030" spans="1:87" s="101" customFormat="1" x14ac:dyDescent="0.35">
      <c r="A1030" s="1"/>
      <c r="C1030" s="1"/>
      <c r="G1030" s="2"/>
      <c r="H1030" s="2"/>
      <c r="I1030" s="2"/>
      <c r="J1030" s="2"/>
      <c r="K1030" s="81"/>
      <c r="L1030" s="4"/>
      <c r="M1030" s="4"/>
      <c r="N1030" s="4"/>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3"/>
      <c r="AP1030" s="2"/>
      <c r="AQ1030" s="2"/>
      <c r="AR1030" s="2"/>
      <c r="AS1030" s="2"/>
      <c r="AT1030" s="2"/>
      <c r="AU1030" s="2"/>
      <c r="AV1030" s="2"/>
      <c r="AW1030" s="2"/>
      <c r="AX1030" s="2"/>
      <c r="AY1030" s="2"/>
      <c r="AZ1030" s="5"/>
      <c r="BA1030" s="2"/>
      <c r="BD1030" s="2"/>
      <c r="BE1030" s="2"/>
      <c r="BF1030" s="2"/>
      <c r="BG1030" s="2"/>
      <c r="BH1030" s="2"/>
      <c r="BI1030" s="2"/>
      <c r="BJ1030" s="2"/>
      <c r="BK1030" s="2"/>
      <c r="BM1030" s="2"/>
      <c r="BN1030" s="2"/>
      <c r="BO1030" s="2"/>
      <c r="BP1030" s="2"/>
      <c r="BQ1030" s="2"/>
      <c r="BR1030" s="6"/>
      <c r="BS1030" s="6"/>
      <c r="BT1030" s="2"/>
      <c r="BU1030" s="2"/>
      <c r="BV1030" s="2"/>
      <c r="BW1030" s="2"/>
      <c r="BX1030" s="2"/>
      <c r="BY1030" s="2"/>
      <c r="BZ1030" s="2"/>
      <c r="CA1030" s="2"/>
      <c r="CB1030" s="2"/>
      <c r="CC1030" s="2"/>
      <c r="CD1030" s="3"/>
      <c r="CE1030" s="2"/>
      <c r="CF1030" s="4"/>
      <c r="CG1030" s="4"/>
      <c r="CI1030" s="2"/>
    </row>
    <row r="1031" spans="1:87" s="101" customFormat="1" x14ac:dyDescent="0.35">
      <c r="A1031" s="1"/>
      <c r="C1031" s="1"/>
      <c r="G1031" s="2"/>
      <c r="H1031" s="2"/>
      <c r="I1031" s="2"/>
      <c r="J1031" s="2"/>
      <c r="K1031" s="81"/>
      <c r="L1031" s="4"/>
      <c r="M1031" s="4"/>
      <c r="N1031" s="4"/>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3"/>
      <c r="AP1031" s="2"/>
      <c r="AQ1031" s="2"/>
      <c r="AR1031" s="2"/>
      <c r="AS1031" s="2"/>
      <c r="AT1031" s="2"/>
      <c r="AU1031" s="2"/>
      <c r="AV1031" s="2"/>
      <c r="AW1031" s="2"/>
      <c r="AX1031" s="2"/>
      <c r="AY1031" s="2"/>
      <c r="AZ1031" s="5"/>
      <c r="BA1031" s="2"/>
      <c r="BD1031" s="2"/>
      <c r="BE1031" s="2"/>
      <c r="BF1031" s="2"/>
      <c r="BG1031" s="2"/>
      <c r="BH1031" s="2"/>
      <c r="BI1031" s="2"/>
      <c r="BJ1031" s="2"/>
      <c r="BK1031" s="2"/>
      <c r="BM1031" s="2"/>
      <c r="BN1031" s="2"/>
      <c r="BO1031" s="2"/>
      <c r="BP1031" s="2"/>
      <c r="BQ1031" s="2"/>
      <c r="BR1031" s="6"/>
      <c r="BS1031" s="6"/>
      <c r="BT1031" s="2"/>
      <c r="BU1031" s="2"/>
      <c r="BV1031" s="2"/>
      <c r="BW1031" s="2"/>
      <c r="BX1031" s="2"/>
      <c r="BY1031" s="2"/>
      <c r="BZ1031" s="2"/>
      <c r="CA1031" s="2"/>
      <c r="CB1031" s="2"/>
      <c r="CC1031" s="2"/>
      <c r="CD1031" s="3"/>
      <c r="CE1031" s="2"/>
      <c r="CF1031" s="4"/>
      <c r="CG1031" s="4"/>
      <c r="CI1031" s="2"/>
    </row>
    <row r="1032" spans="1:87" s="101" customFormat="1" x14ac:dyDescent="0.35">
      <c r="A1032" s="1"/>
      <c r="C1032" s="1"/>
      <c r="G1032" s="2"/>
      <c r="H1032" s="2"/>
      <c r="I1032" s="2"/>
      <c r="J1032" s="2"/>
      <c r="K1032" s="81"/>
      <c r="L1032" s="4"/>
      <c r="M1032" s="4"/>
      <c r="N1032" s="4"/>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3"/>
      <c r="AP1032" s="2"/>
      <c r="AQ1032" s="2"/>
      <c r="AR1032" s="2"/>
      <c r="AS1032" s="2"/>
      <c r="AT1032" s="2"/>
      <c r="AU1032" s="2"/>
      <c r="AV1032" s="2"/>
      <c r="AW1032" s="2"/>
      <c r="AX1032" s="2"/>
      <c r="AY1032" s="2"/>
      <c r="AZ1032" s="5"/>
      <c r="BA1032" s="2"/>
      <c r="BD1032" s="2"/>
      <c r="BE1032" s="2"/>
      <c r="BF1032" s="2"/>
      <c r="BG1032" s="2"/>
      <c r="BH1032" s="2"/>
      <c r="BI1032" s="2"/>
      <c r="BJ1032" s="2"/>
      <c r="BK1032" s="2"/>
      <c r="BM1032" s="2"/>
      <c r="BN1032" s="2"/>
      <c r="BO1032" s="2"/>
      <c r="BP1032" s="2"/>
      <c r="BQ1032" s="2"/>
      <c r="BR1032" s="6"/>
      <c r="BS1032" s="6"/>
      <c r="BT1032" s="2"/>
      <c r="BU1032" s="2"/>
      <c r="BV1032" s="2"/>
      <c r="BW1032" s="2"/>
      <c r="BX1032" s="2"/>
      <c r="BY1032" s="2"/>
      <c r="BZ1032" s="2"/>
      <c r="CA1032" s="2"/>
      <c r="CB1032" s="2"/>
      <c r="CC1032" s="2"/>
      <c r="CD1032" s="3"/>
      <c r="CE1032" s="2"/>
      <c r="CF1032" s="4"/>
      <c r="CG1032" s="4"/>
      <c r="CI1032" s="2"/>
    </row>
    <row r="1033" spans="1:87" s="101" customFormat="1" x14ac:dyDescent="0.35">
      <c r="A1033" s="1"/>
      <c r="C1033" s="1"/>
      <c r="G1033" s="2"/>
      <c r="H1033" s="2"/>
      <c r="I1033" s="2"/>
      <c r="J1033" s="2"/>
      <c r="K1033" s="81"/>
      <c r="L1033" s="4"/>
      <c r="M1033" s="4"/>
      <c r="N1033" s="4"/>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3"/>
      <c r="AP1033" s="2"/>
      <c r="AQ1033" s="2"/>
      <c r="AR1033" s="2"/>
      <c r="AS1033" s="2"/>
      <c r="AT1033" s="2"/>
      <c r="AU1033" s="2"/>
      <c r="AV1033" s="2"/>
      <c r="AW1033" s="2"/>
      <c r="AX1033" s="2"/>
      <c r="AY1033" s="2"/>
      <c r="AZ1033" s="5"/>
      <c r="BA1033" s="2"/>
      <c r="BD1033" s="2"/>
      <c r="BE1033" s="2"/>
      <c r="BF1033" s="2"/>
      <c r="BG1033" s="2"/>
      <c r="BH1033" s="2"/>
      <c r="BI1033" s="2"/>
      <c r="BJ1033" s="2"/>
      <c r="BK1033" s="2"/>
      <c r="BM1033" s="2"/>
      <c r="BN1033" s="2"/>
      <c r="BO1033" s="2"/>
      <c r="BP1033" s="2"/>
      <c r="BQ1033" s="2"/>
      <c r="BR1033" s="6"/>
      <c r="BS1033" s="6"/>
      <c r="BT1033" s="2"/>
      <c r="BU1033" s="2"/>
      <c r="BV1033" s="2"/>
      <c r="BW1033" s="2"/>
      <c r="BX1033" s="2"/>
      <c r="BY1033" s="2"/>
      <c r="BZ1033" s="2"/>
      <c r="CA1033" s="2"/>
      <c r="CB1033" s="2"/>
      <c r="CC1033" s="2"/>
      <c r="CD1033" s="3"/>
      <c r="CE1033" s="2"/>
      <c r="CF1033" s="4"/>
      <c r="CG1033" s="4"/>
      <c r="CI1033" s="2"/>
    </row>
    <row r="1034" spans="1:87" s="101" customFormat="1" x14ac:dyDescent="0.35">
      <c r="A1034" s="1"/>
      <c r="C1034" s="1"/>
      <c r="G1034" s="2"/>
      <c r="H1034" s="2"/>
      <c r="I1034" s="2"/>
      <c r="J1034" s="2"/>
      <c r="K1034" s="81"/>
      <c r="L1034" s="4"/>
      <c r="M1034" s="4"/>
      <c r="N1034" s="4"/>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3"/>
      <c r="AP1034" s="2"/>
      <c r="AQ1034" s="2"/>
      <c r="AR1034" s="2"/>
      <c r="AS1034" s="2"/>
      <c r="AT1034" s="2"/>
      <c r="AU1034" s="2"/>
      <c r="AV1034" s="2"/>
      <c r="AW1034" s="2"/>
      <c r="AX1034" s="2"/>
      <c r="AY1034" s="2"/>
      <c r="AZ1034" s="5"/>
      <c r="BA1034" s="2"/>
      <c r="BD1034" s="2"/>
      <c r="BE1034" s="2"/>
      <c r="BF1034" s="2"/>
      <c r="BG1034" s="2"/>
      <c r="BH1034" s="2"/>
      <c r="BI1034" s="2"/>
      <c r="BJ1034" s="2"/>
      <c r="BK1034" s="2"/>
      <c r="BM1034" s="2"/>
      <c r="BN1034" s="2"/>
      <c r="BO1034" s="2"/>
      <c r="BP1034" s="2"/>
      <c r="BQ1034" s="2"/>
      <c r="BR1034" s="6"/>
      <c r="BS1034" s="6"/>
      <c r="BT1034" s="2"/>
      <c r="BU1034" s="2"/>
      <c r="BV1034" s="2"/>
      <c r="BW1034" s="2"/>
      <c r="BX1034" s="2"/>
      <c r="BY1034" s="2"/>
      <c r="BZ1034" s="2"/>
      <c r="CA1034" s="2"/>
      <c r="CB1034" s="2"/>
      <c r="CC1034" s="2"/>
      <c r="CD1034" s="3"/>
      <c r="CE1034" s="2"/>
      <c r="CF1034" s="4"/>
      <c r="CG1034" s="4"/>
      <c r="CI1034" s="2"/>
    </row>
    <row r="1035" spans="1:87" s="101" customFormat="1" x14ac:dyDescent="0.35">
      <c r="A1035" s="1"/>
      <c r="C1035" s="1"/>
      <c r="G1035" s="2"/>
      <c r="H1035" s="2"/>
      <c r="I1035" s="2"/>
      <c r="J1035" s="2"/>
      <c r="K1035" s="81"/>
      <c r="L1035" s="4"/>
      <c r="M1035" s="4"/>
      <c r="N1035" s="4"/>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3"/>
      <c r="AP1035" s="2"/>
      <c r="AQ1035" s="2"/>
      <c r="AR1035" s="2"/>
      <c r="AS1035" s="2"/>
      <c r="AT1035" s="2"/>
      <c r="AU1035" s="2"/>
      <c r="AV1035" s="2"/>
      <c r="AW1035" s="2"/>
      <c r="AX1035" s="2"/>
      <c r="AY1035" s="2"/>
      <c r="AZ1035" s="5"/>
      <c r="BA1035" s="2"/>
      <c r="BD1035" s="2"/>
      <c r="BE1035" s="2"/>
      <c r="BF1035" s="2"/>
      <c r="BG1035" s="2"/>
      <c r="BH1035" s="2"/>
      <c r="BI1035" s="2"/>
      <c r="BJ1035" s="2"/>
      <c r="BK1035" s="2"/>
      <c r="BM1035" s="2"/>
      <c r="BN1035" s="2"/>
      <c r="BO1035" s="2"/>
      <c r="BP1035" s="2"/>
      <c r="BQ1035" s="2"/>
      <c r="BR1035" s="6"/>
      <c r="BS1035" s="6"/>
      <c r="BT1035" s="2"/>
      <c r="BU1035" s="2"/>
      <c r="BV1035" s="2"/>
      <c r="BW1035" s="2"/>
      <c r="BX1035" s="2"/>
      <c r="BY1035" s="2"/>
      <c r="BZ1035" s="2"/>
      <c r="CA1035" s="2"/>
      <c r="CB1035" s="2"/>
      <c r="CC1035" s="2"/>
      <c r="CD1035" s="3"/>
      <c r="CE1035" s="2"/>
      <c r="CF1035" s="4"/>
      <c r="CG1035" s="4"/>
      <c r="CI1035" s="2"/>
    </row>
    <row r="1036" spans="1:87" s="101" customFormat="1" x14ac:dyDescent="0.35">
      <c r="A1036" s="1"/>
      <c r="C1036" s="1"/>
      <c r="G1036" s="2"/>
      <c r="H1036" s="2"/>
      <c r="I1036" s="2"/>
      <c r="J1036" s="2"/>
      <c r="K1036" s="81"/>
      <c r="L1036" s="4"/>
      <c r="M1036" s="4"/>
      <c r="N1036" s="4"/>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3"/>
      <c r="AP1036" s="2"/>
      <c r="AQ1036" s="2"/>
      <c r="AR1036" s="2"/>
      <c r="AS1036" s="2"/>
      <c r="AT1036" s="2"/>
      <c r="AU1036" s="2"/>
      <c r="AV1036" s="2"/>
      <c r="AW1036" s="2"/>
      <c r="AX1036" s="2"/>
      <c r="AY1036" s="2"/>
      <c r="AZ1036" s="5"/>
      <c r="BA1036" s="2"/>
      <c r="BD1036" s="2"/>
      <c r="BE1036" s="2"/>
      <c r="BF1036" s="2"/>
      <c r="BG1036" s="2"/>
      <c r="BH1036" s="2"/>
      <c r="BI1036" s="2"/>
      <c r="BJ1036" s="2"/>
      <c r="BK1036" s="2"/>
      <c r="BM1036" s="2"/>
      <c r="BN1036" s="2"/>
      <c r="BO1036" s="2"/>
      <c r="BP1036" s="2"/>
      <c r="BQ1036" s="2"/>
      <c r="BR1036" s="6"/>
      <c r="BS1036" s="6"/>
      <c r="BT1036" s="2"/>
      <c r="BU1036" s="2"/>
      <c r="BV1036" s="2"/>
      <c r="BW1036" s="2"/>
      <c r="BX1036" s="2"/>
      <c r="BY1036" s="2"/>
      <c r="BZ1036" s="2"/>
      <c r="CA1036" s="2"/>
      <c r="CB1036" s="2"/>
      <c r="CC1036" s="2"/>
      <c r="CD1036" s="3"/>
      <c r="CE1036" s="2"/>
      <c r="CF1036" s="4"/>
      <c r="CG1036" s="4"/>
      <c r="CI1036" s="2"/>
    </row>
    <row r="1037" spans="1:87" s="101" customFormat="1" x14ac:dyDescent="0.35">
      <c r="A1037" s="1"/>
      <c r="C1037" s="1"/>
      <c r="G1037" s="2"/>
      <c r="H1037" s="2"/>
      <c r="I1037" s="2"/>
      <c r="J1037" s="2"/>
      <c r="K1037" s="81"/>
      <c r="L1037" s="4"/>
      <c r="M1037" s="4"/>
      <c r="N1037" s="4"/>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3"/>
      <c r="AP1037" s="2"/>
      <c r="AQ1037" s="2"/>
      <c r="AR1037" s="2"/>
      <c r="AS1037" s="2"/>
      <c r="AT1037" s="2"/>
      <c r="AU1037" s="2"/>
      <c r="AV1037" s="2"/>
      <c r="AW1037" s="2"/>
      <c r="AX1037" s="2"/>
      <c r="AY1037" s="2"/>
      <c r="AZ1037" s="5"/>
      <c r="BA1037" s="2"/>
      <c r="BD1037" s="2"/>
      <c r="BE1037" s="2"/>
      <c r="BF1037" s="2"/>
      <c r="BG1037" s="2"/>
      <c r="BH1037" s="2"/>
      <c r="BI1037" s="2"/>
      <c r="BJ1037" s="2"/>
      <c r="BK1037" s="2"/>
      <c r="BM1037" s="2"/>
      <c r="BN1037" s="2"/>
      <c r="BO1037" s="2"/>
      <c r="BP1037" s="2"/>
      <c r="BQ1037" s="2"/>
      <c r="BR1037" s="6"/>
      <c r="BS1037" s="6"/>
      <c r="BT1037" s="2"/>
      <c r="BU1037" s="2"/>
      <c r="BV1037" s="2"/>
      <c r="BW1037" s="2"/>
      <c r="BX1037" s="2"/>
      <c r="BY1037" s="2"/>
      <c r="BZ1037" s="2"/>
      <c r="CA1037" s="2"/>
      <c r="CB1037" s="2"/>
      <c r="CC1037" s="2"/>
      <c r="CD1037" s="3"/>
      <c r="CE1037" s="2"/>
      <c r="CF1037" s="4"/>
      <c r="CG1037" s="4"/>
      <c r="CI1037" s="2"/>
    </row>
    <row r="1038" spans="1:87" s="101" customFormat="1" x14ac:dyDescent="0.35">
      <c r="A1038" s="1"/>
      <c r="C1038" s="1"/>
      <c r="G1038" s="2"/>
      <c r="H1038" s="2"/>
      <c r="I1038" s="2"/>
      <c r="J1038" s="2"/>
      <c r="K1038" s="81"/>
      <c r="L1038" s="4"/>
      <c r="M1038" s="4"/>
      <c r="N1038" s="4"/>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3"/>
      <c r="AP1038" s="2"/>
      <c r="AQ1038" s="2"/>
      <c r="AR1038" s="2"/>
      <c r="AS1038" s="2"/>
      <c r="AT1038" s="2"/>
      <c r="AU1038" s="2"/>
      <c r="AV1038" s="2"/>
      <c r="AW1038" s="2"/>
      <c r="AX1038" s="2"/>
      <c r="AY1038" s="2"/>
      <c r="AZ1038" s="5"/>
      <c r="BA1038" s="2"/>
      <c r="BD1038" s="2"/>
      <c r="BE1038" s="2"/>
      <c r="BF1038" s="2"/>
      <c r="BG1038" s="2"/>
      <c r="BH1038" s="2"/>
      <c r="BI1038" s="2"/>
      <c r="BJ1038" s="2"/>
      <c r="BK1038" s="2"/>
      <c r="BM1038" s="2"/>
      <c r="BN1038" s="2"/>
      <c r="BO1038" s="2"/>
      <c r="BP1038" s="2"/>
      <c r="BQ1038" s="2"/>
      <c r="BR1038" s="6"/>
      <c r="BS1038" s="6"/>
      <c r="BT1038" s="2"/>
      <c r="BU1038" s="2"/>
      <c r="BV1038" s="2"/>
      <c r="BW1038" s="2"/>
      <c r="BX1038" s="2"/>
      <c r="BY1038" s="2"/>
      <c r="BZ1038" s="2"/>
      <c r="CA1038" s="2"/>
      <c r="CB1038" s="2"/>
      <c r="CC1038" s="2"/>
      <c r="CD1038" s="3"/>
      <c r="CE1038" s="2"/>
      <c r="CF1038" s="4"/>
      <c r="CG1038" s="4"/>
      <c r="CI1038" s="2"/>
    </row>
    <row r="1039" spans="1:87" s="101" customFormat="1" x14ac:dyDescent="0.35">
      <c r="A1039" s="1"/>
      <c r="C1039" s="1"/>
      <c r="G1039" s="2"/>
      <c r="H1039" s="2"/>
      <c r="I1039" s="2"/>
      <c r="J1039" s="2"/>
      <c r="K1039" s="81"/>
      <c r="L1039" s="4"/>
      <c r="M1039" s="4"/>
      <c r="N1039" s="4"/>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3"/>
      <c r="AP1039" s="2"/>
      <c r="AQ1039" s="2"/>
      <c r="AR1039" s="2"/>
      <c r="AS1039" s="2"/>
      <c r="AT1039" s="2"/>
      <c r="AU1039" s="2"/>
      <c r="AV1039" s="2"/>
      <c r="AW1039" s="2"/>
      <c r="AX1039" s="2"/>
      <c r="AY1039" s="2"/>
      <c r="AZ1039" s="5"/>
      <c r="BA1039" s="2"/>
      <c r="BD1039" s="2"/>
      <c r="BE1039" s="2"/>
      <c r="BF1039" s="2"/>
      <c r="BG1039" s="2"/>
      <c r="BH1039" s="2"/>
      <c r="BI1039" s="2"/>
      <c r="BJ1039" s="2"/>
      <c r="BK1039" s="2"/>
      <c r="BM1039" s="2"/>
      <c r="BN1039" s="2"/>
      <c r="BO1039" s="2"/>
      <c r="BP1039" s="2"/>
      <c r="BQ1039" s="2"/>
      <c r="BR1039" s="6"/>
      <c r="BS1039" s="6"/>
      <c r="BT1039" s="2"/>
      <c r="BU1039" s="2"/>
      <c r="BV1039" s="2"/>
      <c r="BW1039" s="2"/>
      <c r="BX1039" s="2"/>
      <c r="BY1039" s="2"/>
      <c r="BZ1039" s="2"/>
      <c r="CA1039" s="2"/>
      <c r="CB1039" s="2"/>
      <c r="CC1039" s="2"/>
      <c r="CD1039" s="3"/>
      <c r="CE1039" s="2"/>
      <c r="CF1039" s="4"/>
      <c r="CG1039" s="4"/>
      <c r="CI1039" s="2"/>
    </row>
    <row r="1040" spans="1:87" s="101" customFormat="1" x14ac:dyDescent="0.35">
      <c r="A1040" s="1"/>
      <c r="C1040" s="1"/>
      <c r="G1040" s="2"/>
      <c r="H1040" s="2"/>
      <c r="I1040" s="2"/>
      <c r="J1040" s="2"/>
      <c r="K1040" s="81"/>
      <c r="L1040" s="4"/>
      <c r="M1040" s="4"/>
      <c r="N1040" s="4"/>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3"/>
      <c r="AP1040" s="2"/>
      <c r="AQ1040" s="2"/>
      <c r="AR1040" s="2"/>
      <c r="AS1040" s="2"/>
      <c r="AT1040" s="2"/>
      <c r="AU1040" s="2"/>
      <c r="AV1040" s="2"/>
      <c r="AW1040" s="2"/>
      <c r="AX1040" s="2"/>
      <c r="AY1040" s="2"/>
      <c r="AZ1040" s="5"/>
      <c r="BA1040" s="2"/>
      <c r="BD1040" s="2"/>
      <c r="BE1040" s="2"/>
      <c r="BF1040" s="2"/>
      <c r="BG1040" s="2"/>
      <c r="BH1040" s="2"/>
      <c r="BI1040" s="2"/>
      <c r="BJ1040" s="2"/>
      <c r="BK1040" s="2"/>
      <c r="BM1040" s="2"/>
      <c r="BN1040" s="2"/>
      <c r="BO1040" s="2"/>
      <c r="BP1040" s="2"/>
      <c r="BQ1040" s="2"/>
      <c r="BR1040" s="6"/>
      <c r="BS1040" s="6"/>
      <c r="BT1040" s="2"/>
      <c r="BU1040" s="2"/>
      <c r="BV1040" s="2"/>
      <c r="BW1040" s="2"/>
      <c r="BX1040" s="2"/>
      <c r="BY1040" s="2"/>
      <c r="BZ1040" s="2"/>
      <c r="CA1040" s="2"/>
      <c r="CB1040" s="2"/>
      <c r="CC1040" s="2"/>
      <c r="CD1040" s="3"/>
      <c r="CE1040" s="2"/>
      <c r="CF1040" s="4"/>
      <c r="CG1040" s="4"/>
      <c r="CI1040" s="2"/>
    </row>
    <row r="1041" spans="1:87" s="101" customFormat="1" x14ac:dyDescent="0.35">
      <c r="A1041" s="1"/>
      <c r="C1041" s="1"/>
      <c r="G1041" s="2"/>
      <c r="H1041" s="2"/>
      <c r="I1041" s="2"/>
      <c r="J1041" s="2"/>
      <c r="K1041" s="81"/>
      <c r="L1041" s="4"/>
      <c r="M1041" s="4"/>
      <c r="N1041" s="4"/>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3"/>
      <c r="AP1041" s="2"/>
      <c r="AQ1041" s="2"/>
      <c r="AR1041" s="2"/>
      <c r="AS1041" s="2"/>
      <c r="AT1041" s="2"/>
      <c r="AU1041" s="2"/>
      <c r="AV1041" s="2"/>
      <c r="AW1041" s="2"/>
      <c r="AX1041" s="2"/>
      <c r="AY1041" s="2"/>
      <c r="AZ1041" s="5"/>
      <c r="BA1041" s="2"/>
      <c r="BD1041" s="2"/>
      <c r="BE1041" s="2"/>
      <c r="BF1041" s="2"/>
      <c r="BG1041" s="2"/>
      <c r="BH1041" s="2"/>
      <c r="BI1041" s="2"/>
      <c r="BJ1041" s="2"/>
      <c r="BK1041" s="2"/>
      <c r="BM1041" s="2"/>
      <c r="BN1041" s="2"/>
      <c r="BO1041" s="2"/>
      <c r="BP1041" s="2"/>
      <c r="BQ1041" s="2"/>
      <c r="BR1041" s="6"/>
      <c r="BS1041" s="6"/>
      <c r="BT1041" s="2"/>
      <c r="BU1041" s="2"/>
      <c r="BV1041" s="2"/>
      <c r="BW1041" s="2"/>
      <c r="BX1041" s="2"/>
      <c r="BY1041" s="2"/>
      <c r="BZ1041" s="2"/>
      <c r="CA1041" s="2"/>
      <c r="CB1041" s="2"/>
      <c r="CC1041" s="2"/>
      <c r="CD1041" s="3"/>
      <c r="CE1041" s="2"/>
      <c r="CF1041" s="4"/>
      <c r="CG1041" s="4"/>
      <c r="CI1041" s="2"/>
    </row>
    <row r="1042" spans="1:87" s="101" customFormat="1" x14ac:dyDescent="0.35">
      <c r="A1042" s="1"/>
      <c r="C1042" s="1"/>
      <c r="G1042" s="2"/>
      <c r="H1042" s="2"/>
      <c r="I1042" s="2"/>
      <c r="J1042" s="2"/>
      <c r="K1042" s="81"/>
      <c r="L1042" s="4"/>
      <c r="M1042" s="4"/>
      <c r="N1042" s="4"/>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3"/>
      <c r="AP1042" s="2"/>
      <c r="AQ1042" s="2"/>
      <c r="AR1042" s="2"/>
      <c r="AS1042" s="2"/>
      <c r="AT1042" s="2"/>
      <c r="AU1042" s="2"/>
      <c r="AV1042" s="2"/>
      <c r="AW1042" s="2"/>
      <c r="AX1042" s="2"/>
      <c r="AY1042" s="2"/>
      <c r="AZ1042" s="5"/>
      <c r="BA1042" s="2"/>
      <c r="BD1042" s="2"/>
      <c r="BE1042" s="2"/>
      <c r="BF1042" s="2"/>
      <c r="BG1042" s="2"/>
      <c r="BH1042" s="2"/>
      <c r="BI1042" s="2"/>
      <c r="BJ1042" s="2"/>
      <c r="BK1042" s="2"/>
      <c r="BM1042" s="2"/>
      <c r="BN1042" s="2"/>
      <c r="BO1042" s="2"/>
      <c r="BP1042" s="2"/>
      <c r="BQ1042" s="2"/>
      <c r="BR1042" s="6"/>
      <c r="BS1042" s="6"/>
      <c r="BT1042" s="2"/>
      <c r="BU1042" s="2"/>
      <c r="BV1042" s="2"/>
      <c r="BW1042" s="2"/>
      <c r="BX1042" s="2"/>
      <c r="BY1042" s="2"/>
      <c r="BZ1042" s="2"/>
      <c r="CA1042" s="2"/>
      <c r="CB1042" s="2"/>
      <c r="CC1042" s="2"/>
      <c r="CD1042" s="3"/>
      <c r="CE1042" s="2"/>
      <c r="CF1042" s="4"/>
      <c r="CG1042" s="4"/>
      <c r="CI1042" s="2"/>
    </row>
    <row r="1043" spans="1:87" s="101" customFormat="1" x14ac:dyDescent="0.35">
      <c r="A1043" s="1"/>
      <c r="C1043" s="1"/>
      <c r="G1043" s="2"/>
      <c r="H1043" s="2"/>
      <c r="I1043" s="2"/>
      <c r="J1043" s="2"/>
      <c r="K1043" s="81"/>
      <c r="L1043" s="4"/>
      <c r="M1043" s="4"/>
      <c r="N1043" s="4"/>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3"/>
      <c r="AP1043" s="2"/>
      <c r="AQ1043" s="2"/>
      <c r="AR1043" s="2"/>
      <c r="AS1043" s="2"/>
      <c r="AT1043" s="2"/>
      <c r="AU1043" s="2"/>
      <c r="AV1043" s="2"/>
      <c r="AW1043" s="2"/>
      <c r="AX1043" s="2"/>
      <c r="AY1043" s="2"/>
      <c r="AZ1043" s="5"/>
      <c r="BA1043" s="2"/>
      <c r="BD1043" s="2"/>
      <c r="BE1043" s="2"/>
      <c r="BF1043" s="2"/>
      <c r="BG1043" s="2"/>
      <c r="BH1043" s="2"/>
      <c r="BI1043" s="2"/>
      <c r="BJ1043" s="2"/>
      <c r="BK1043" s="2"/>
      <c r="BM1043" s="2"/>
      <c r="BN1043" s="2"/>
      <c r="BO1043" s="2"/>
      <c r="BP1043" s="2"/>
      <c r="BQ1043" s="2"/>
      <c r="BR1043" s="6"/>
      <c r="BS1043" s="6"/>
      <c r="BT1043" s="2"/>
      <c r="BU1043" s="2"/>
      <c r="BV1043" s="2"/>
      <c r="BW1043" s="2"/>
      <c r="BX1043" s="2"/>
      <c r="BY1043" s="2"/>
      <c r="BZ1043" s="2"/>
      <c r="CA1043" s="2"/>
      <c r="CB1043" s="2"/>
      <c r="CC1043" s="2"/>
      <c r="CD1043" s="3"/>
      <c r="CE1043" s="2"/>
      <c r="CF1043" s="4"/>
      <c r="CG1043" s="4"/>
      <c r="CI1043" s="2"/>
    </row>
    <row r="1044" spans="1:87" s="101" customFormat="1" x14ac:dyDescent="0.35">
      <c r="A1044" s="1"/>
      <c r="C1044" s="1"/>
      <c r="G1044" s="2"/>
      <c r="H1044" s="2"/>
      <c r="I1044" s="2"/>
      <c r="J1044" s="2"/>
      <c r="K1044" s="81"/>
      <c r="L1044" s="4"/>
      <c r="M1044" s="4"/>
      <c r="N1044" s="4"/>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3"/>
      <c r="AP1044" s="2"/>
      <c r="AQ1044" s="2"/>
      <c r="AR1044" s="2"/>
      <c r="AS1044" s="2"/>
      <c r="AT1044" s="2"/>
      <c r="AU1044" s="2"/>
      <c r="AV1044" s="2"/>
      <c r="AW1044" s="2"/>
      <c r="AX1044" s="2"/>
      <c r="AY1044" s="2"/>
      <c r="AZ1044" s="5"/>
      <c r="BA1044" s="2"/>
      <c r="BD1044" s="2"/>
      <c r="BE1044" s="2"/>
      <c r="BF1044" s="2"/>
      <c r="BG1044" s="2"/>
      <c r="BH1044" s="2"/>
      <c r="BI1044" s="2"/>
      <c r="BJ1044" s="2"/>
      <c r="BK1044" s="2"/>
      <c r="BM1044" s="2"/>
      <c r="BN1044" s="2"/>
      <c r="BO1044" s="2"/>
      <c r="BP1044" s="2"/>
      <c r="BQ1044" s="2"/>
      <c r="BR1044" s="6"/>
      <c r="BS1044" s="6"/>
      <c r="BT1044" s="2"/>
      <c r="BU1044" s="2"/>
      <c r="BV1044" s="2"/>
      <c r="BW1044" s="2"/>
      <c r="BX1044" s="2"/>
      <c r="BY1044" s="2"/>
      <c r="BZ1044" s="2"/>
      <c r="CA1044" s="2"/>
      <c r="CB1044" s="2"/>
      <c r="CC1044" s="2"/>
      <c r="CD1044" s="3"/>
      <c r="CE1044" s="2"/>
      <c r="CF1044" s="4"/>
      <c r="CG1044" s="4"/>
      <c r="CI1044" s="2"/>
    </row>
    <row r="1045" spans="1:87" s="101" customFormat="1" x14ac:dyDescent="0.35">
      <c r="A1045" s="1"/>
      <c r="C1045" s="1"/>
      <c r="G1045" s="2"/>
      <c r="H1045" s="2"/>
      <c r="I1045" s="2"/>
      <c r="J1045" s="2"/>
      <c r="K1045" s="81"/>
      <c r="L1045" s="4"/>
      <c r="M1045" s="4"/>
      <c r="N1045" s="4"/>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3"/>
      <c r="AP1045" s="2"/>
      <c r="AQ1045" s="2"/>
      <c r="AR1045" s="2"/>
      <c r="AS1045" s="2"/>
      <c r="AT1045" s="2"/>
      <c r="AU1045" s="2"/>
      <c r="AV1045" s="2"/>
      <c r="AW1045" s="2"/>
      <c r="AX1045" s="2"/>
      <c r="AY1045" s="2"/>
      <c r="AZ1045" s="5"/>
      <c r="BA1045" s="2"/>
      <c r="BD1045" s="2"/>
      <c r="BE1045" s="2"/>
      <c r="BF1045" s="2"/>
      <c r="BG1045" s="2"/>
      <c r="BH1045" s="2"/>
      <c r="BI1045" s="2"/>
      <c r="BJ1045" s="2"/>
      <c r="BK1045" s="2"/>
      <c r="BM1045" s="2"/>
      <c r="BN1045" s="2"/>
      <c r="BO1045" s="2"/>
      <c r="BP1045" s="2"/>
      <c r="BQ1045" s="2"/>
      <c r="BR1045" s="6"/>
      <c r="BS1045" s="6"/>
      <c r="BT1045" s="2"/>
      <c r="BU1045" s="2"/>
      <c r="BV1045" s="2"/>
      <c r="BW1045" s="2"/>
      <c r="BX1045" s="2"/>
      <c r="BY1045" s="2"/>
      <c r="BZ1045" s="2"/>
      <c r="CA1045" s="2"/>
      <c r="CB1045" s="2"/>
      <c r="CC1045" s="2"/>
      <c r="CD1045" s="3"/>
      <c r="CE1045" s="2"/>
      <c r="CF1045" s="4"/>
      <c r="CG1045" s="4"/>
      <c r="CI1045" s="2"/>
    </row>
    <row r="1046" spans="1:87" s="101" customFormat="1" x14ac:dyDescent="0.35">
      <c r="A1046" s="1"/>
      <c r="C1046" s="1"/>
      <c r="G1046" s="2"/>
      <c r="H1046" s="2"/>
      <c r="I1046" s="2"/>
      <c r="J1046" s="2"/>
      <c r="K1046" s="81"/>
      <c r="L1046" s="4"/>
      <c r="M1046" s="4"/>
      <c r="N1046" s="4"/>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3"/>
      <c r="AP1046" s="2"/>
      <c r="AQ1046" s="2"/>
      <c r="AR1046" s="2"/>
      <c r="AS1046" s="2"/>
      <c r="AT1046" s="2"/>
      <c r="AU1046" s="2"/>
      <c r="AV1046" s="2"/>
      <c r="AW1046" s="2"/>
      <c r="AX1046" s="2"/>
      <c r="AY1046" s="2"/>
      <c r="AZ1046" s="5"/>
      <c r="BA1046" s="2"/>
      <c r="BD1046" s="2"/>
      <c r="BE1046" s="2"/>
      <c r="BF1046" s="2"/>
      <c r="BG1046" s="2"/>
      <c r="BH1046" s="2"/>
      <c r="BI1046" s="2"/>
      <c r="BJ1046" s="2"/>
      <c r="BK1046" s="2"/>
      <c r="BM1046" s="2"/>
      <c r="BN1046" s="2"/>
      <c r="BO1046" s="2"/>
      <c r="BP1046" s="2"/>
      <c r="BQ1046" s="2"/>
      <c r="BR1046" s="6"/>
      <c r="BS1046" s="6"/>
      <c r="BT1046" s="2"/>
      <c r="BU1046" s="2"/>
      <c r="BV1046" s="2"/>
      <c r="BW1046" s="2"/>
      <c r="BX1046" s="2"/>
      <c r="BY1046" s="2"/>
      <c r="BZ1046" s="2"/>
      <c r="CA1046" s="2"/>
      <c r="CB1046" s="2"/>
      <c r="CC1046" s="2"/>
      <c r="CD1046" s="3"/>
      <c r="CE1046" s="2"/>
      <c r="CF1046" s="4"/>
      <c r="CG1046" s="4"/>
      <c r="CI1046" s="2"/>
    </row>
    <row r="1047" spans="1:87" s="101" customFormat="1" x14ac:dyDescent="0.35">
      <c r="A1047" s="1"/>
      <c r="C1047" s="1"/>
      <c r="G1047" s="2"/>
      <c r="H1047" s="2"/>
      <c r="I1047" s="2"/>
      <c r="J1047" s="2"/>
      <c r="K1047" s="81"/>
      <c r="L1047" s="4"/>
      <c r="M1047" s="4"/>
      <c r="N1047" s="4"/>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3"/>
      <c r="AP1047" s="2"/>
      <c r="AQ1047" s="2"/>
      <c r="AR1047" s="2"/>
      <c r="AS1047" s="2"/>
      <c r="AT1047" s="2"/>
      <c r="AU1047" s="2"/>
      <c r="AV1047" s="2"/>
      <c r="AW1047" s="2"/>
      <c r="AX1047" s="2"/>
      <c r="AY1047" s="2"/>
      <c r="AZ1047" s="5"/>
      <c r="BA1047" s="2"/>
      <c r="BD1047" s="2"/>
      <c r="BE1047" s="2"/>
      <c r="BF1047" s="2"/>
      <c r="BG1047" s="2"/>
      <c r="BH1047" s="2"/>
      <c r="BI1047" s="2"/>
      <c r="BJ1047" s="2"/>
      <c r="BK1047" s="2"/>
      <c r="BM1047" s="2"/>
      <c r="BN1047" s="2"/>
      <c r="BO1047" s="2"/>
      <c r="BP1047" s="2"/>
      <c r="BQ1047" s="2"/>
      <c r="BR1047" s="6"/>
      <c r="BS1047" s="6"/>
      <c r="BT1047" s="2"/>
      <c r="BU1047" s="2"/>
      <c r="BV1047" s="2"/>
      <c r="BW1047" s="2"/>
      <c r="BX1047" s="2"/>
      <c r="BY1047" s="2"/>
      <c r="BZ1047" s="2"/>
      <c r="CA1047" s="2"/>
      <c r="CB1047" s="2"/>
      <c r="CC1047" s="2"/>
      <c r="CD1047" s="3"/>
      <c r="CE1047" s="2"/>
      <c r="CF1047" s="4"/>
      <c r="CG1047" s="4"/>
      <c r="CI1047" s="2"/>
    </row>
    <row r="1048" spans="1:87" s="101" customFormat="1" x14ac:dyDescent="0.35">
      <c r="A1048" s="1"/>
      <c r="C1048" s="1"/>
      <c r="G1048" s="2"/>
      <c r="H1048" s="2"/>
      <c r="I1048" s="2"/>
      <c r="J1048" s="2"/>
      <c r="K1048" s="81"/>
      <c r="L1048" s="4"/>
      <c r="M1048" s="4"/>
      <c r="N1048" s="4"/>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3"/>
      <c r="AP1048" s="2"/>
      <c r="AQ1048" s="2"/>
      <c r="AR1048" s="2"/>
      <c r="AS1048" s="2"/>
      <c r="AT1048" s="2"/>
      <c r="AU1048" s="2"/>
      <c r="AV1048" s="2"/>
      <c r="AW1048" s="2"/>
      <c r="AX1048" s="2"/>
      <c r="AY1048" s="2"/>
      <c r="AZ1048" s="5"/>
      <c r="BA1048" s="2"/>
      <c r="BD1048" s="2"/>
      <c r="BE1048" s="2"/>
      <c r="BF1048" s="2"/>
      <c r="BG1048" s="2"/>
      <c r="BH1048" s="2"/>
      <c r="BI1048" s="2"/>
      <c r="BJ1048" s="2"/>
      <c r="BK1048" s="2"/>
      <c r="BM1048" s="2"/>
      <c r="BN1048" s="2"/>
      <c r="BO1048" s="2"/>
      <c r="BP1048" s="2"/>
      <c r="BQ1048" s="2"/>
      <c r="BR1048" s="6"/>
      <c r="BS1048" s="6"/>
      <c r="BT1048" s="2"/>
      <c r="BU1048" s="2"/>
      <c r="BV1048" s="2"/>
      <c r="BW1048" s="2"/>
      <c r="BX1048" s="2"/>
      <c r="BY1048" s="2"/>
      <c r="BZ1048" s="2"/>
      <c r="CA1048" s="2"/>
      <c r="CB1048" s="2"/>
      <c r="CC1048" s="2"/>
      <c r="CD1048" s="3"/>
      <c r="CE1048" s="2"/>
      <c r="CF1048" s="4"/>
      <c r="CG1048" s="4"/>
      <c r="CI1048" s="2"/>
    </row>
    <row r="1049" spans="1:87" s="101" customFormat="1" x14ac:dyDescent="0.35">
      <c r="A1049" s="1"/>
      <c r="C1049" s="1"/>
      <c r="G1049" s="2"/>
      <c r="H1049" s="2"/>
      <c r="I1049" s="2"/>
      <c r="J1049" s="2"/>
      <c r="K1049" s="81"/>
      <c r="L1049" s="4"/>
      <c r="M1049" s="4"/>
      <c r="N1049" s="4"/>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3"/>
      <c r="AP1049" s="2"/>
      <c r="AQ1049" s="2"/>
      <c r="AR1049" s="2"/>
      <c r="AS1049" s="2"/>
      <c r="AT1049" s="2"/>
      <c r="AU1049" s="2"/>
      <c r="AV1049" s="2"/>
      <c r="AW1049" s="2"/>
      <c r="AX1049" s="2"/>
      <c r="AY1049" s="2"/>
      <c r="AZ1049" s="5"/>
      <c r="BA1049" s="2"/>
      <c r="BD1049" s="2"/>
      <c r="BE1049" s="2"/>
      <c r="BF1049" s="2"/>
      <c r="BG1049" s="2"/>
      <c r="BH1049" s="2"/>
      <c r="BI1049" s="2"/>
      <c r="BJ1049" s="2"/>
      <c r="BK1049" s="2"/>
      <c r="BM1049" s="2"/>
      <c r="BN1049" s="2"/>
      <c r="BO1049" s="2"/>
      <c r="BP1049" s="2"/>
      <c r="BQ1049" s="2"/>
      <c r="BR1049" s="6"/>
      <c r="BS1049" s="6"/>
      <c r="BT1049" s="2"/>
      <c r="BU1049" s="2"/>
      <c r="BV1049" s="2"/>
      <c r="BW1049" s="2"/>
      <c r="BX1049" s="2"/>
      <c r="BY1049" s="2"/>
      <c r="BZ1049" s="2"/>
      <c r="CA1049" s="2"/>
      <c r="CB1049" s="2"/>
      <c r="CC1049" s="2"/>
      <c r="CD1049" s="3"/>
      <c r="CE1049" s="2"/>
      <c r="CF1049" s="4"/>
      <c r="CG1049" s="4"/>
      <c r="CI1049" s="2"/>
    </row>
    <row r="1050" spans="1:87" s="101" customFormat="1" x14ac:dyDescent="0.35">
      <c r="A1050" s="1"/>
      <c r="C1050" s="1"/>
      <c r="G1050" s="2"/>
      <c r="H1050" s="2"/>
      <c r="I1050" s="2"/>
      <c r="J1050" s="2"/>
      <c r="K1050" s="81"/>
      <c r="L1050" s="4"/>
      <c r="M1050" s="4"/>
      <c r="N1050" s="4"/>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3"/>
      <c r="AP1050" s="2"/>
      <c r="AQ1050" s="2"/>
      <c r="AR1050" s="2"/>
      <c r="AS1050" s="2"/>
      <c r="AT1050" s="2"/>
      <c r="AU1050" s="2"/>
      <c r="AV1050" s="2"/>
      <c r="AW1050" s="2"/>
      <c r="AX1050" s="2"/>
      <c r="AY1050" s="2"/>
      <c r="AZ1050" s="5"/>
      <c r="BA1050" s="2"/>
      <c r="BD1050" s="2"/>
      <c r="BE1050" s="2"/>
      <c r="BF1050" s="2"/>
      <c r="BG1050" s="2"/>
      <c r="BH1050" s="2"/>
      <c r="BI1050" s="2"/>
      <c r="BJ1050" s="2"/>
      <c r="BK1050" s="2"/>
      <c r="BM1050" s="2"/>
      <c r="BN1050" s="2"/>
      <c r="BO1050" s="2"/>
      <c r="BP1050" s="2"/>
      <c r="BQ1050" s="2"/>
      <c r="BR1050" s="6"/>
      <c r="BS1050" s="6"/>
      <c r="BT1050" s="2"/>
      <c r="BU1050" s="2"/>
      <c r="BV1050" s="2"/>
      <c r="BW1050" s="2"/>
      <c r="BX1050" s="2"/>
      <c r="BY1050" s="2"/>
      <c r="BZ1050" s="2"/>
      <c r="CA1050" s="2"/>
      <c r="CB1050" s="2"/>
      <c r="CC1050" s="2"/>
      <c r="CD1050" s="3"/>
      <c r="CE1050" s="2"/>
      <c r="CF1050" s="4"/>
      <c r="CG1050" s="4"/>
      <c r="CI1050" s="2"/>
    </row>
    <row r="1051" spans="1:87" s="101" customFormat="1" x14ac:dyDescent="0.35">
      <c r="A1051" s="1"/>
      <c r="C1051" s="1"/>
      <c r="G1051" s="2"/>
      <c r="H1051" s="2"/>
      <c r="I1051" s="2"/>
      <c r="J1051" s="2"/>
      <c r="K1051" s="81"/>
      <c r="L1051" s="4"/>
      <c r="M1051" s="4"/>
      <c r="N1051" s="4"/>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3"/>
      <c r="AP1051" s="2"/>
      <c r="AQ1051" s="2"/>
      <c r="AR1051" s="2"/>
      <c r="AS1051" s="2"/>
      <c r="AT1051" s="2"/>
      <c r="AU1051" s="2"/>
      <c r="AV1051" s="2"/>
      <c r="AW1051" s="2"/>
      <c r="AX1051" s="2"/>
      <c r="AY1051" s="2"/>
      <c r="AZ1051" s="5"/>
      <c r="BA1051" s="2"/>
      <c r="BD1051" s="2"/>
      <c r="BE1051" s="2"/>
      <c r="BF1051" s="2"/>
      <c r="BG1051" s="2"/>
      <c r="BH1051" s="2"/>
      <c r="BI1051" s="2"/>
      <c r="BJ1051" s="2"/>
      <c r="BK1051" s="2"/>
      <c r="BM1051" s="2"/>
      <c r="BN1051" s="2"/>
      <c r="BO1051" s="2"/>
      <c r="BP1051" s="2"/>
      <c r="BQ1051" s="2"/>
      <c r="BR1051" s="6"/>
      <c r="BS1051" s="6"/>
      <c r="BT1051" s="2"/>
      <c r="BU1051" s="2"/>
      <c r="BV1051" s="2"/>
      <c r="BW1051" s="2"/>
      <c r="BX1051" s="2"/>
      <c r="BY1051" s="2"/>
      <c r="BZ1051" s="2"/>
      <c r="CA1051" s="2"/>
      <c r="CB1051" s="2"/>
      <c r="CC1051" s="2"/>
      <c r="CD1051" s="3"/>
      <c r="CE1051" s="2"/>
      <c r="CF1051" s="4"/>
      <c r="CG1051" s="4"/>
      <c r="CI1051" s="2"/>
    </row>
    <row r="1052" spans="1:87" s="101" customFormat="1" x14ac:dyDescent="0.35">
      <c r="A1052" s="1"/>
      <c r="C1052" s="1"/>
      <c r="G1052" s="2"/>
      <c r="H1052" s="2"/>
      <c r="I1052" s="2"/>
      <c r="J1052" s="2"/>
      <c r="K1052" s="81"/>
      <c r="L1052" s="4"/>
      <c r="M1052" s="4"/>
      <c r="N1052" s="4"/>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3"/>
      <c r="AP1052" s="2"/>
      <c r="AQ1052" s="2"/>
      <c r="AR1052" s="2"/>
      <c r="AS1052" s="2"/>
      <c r="AT1052" s="2"/>
      <c r="AU1052" s="2"/>
      <c r="AV1052" s="2"/>
      <c r="AW1052" s="2"/>
      <c r="AX1052" s="2"/>
      <c r="AY1052" s="2"/>
      <c r="AZ1052" s="5"/>
      <c r="BA1052" s="2"/>
      <c r="BD1052" s="2"/>
      <c r="BE1052" s="2"/>
      <c r="BF1052" s="2"/>
      <c r="BG1052" s="2"/>
      <c r="BH1052" s="2"/>
      <c r="BI1052" s="2"/>
      <c r="BJ1052" s="2"/>
      <c r="BK1052" s="2"/>
      <c r="BM1052" s="2"/>
      <c r="BN1052" s="2"/>
      <c r="BO1052" s="2"/>
      <c r="BP1052" s="2"/>
      <c r="BQ1052" s="2"/>
      <c r="BR1052" s="6"/>
      <c r="BS1052" s="6"/>
      <c r="BT1052" s="2"/>
      <c r="BU1052" s="2"/>
      <c r="BV1052" s="2"/>
      <c r="BW1052" s="2"/>
      <c r="BX1052" s="2"/>
      <c r="BY1052" s="2"/>
      <c r="BZ1052" s="2"/>
      <c r="CA1052" s="2"/>
      <c r="CB1052" s="2"/>
      <c r="CC1052" s="2"/>
      <c r="CD1052" s="3"/>
      <c r="CE1052" s="2"/>
      <c r="CF1052" s="4"/>
      <c r="CG1052" s="4"/>
      <c r="CI1052" s="2"/>
    </row>
    <row r="1053" spans="1:87" s="101" customFormat="1" x14ac:dyDescent="0.35">
      <c r="A1053" s="1"/>
      <c r="C1053" s="1"/>
      <c r="G1053" s="2"/>
      <c r="H1053" s="2"/>
      <c r="I1053" s="2"/>
      <c r="J1053" s="2"/>
      <c r="K1053" s="81"/>
      <c r="L1053" s="4"/>
      <c r="M1053" s="4"/>
      <c r="N1053" s="4"/>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3"/>
      <c r="AP1053" s="2"/>
      <c r="AQ1053" s="2"/>
      <c r="AR1053" s="2"/>
      <c r="AS1053" s="2"/>
      <c r="AT1053" s="2"/>
      <c r="AU1053" s="2"/>
      <c r="AV1053" s="2"/>
      <c r="AW1053" s="2"/>
      <c r="AX1053" s="2"/>
      <c r="AY1053" s="2"/>
      <c r="AZ1053" s="5"/>
      <c r="BA1053" s="2"/>
      <c r="BD1053" s="2"/>
      <c r="BE1053" s="2"/>
      <c r="BF1053" s="2"/>
      <c r="BG1053" s="2"/>
      <c r="BH1053" s="2"/>
      <c r="BI1053" s="2"/>
      <c r="BJ1053" s="2"/>
      <c r="BK1053" s="2"/>
      <c r="BM1053" s="2"/>
      <c r="BN1053" s="2"/>
      <c r="BO1053" s="2"/>
      <c r="BP1053" s="2"/>
      <c r="BQ1053" s="2"/>
      <c r="BR1053" s="6"/>
      <c r="BS1053" s="6"/>
      <c r="BT1053" s="2"/>
      <c r="BU1053" s="2"/>
      <c r="BV1053" s="2"/>
      <c r="BW1053" s="2"/>
      <c r="BX1053" s="2"/>
      <c r="BY1053" s="2"/>
      <c r="BZ1053" s="2"/>
      <c r="CA1053" s="2"/>
      <c r="CB1053" s="2"/>
      <c r="CC1053" s="2"/>
      <c r="CD1053" s="3"/>
      <c r="CE1053" s="2"/>
      <c r="CF1053" s="4"/>
      <c r="CG1053" s="4"/>
      <c r="CI1053" s="2"/>
    </row>
    <row r="1054" spans="1:87" s="101" customFormat="1" x14ac:dyDescent="0.35">
      <c r="A1054" s="1"/>
      <c r="C1054" s="1"/>
      <c r="G1054" s="2"/>
      <c r="H1054" s="2"/>
      <c r="I1054" s="2"/>
      <c r="J1054" s="2"/>
      <c r="K1054" s="81"/>
      <c r="L1054" s="4"/>
      <c r="M1054" s="4"/>
      <c r="N1054" s="4"/>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3"/>
      <c r="AP1054" s="2"/>
      <c r="AQ1054" s="2"/>
      <c r="AR1054" s="2"/>
      <c r="AS1054" s="2"/>
      <c r="AT1054" s="2"/>
      <c r="AU1054" s="2"/>
      <c r="AV1054" s="2"/>
      <c r="AW1054" s="2"/>
      <c r="AX1054" s="2"/>
      <c r="AY1054" s="2"/>
      <c r="AZ1054" s="5"/>
      <c r="BA1054" s="2"/>
      <c r="BD1054" s="2"/>
      <c r="BE1054" s="2"/>
      <c r="BF1054" s="2"/>
      <c r="BG1054" s="2"/>
      <c r="BH1054" s="2"/>
      <c r="BI1054" s="2"/>
      <c r="BJ1054" s="2"/>
      <c r="BK1054" s="2"/>
      <c r="BM1054" s="2"/>
      <c r="BN1054" s="2"/>
      <c r="BO1054" s="2"/>
      <c r="BP1054" s="2"/>
      <c r="BQ1054" s="2"/>
      <c r="BR1054" s="6"/>
      <c r="BS1054" s="6"/>
      <c r="BT1054" s="2"/>
      <c r="BU1054" s="2"/>
      <c r="BV1054" s="2"/>
      <c r="BW1054" s="2"/>
      <c r="BX1054" s="2"/>
      <c r="BY1054" s="2"/>
      <c r="BZ1054" s="2"/>
      <c r="CA1054" s="2"/>
      <c r="CB1054" s="2"/>
      <c r="CC1054" s="2"/>
      <c r="CD1054" s="3"/>
      <c r="CE1054" s="2"/>
      <c r="CF1054" s="4"/>
      <c r="CG1054" s="4"/>
      <c r="CI1054" s="2"/>
    </row>
    <row r="1055" spans="1:87" s="101" customFormat="1" x14ac:dyDescent="0.35">
      <c r="A1055" s="1"/>
      <c r="C1055" s="1"/>
      <c r="G1055" s="2"/>
      <c r="H1055" s="2"/>
      <c r="I1055" s="2"/>
      <c r="J1055" s="2"/>
      <c r="K1055" s="81"/>
      <c r="L1055" s="4"/>
      <c r="M1055" s="4"/>
      <c r="N1055" s="4"/>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3"/>
      <c r="AP1055" s="2"/>
      <c r="AQ1055" s="2"/>
      <c r="AR1055" s="2"/>
      <c r="AS1055" s="2"/>
      <c r="AT1055" s="2"/>
      <c r="AU1055" s="2"/>
      <c r="AV1055" s="2"/>
      <c r="AW1055" s="2"/>
      <c r="AX1055" s="2"/>
      <c r="AY1055" s="2"/>
      <c r="AZ1055" s="5"/>
      <c r="BA1055" s="2"/>
      <c r="BD1055" s="2"/>
      <c r="BE1055" s="2"/>
      <c r="BF1055" s="2"/>
      <c r="BG1055" s="2"/>
      <c r="BH1055" s="2"/>
      <c r="BI1055" s="2"/>
      <c r="BJ1055" s="2"/>
      <c r="BK1055" s="2"/>
      <c r="BM1055" s="2"/>
      <c r="BN1055" s="2"/>
      <c r="BO1055" s="2"/>
      <c r="BP1055" s="2"/>
      <c r="BQ1055" s="2"/>
      <c r="BR1055" s="6"/>
      <c r="BS1055" s="6"/>
      <c r="BT1055" s="2"/>
      <c r="BU1055" s="2"/>
      <c r="BV1055" s="2"/>
      <c r="BW1055" s="2"/>
      <c r="BX1055" s="2"/>
      <c r="BY1055" s="2"/>
      <c r="BZ1055" s="2"/>
      <c r="CA1055" s="2"/>
      <c r="CB1055" s="2"/>
      <c r="CC1055" s="2"/>
      <c r="CD1055" s="3"/>
      <c r="CE1055" s="2"/>
      <c r="CF1055" s="4"/>
      <c r="CG1055" s="4"/>
      <c r="CI1055" s="2"/>
    </row>
    <row r="1056" spans="1:87" s="101" customFormat="1" x14ac:dyDescent="0.35">
      <c r="A1056" s="1"/>
      <c r="C1056" s="1"/>
      <c r="G1056" s="2"/>
      <c r="H1056" s="2"/>
      <c r="I1056" s="2"/>
      <c r="J1056" s="2"/>
      <c r="K1056" s="81"/>
      <c r="L1056" s="4"/>
      <c r="M1056" s="4"/>
      <c r="N1056" s="4"/>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3"/>
      <c r="AP1056" s="2"/>
      <c r="AQ1056" s="2"/>
      <c r="AR1056" s="2"/>
      <c r="AS1056" s="2"/>
      <c r="AT1056" s="2"/>
      <c r="AU1056" s="2"/>
      <c r="AV1056" s="2"/>
      <c r="AW1056" s="2"/>
      <c r="AX1056" s="2"/>
      <c r="AY1056" s="2"/>
      <c r="AZ1056" s="5"/>
      <c r="BA1056" s="2"/>
      <c r="BD1056" s="2"/>
      <c r="BE1056" s="2"/>
      <c r="BF1056" s="2"/>
      <c r="BG1056" s="2"/>
      <c r="BH1056" s="2"/>
      <c r="BI1056" s="2"/>
      <c r="BJ1056" s="2"/>
      <c r="BK1056" s="2"/>
      <c r="BM1056" s="2"/>
      <c r="BN1056" s="2"/>
      <c r="BO1056" s="2"/>
      <c r="BP1056" s="2"/>
      <c r="BQ1056" s="2"/>
      <c r="BR1056" s="6"/>
      <c r="BS1056" s="6"/>
      <c r="BT1056" s="2"/>
      <c r="BU1056" s="2"/>
      <c r="BV1056" s="2"/>
      <c r="BW1056" s="2"/>
      <c r="BX1056" s="2"/>
      <c r="BY1056" s="2"/>
      <c r="BZ1056" s="2"/>
      <c r="CA1056" s="2"/>
      <c r="CB1056" s="2"/>
      <c r="CC1056" s="2"/>
      <c r="CD1056" s="3"/>
      <c r="CE1056" s="2"/>
      <c r="CF1056" s="4"/>
      <c r="CG1056" s="4"/>
      <c r="CI1056" s="2"/>
    </row>
    <row r="1057" spans="1:87" s="101" customFormat="1" x14ac:dyDescent="0.35">
      <c r="A1057" s="1"/>
      <c r="C1057" s="1"/>
      <c r="G1057" s="2"/>
      <c r="H1057" s="2"/>
      <c r="I1057" s="2"/>
      <c r="J1057" s="2"/>
      <c r="K1057" s="81"/>
      <c r="L1057" s="4"/>
      <c r="M1057" s="4"/>
      <c r="N1057" s="4"/>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3"/>
      <c r="AP1057" s="2"/>
      <c r="AQ1057" s="2"/>
      <c r="AR1057" s="2"/>
      <c r="AS1057" s="2"/>
      <c r="AT1057" s="2"/>
      <c r="AU1057" s="2"/>
      <c r="AV1057" s="2"/>
      <c r="AW1057" s="2"/>
      <c r="AX1057" s="2"/>
      <c r="AY1057" s="2"/>
      <c r="AZ1057" s="5"/>
      <c r="BA1057" s="2"/>
      <c r="BD1057" s="2"/>
      <c r="BE1057" s="2"/>
      <c r="BF1057" s="2"/>
      <c r="BG1057" s="2"/>
      <c r="BH1057" s="2"/>
      <c r="BI1057" s="2"/>
      <c r="BJ1057" s="2"/>
      <c r="BK1057" s="2"/>
      <c r="BM1057" s="2"/>
      <c r="BN1057" s="2"/>
      <c r="BO1057" s="2"/>
      <c r="BP1057" s="2"/>
      <c r="BQ1057" s="2"/>
      <c r="BR1057" s="6"/>
      <c r="BS1057" s="6"/>
      <c r="BT1057" s="2"/>
      <c r="BU1057" s="2"/>
      <c r="BV1057" s="2"/>
      <c r="BW1057" s="2"/>
      <c r="BX1057" s="2"/>
      <c r="BY1057" s="2"/>
      <c r="BZ1057" s="2"/>
      <c r="CA1057" s="2"/>
      <c r="CB1057" s="2"/>
      <c r="CC1057" s="2"/>
      <c r="CD1057" s="3"/>
      <c r="CE1057" s="2"/>
      <c r="CF1057" s="4"/>
      <c r="CG1057" s="4"/>
      <c r="CI1057" s="2"/>
    </row>
    <row r="1058" spans="1:87" s="101" customFormat="1" x14ac:dyDescent="0.35">
      <c r="A1058" s="1"/>
      <c r="C1058" s="1"/>
      <c r="G1058" s="2"/>
      <c r="H1058" s="2"/>
      <c r="I1058" s="2"/>
      <c r="J1058" s="2"/>
      <c r="K1058" s="81"/>
      <c r="L1058" s="4"/>
      <c r="M1058" s="4"/>
      <c r="N1058" s="4"/>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3"/>
      <c r="AP1058" s="2"/>
      <c r="AQ1058" s="2"/>
      <c r="AR1058" s="2"/>
      <c r="AS1058" s="2"/>
      <c r="AT1058" s="2"/>
      <c r="AU1058" s="2"/>
      <c r="AV1058" s="2"/>
      <c r="AW1058" s="2"/>
      <c r="AX1058" s="2"/>
      <c r="AY1058" s="2"/>
      <c r="AZ1058" s="5"/>
      <c r="BA1058" s="2"/>
      <c r="BD1058" s="2"/>
      <c r="BE1058" s="2"/>
      <c r="BF1058" s="2"/>
      <c r="BG1058" s="2"/>
      <c r="BH1058" s="2"/>
      <c r="BI1058" s="2"/>
      <c r="BJ1058" s="2"/>
      <c r="BK1058" s="2"/>
      <c r="BM1058" s="2"/>
      <c r="BN1058" s="2"/>
      <c r="BO1058" s="2"/>
      <c r="BP1058" s="2"/>
      <c r="BQ1058" s="2"/>
      <c r="BR1058" s="6"/>
      <c r="BS1058" s="6"/>
      <c r="BT1058" s="2"/>
      <c r="BU1058" s="2"/>
      <c r="BV1058" s="2"/>
      <c r="BW1058" s="2"/>
      <c r="BX1058" s="2"/>
      <c r="BY1058" s="2"/>
      <c r="BZ1058" s="2"/>
      <c r="CA1058" s="2"/>
      <c r="CB1058" s="2"/>
      <c r="CC1058" s="2"/>
      <c r="CD1058" s="3"/>
      <c r="CE1058" s="2"/>
      <c r="CF1058" s="4"/>
      <c r="CG1058" s="4"/>
      <c r="CI1058" s="2"/>
    </row>
    <row r="1059" spans="1:87" s="101" customFormat="1" x14ac:dyDescent="0.35">
      <c r="A1059" s="1"/>
      <c r="C1059" s="1"/>
      <c r="G1059" s="2"/>
      <c r="H1059" s="2"/>
      <c r="I1059" s="2"/>
      <c r="J1059" s="2"/>
      <c r="K1059" s="81"/>
      <c r="L1059" s="4"/>
      <c r="M1059" s="4"/>
      <c r="N1059" s="4"/>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3"/>
      <c r="AP1059" s="2"/>
      <c r="AQ1059" s="2"/>
      <c r="AR1059" s="2"/>
      <c r="AS1059" s="2"/>
      <c r="AT1059" s="2"/>
      <c r="AU1059" s="2"/>
      <c r="AV1059" s="2"/>
      <c r="AW1059" s="2"/>
      <c r="AX1059" s="2"/>
      <c r="AY1059" s="2"/>
      <c r="AZ1059" s="5"/>
      <c r="BA1059" s="2"/>
      <c r="BD1059" s="2"/>
      <c r="BE1059" s="2"/>
      <c r="BF1059" s="2"/>
      <c r="BG1059" s="2"/>
      <c r="BH1059" s="2"/>
      <c r="BI1059" s="2"/>
      <c r="BJ1059" s="2"/>
      <c r="BK1059" s="2"/>
      <c r="BM1059" s="2"/>
      <c r="BN1059" s="2"/>
      <c r="BO1059" s="2"/>
      <c r="BP1059" s="2"/>
      <c r="BQ1059" s="2"/>
      <c r="BR1059" s="6"/>
      <c r="BS1059" s="6"/>
      <c r="BT1059" s="2"/>
      <c r="BU1059" s="2"/>
      <c r="BV1059" s="2"/>
      <c r="BW1059" s="2"/>
      <c r="BX1059" s="2"/>
      <c r="BY1059" s="2"/>
      <c r="BZ1059" s="2"/>
      <c r="CA1059" s="2"/>
      <c r="CB1059" s="2"/>
      <c r="CC1059" s="2"/>
      <c r="CD1059" s="3"/>
      <c r="CE1059" s="2"/>
      <c r="CF1059" s="4"/>
      <c r="CG1059" s="4"/>
      <c r="CI1059" s="2"/>
    </row>
    <row r="1060" spans="1:87" s="101" customFormat="1" x14ac:dyDescent="0.35">
      <c r="A1060" s="1"/>
      <c r="C1060" s="1"/>
      <c r="G1060" s="2"/>
      <c r="H1060" s="2"/>
      <c r="I1060" s="2"/>
      <c r="J1060" s="2"/>
      <c r="K1060" s="81"/>
      <c r="L1060" s="4"/>
      <c r="M1060" s="4"/>
      <c r="N1060" s="4"/>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3"/>
      <c r="AP1060" s="2"/>
      <c r="AQ1060" s="2"/>
      <c r="AR1060" s="2"/>
      <c r="AS1060" s="2"/>
      <c r="AT1060" s="2"/>
      <c r="AU1060" s="2"/>
      <c r="AV1060" s="2"/>
      <c r="AW1060" s="2"/>
      <c r="AX1060" s="2"/>
      <c r="AY1060" s="2"/>
      <c r="AZ1060" s="5"/>
      <c r="BA1060" s="2"/>
      <c r="BD1060" s="2"/>
      <c r="BE1060" s="2"/>
      <c r="BF1060" s="2"/>
      <c r="BG1060" s="2"/>
      <c r="BH1060" s="2"/>
      <c r="BI1060" s="2"/>
      <c r="BJ1060" s="2"/>
      <c r="BK1060" s="2"/>
      <c r="BM1060" s="2"/>
      <c r="BN1060" s="2"/>
      <c r="BO1060" s="2"/>
      <c r="BP1060" s="2"/>
      <c r="BQ1060" s="2"/>
      <c r="BR1060" s="6"/>
      <c r="BS1060" s="6"/>
      <c r="BT1060" s="2"/>
      <c r="BU1060" s="2"/>
      <c r="BV1060" s="2"/>
      <c r="BW1060" s="2"/>
      <c r="BX1060" s="2"/>
      <c r="BY1060" s="2"/>
      <c r="BZ1060" s="2"/>
      <c r="CA1060" s="2"/>
      <c r="CB1060" s="2"/>
      <c r="CC1060" s="2"/>
      <c r="CD1060" s="3"/>
      <c r="CE1060" s="2"/>
      <c r="CF1060" s="4"/>
      <c r="CG1060" s="4"/>
      <c r="CI1060" s="2"/>
    </row>
    <row r="1061" spans="1:87" s="101" customFormat="1" x14ac:dyDescent="0.35">
      <c r="A1061" s="1"/>
      <c r="C1061" s="1"/>
      <c r="G1061" s="2"/>
      <c r="H1061" s="2"/>
      <c r="I1061" s="2"/>
      <c r="J1061" s="2"/>
      <c r="K1061" s="81"/>
      <c r="L1061" s="4"/>
      <c r="M1061" s="4"/>
      <c r="N1061" s="4"/>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3"/>
      <c r="AP1061" s="2"/>
      <c r="AQ1061" s="2"/>
      <c r="AR1061" s="2"/>
      <c r="AS1061" s="2"/>
      <c r="AT1061" s="2"/>
      <c r="AU1061" s="2"/>
      <c r="AV1061" s="2"/>
      <c r="AW1061" s="2"/>
      <c r="AX1061" s="2"/>
      <c r="AY1061" s="2"/>
      <c r="AZ1061" s="5"/>
      <c r="BA1061" s="2"/>
      <c r="BD1061" s="2"/>
      <c r="BE1061" s="2"/>
      <c r="BF1061" s="2"/>
      <c r="BG1061" s="2"/>
      <c r="BH1061" s="2"/>
      <c r="BI1061" s="2"/>
      <c r="BJ1061" s="2"/>
      <c r="BK1061" s="2"/>
      <c r="BM1061" s="2"/>
      <c r="BN1061" s="2"/>
      <c r="BO1061" s="2"/>
      <c r="BP1061" s="2"/>
      <c r="BQ1061" s="2"/>
      <c r="BR1061" s="6"/>
      <c r="BS1061" s="6"/>
      <c r="BT1061" s="2"/>
      <c r="BU1061" s="2"/>
      <c r="BV1061" s="2"/>
      <c r="BW1061" s="2"/>
      <c r="BX1061" s="2"/>
      <c r="BY1061" s="2"/>
      <c r="BZ1061" s="2"/>
      <c r="CA1061" s="2"/>
      <c r="CB1061" s="2"/>
      <c r="CC1061" s="2"/>
      <c r="CD1061" s="3"/>
      <c r="CE1061" s="2"/>
      <c r="CF1061" s="4"/>
      <c r="CG1061" s="4"/>
      <c r="CI1061" s="2"/>
    </row>
    <row r="1062" spans="1:87" s="101" customFormat="1" x14ac:dyDescent="0.35">
      <c r="A1062" s="1"/>
      <c r="C1062" s="1"/>
      <c r="G1062" s="2"/>
      <c r="H1062" s="2"/>
      <c r="I1062" s="2"/>
      <c r="J1062" s="2"/>
      <c r="K1062" s="81"/>
      <c r="L1062" s="4"/>
      <c r="M1062" s="4"/>
      <c r="N1062" s="4"/>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3"/>
      <c r="AP1062" s="2"/>
      <c r="AQ1062" s="2"/>
      <c r="AR1062" s="2"/>
      <c r="AS1062" s="2"/>
      <c r="AT1062" s="2"/>
      <c r="AU1062" s="2"/>
      <c r="AV1062" s="2"/>
      <c r="AW1062" s="2"/>
      <c r="AX1062" s="2"/>
      <c r="AY1062" s="2"/>
      <c r="AZ1062" s="5"/>
      <c r="BA1062" s="2"/>
      <c r="BD1062" s="2"/>
      <c r="BE1062" s="2"/>
      <c r="BF1062" s="2"/>
      <c r="BG1062" s="2"/>
      <c r="BH1062" s="2"/>
      <c r="BI1062" s="2"/>
      <c r="BJ1062" s="2"/>
      <c r="BK1062" s="2"/>
      <c r="BM1062" s="2"/>
      <c r="BN1062" s="2"/>
      <c r="BO1062" s="2"/>
      <c r="BP1062" s="2"/>
      <c r="BQ1062" s="2"/>
      <c r="BR1062" s="6"/>
      <c r="BS1062" s="6"/>
      <c r="BT1062" s="2"/>
      <c r="BU1062" s="2"/>
      <c r="BV1062" s="2"/>
      <c r="BW1062" s="2"/>
      <c r="BX1062" s="2"/>
      <c r="BY1062" s="2"/>
      <c r="BZ1062" s="2"/>
      <c r="CA1062" s="2"/>
      <c r="CB1062" s="2"/>
      <c r="CC1062" s="2"/>
      <c r="CD1062" s="3"/>
      <c r="CE1062" s="2"/>
      <c r="CF1062" s="4"/>
      <c r="CG1062" s="4"/>
      <c r="CI1062" s="2"/>
    </row>
    <row r="1063" spans="1:87" s="101" customFormat="1" x14ac:dyDescent="0.35">
      <c r="A1063" s="1"/>
      <c r="C1063" s="1"/>
      <c r="G1063" s="2"/>
      <c r="H1063" s="2"/>
      <c r="I1063" s="2"/>
      <c r="J1063" s="2"/>
      <c r="K1063" s="81"/>
      <c r="L1063" s="4"/>
      <c r="M1063" s="4"/>
      <c r="N1063" s="4"/>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3"/>
      <c r="AP1063" s="2"/>
      <c r="AQ1063" s="2"/>
      <c r="AR1063" s="2"/>
      <c r="AS1063" s="2"/>
      <c r="AT1063" s="2"/>
      <c r="AU1063" s="2"/>
      <c r="AV1063" s="2"/>
      <c r="AW1063" s="2"/>
      <c r="AX1063" s="2"/>
      <c r="AY1063" s="2"/>
      <c r="AZ1063" s="5"/>
      <c r="BA1063" s="2"/>
      <c r="BD1063" s="2"/>
      <c r="BE1063" s="2"/>
      <c r="BF1063" s="2"/>
      <c r="BG1063" s="2"/>
      <c r="BH1063" s="2"/>
      <c r="BI1063" s="2"/>
      <c r="BJ1063" s="2"/>
      <c r="BK1063" s="2"/>
      <c r="BM1063" s="2"/>
      <c r="BN1063" s="2"/>
      <c r="BO1063" s="2"/>
      <c r="BP1063" s="2"/>
      <c r="BQ1063" s="2"/>
      <c r="BR1063" s="6"/>
      <c r="BS1063" s="6"/>
      <c r="BT1063" s="2"/>
      <c r="BU1063" s="2"/>
      <c r="BV1063" s="2"/>
      <c r="BW1063" s="2"/>
      <c r="BX1063" s="2"/>
      <c r="BY1063" s="2"/>
      <c r="BZ1063" s="2"/>
      <c r="CA1063" s="2"/>
      <c r="CB1063" s="2"/>
      <c r="CC1063" s="2"/>
      <c r="CD1063" s="3"/>
      <c r="CE1063" s="2"/>
      <c r="CF1063" s="4"/>
      <c r="CG1063" s="4"/>
      <c r="CI1063" s="2"/>
    </row>
    <row r="1064" spans="1:87" s="101" customFormat="1" x14ac:dyDescent="0.35">
      <c r="A1064" s="1"/>
      <c r="C1064" s="1"/>
      <c r="G1064" s="2"/>
      <c r="H1064" s="2"/>
      <c r="I1064" s="2"/>
      <c r="J1064" s="2"/>
      <c r="K1064" s="81"/>
      <c r="L1064" s="4"/>
      <c r="M1064" s="4"/>
      <c r="N1064" s="4"/>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3"/>
      <c r="AP1064" s="2"/>
      <c r="AQ1064" s="2"/>
      <c r="AR1064" s="2"/>
      <c r="AS1064" s="2"/>
      <c r="AT1064" s="2"/>
      <c r="AU1064" s="2"/>
      <c r="AV1064" s="2"/>
      <c r="AW1064" s="2"/>
      <c r="AX1064" s="2"/>
      <c r="AY1064" s="2"/>
      <c r="AZ1064" s="5"/>
      <c r="BA1064" s="2"/>
      <c r="BD1064" s="2"/>
      <c r="BE1064" s="2"/>
      <c r="BF1064" s="2"/>
      <c r="BG1064" s="2"/>
      <c r="BH1064" s="2"/>
      <c r="BI1064" s="2"/>
      <c r="BJ1064" s="2"/>
      <c r="BK1064" s="2"/>
      <c r="BM1064" s="2"/>
      <c r="BN1064" s="2"/>
      <c r="BO1064" s="2"/>
      <c r="BP1064" s="2"/>
      <c r="BQ1064" s="2"/>
      <c r="BR1064" s="6"/>
      <c r="BS1064" s="6"/>
      <c r="BT1064" s="2"/>
      <c r="BU1064" s="2"/>
      <c r="BV1064" s="2"/>
      <c r="BW1064" s="2"/>
      <c r="BX1064" s="2"/>
      <c r="BY1064" s="2"/>
      <c r="BZ1064" s="2"/>
      <c r="CA1064" s="2"/>
      <c r="CB1064" s="2"/>
      <c r="CC1064" s="2"/>
      <c r="CD1064" s="3"/>
      <c r="CE1064" s="2"/>
      <c r="CF1064" s="4"/>
      <c r="CG1064" s="4"/>
      <c r="CI1064" s="2"/>
    </row>
    <row r="1065" spans="1:87" s="101" customFormat="1" x14ac:dyDescent="0.35">
      <c r="A1065" s="1"/>
      <c r="C1065" s="1"/>
      <c r="G1065" s="2"/>
      <c r="H1065" s="2"/>
      <c r="I1065" s="2"/>
      <c r="J1065" s="2"/>
      <c r="K1065" s="81"/>
      <c r="L1065" s="4"/>
      <c r="M1065" s="4"/>
      <c r="N1065" s="4"/>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3"/>
      <c r="AP1065" s="2"/>
      <c r="AQ1065" s="2"/>
      <c r="AR1065" s="2"/>
      <c r="AS1065" s="2"/>
      <c r="AT1065" s="2"/>
      <c r="AU1065" s="2"/>
      <c r="AV1065" s="2"/>
      <c r="AW1065" s="2"/>
      <c r="AX1065" s="2"/>
      <c r="AY1065" s="2"/>
      <c r="AZ1065" s="5"/>
      <c r="BA1065" s="2"/>
      <c r="BD1065" s="2"/>
      <c r="BE1065" s="2"/>
      <c r="BF1065" s="2"/>
      <c r="BG1065" s="2"/>
      <c r="BH1065" s="2"/>
      <c r="BI1065" s="2"/>
      <c r="BJ1065" s="2"/>
      <c r="BK1065" s="2"/>
      <c r="BM1065" s="2"/>
      <c r="BN1065" s="2"/>
      <c r="BO1065" s="2"/>
      <c r="BP1065" s="2"/>
      <c r="BQ1065" s="2"/>
      <c r="BR1065" s="6"/>
      <c r="BS1065" s="6"/>
      <c r="BT1065" s="2"/>
      <c r="BU1065" s="2"/>
      <c r="BV1065" s="2"/>
      <c r="BW1065" s="2"/>
      <c r="BX1065" s="2"/>
      <c r="BY1065" s="2"/>
      <c r="BZ1065" s="2"/>
      <c r="CA1065" s="2"/>
      <c r="CB1065" s="2"/>
      <c r="CC1065" s="2"/>
      <c r="CD1065" s="3"/>
      <c r="CE1065" s="2"/>
      <c r="CF1065" s="4"/>
      <c r="CG1065" s="4"/>
      <c r="CI1065" s="2"/>
    </row>
    <row r="1066" spans="1:87" s="101" customFormat="1" x14ac:dyDescent="0.35">
      <c r="A1066" s="1"/>
      <c r="C1066" s="1"/>
      <c r="G1066" s="2"/>
      <c r="H1066" s="2"/>
      <c r="I1066" s="2"/>
      <c r="J1066" s="2"/>
      <c r="K1066" s="81"/>
      <c r="L1066" s="4"/>
      <c r="M1066" s="4"/>
      <c r="N1066" s="4"/>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3"/>
      <c r="AP1066" s="2"/>
      <c r="AQ1066" s="2"/>
      <c r="AR1066" s="2"/>
      <c r="AS1066" s="2"/>
      <c r="AT1066" s="2"/>
      <c r="AU1066" s="2"/>
      <c r="AV1066" s="2"/>
      <c r="AW1066" s="2"/>
      <c r="AX1066" s="2"/>
      <c r="AY1066" s="2"/>
      <c r="AZ1066" s="5"/>
      <c r="BA1066" s="2"/>
      <c r="BD1066" s="2"/>
      <c r="BE1066" s="2"/>
      <c r="BF1066" s="2"/>
      <c r="BG1066" s="2"/>
      <c r="BH1066" s="2"/>
      <c r="BI1066" s="2"/>
      <c r="BJ1066" s="2"/>
      <c r="BK1066" s="2"/>
      <c r="BM1066" s="2"/>
      <c r="BN1066" s="2"/>
      <c r="BO1066" s="2"/>
      <c r="BP1066" s="2"/>
      <c r="BQ1066" s="2"/>
      <c r="BR1066" s="6"/>
      <c r="BS1066" s="6"/>
      <c r="BT1066" s="2"/>
      <c r="BU1066" s="2"/>
      <c r="BV1066" s="2"/>
      <c r="BW1066" s="2"/>
      <c r="BX1066" s="2"/>
      <c r="BY1066" s="2"/>
      <c r="BZ1066" s="2"/>
      <c r="CA1066" s="2"/>
      <c r="CB1066" s="2"/>
      <c r="CC1066" s="2"/>
      <c r="CD1066" s="3"/>
      <c r="CE1066" s="2"/>
      <c r="CF1066" s="4"/>
      <c r="CG1066" s="4"/>
      <c r="CI1066" s="2"/>
    </row>
    <row r="1067" spans="1:87" s="101" customFormat="1" x14ac:dyDescent="0.35">
      <c r="A1067" s="1"/>
      <c r="C1067" s="1"/>
      <c r="G1067" s="2"/>
      <c r="H1067" s="2"/>
      <c r="I1067" s="2"/>
      <c r="J1067" s="2"/>
      <c r="K1067" s="81"/>
      <c r="L1067" s="4"/>
      <c r="M1067" s="4"/>
      <c r="N1067" s="4"/>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3"/>
      <c r="AP1067" s="2"/>
      <c r="AQ1067" s="2"/>
      <c r="AR1067" s="2"/>
      <c r="AS1067" s="2"/>
      <c r="AT1067" s="2"/>
      <c r="AU1067" s="2"/>
      <c r="AV1067" s="2"/>
      <c r="AW1067" s="2"/>
      <c r="AX1067" s="2"/>
      <c r="AY1067" s="2"/>
      <c r="AZ1067" s="5"/>
      <c r="BA1067" s="2"/>
      <c r="BD1067" s="2"/>
      <c r="BE1067" s="2"/>
      <c r="BF1067" s="2"/>
      <c r="BG1067" s="2"/>
      <c r="BH1067" s="2"/>
      <c r="BI1067" s="2"/>
      <c r="BJ1067" s="2"/>
      <c r="BK1067" s="2"/>
      <c r="BM1067" s="2"/>
      <c r="BN1067" s="2"/>
      <c r="BO1067" s="2"/>
      <c r="BP1067" s="2"/>
      <c r="BQ1067" s="2"/>
      <c r="BR1067" s="6"/>
      <c r="BS1067" s="6"/>
      <c r="BT1067" s="2"/>
      <c r="BU1067" s="2"/>
      <c r="BV1067" s="2"/>
      <c r="BW1067" s="2"/>
      <c r="BX1067" s="2"/>
      <c r="BY1067" s="2"/>
      <c r="BZ1067" s="2"/>
      <c r="CA1067" s="2"/>
      <c r="CB1067" s="2"/>
      <c r="CC1067" s="2"/>
      <c r="CD1067" s="3"/>
      <c r="CE1067" s="2"/>
      <c r="CF1067" s="4"/>
      <c r="CG1067" s="4"/>
      <c r="CI1067" s="2"/>
    </row>
    <row r="1068" spans="1:87" s="101" customFormat="1" x14ac:dyDescent="0.35">
      <c r="A1068" s="1"/>
      <c r="C1068" s="1"/>
      <c r="G1068" s="2"/>
      <c r="H1068" s="2"/>
      <c r="I1068" s="2"/>
      <c r="J1068" s="2"/>
      <c r="K1068" s="81"/>
      <c r="L1068" s="4"/>
      <c r="M1068" s="4"/>
      <c r="N1068" s="4"/>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3"/>
      <c r="AP1068" s="2"/>
      <c r="AQ1068" s="2"/>
      <c r="AR1068" s="2"/>
      <c r="AS1068" s="2"/>
      <c r="AT1068" s="2"/>
      <c r="AU1068" s="2"/>
      <c r="AV1068" s="2"/>
      <c r="AW1068" s="2"/>
      <c r="AX1068" s="2"/>
      <c r="AY1068" s="2"/>
      <c r="AZ1068" s="5"/>
      <c r="BA1068" s="2"/>
      <c r="BD1068" s="2"/>
      <c r="BE1068" s="2"/>
      <c r="BF1068" s="2"/>
      <c r="BG1068" s="2"/>
      <c r="BH1068" s="2"/>
      <c r="BI1068" s="2"/>
      <c r="BJ1068" s="2"/>
      <c r="BK1068" s="2"/>
      <c r="BM1068" s="2"/>
      <c r="BN1068" s="2"/>
      <c r="BO1068" s="2"/>
      <c r="BP1068" s="2"/>
      <c r="BQ1068" s="2"/>
      <c r="BR1068" s="6"/>
      <c r="BS1068" s="6"/>
      <c r="BT1068" s="2"/>
      <c r="BU1068" s="2"/>
      <c r="BV1068" s="2"/>
      <c r="BW1068" s="2"/>
      <c r="BX1068" s="2"/>
      <c r="BY1068" s="2"/>
      <c r="BZ1068" s="2"/>
      <c r="CA1068" s="2"/>
      <c r="CB1068" s="2"/>
      <c r="CC1068" s="2"/>
      <c r="CD1068" s="3"/>
      <c r="CE1068" s="2"/>
      <c r="CF1068" s="4"/>
      <c r="CG1068" s="4"/>
      <c r="CI1068" s="2"/>
    </row>
    <row r="1069" spans="1:87" s="101" customFormat="1" x14ac:dyDescent="0.35">
      <c r="A1069" s="1"/>
      <c r="C1069" s="1"/>
      <c r="G1069" s="2"/>
      <c r="H1069" s="2"/>
      <c r="I1069" s="2"/>
      <c r="J1069" s="2"/>
      <c r="K1069" s="81"/>
      <c r="L1069" s="4"/>
      <c r="M1069" s="4"/>
      <c r="N1069" s="4"/>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3"/>
      <c r="AP1069" s="2"/>
      <c r="AQ1069" s="2"/>
      <c r="AR1069" s="2"/>
      <c r="AS1069" s="2"/>
      <c r="AT1069" s="2"/>
      <c r="AU1069" s="2"/>
      <c r="AV1069" s="2"/>
      <c r="AW1069" s="2"/>
      <c r="AX1069" s="2"/>
      <c r="AY1069" s="2"/>
      <c r="AZ1069" s="5"/>
      <c r="BA1069" s="2"/>
      <c r="BD1069" s="2"/>
      <c r="BE1069" s="2"/>
      <c r="BF1069" s="2"/>
      <c r="BG1069" s="2"/>
      <c r="BH1069" s="2"/>
      <c r="BI1069" s="2"/>
      <c r="BJ1069" s="2"/>
      <c r="BK1069" s="2"/>
      <c r="BM1069" s="2"/>
      <c r="BN1069" s="2"/>
      <c r="BO1069" s="2"/>
      <c r="BP1069" s="2"/>
      <c r="BQ1069" s="2"/>
      <c r="BR1069" s="6"/>
      <c r="BS1069" s="6"/>
      <c r="BT1069" s="2"/>
      <c r="BU1069" s="2"/>
      <c r="BV1069" s="2"/>
      <c r="BW1069" s="2"/>
      <c r="BX1069" s="2"/>
      <c r="BY1069" s="2"/>
      <c r="BZ1069" s="2"/>
      <c r="CA1069" s="2"/>
      <c r="CB1069" s="2"/>
      <c r="CC1069" s="2"/>
      <c r="CD1069" s="3"/>
      <c r="CE1069" s="2"/>
      <c r="CF1069" s="4"/>
      <c r="CG1069" s="4"/>
      <c r="CI1069" s="2"/>
    </row>
    <row r="1070" spans="1:87" s="101" customFormat="1" x14ac:dyDescent="0.35">
      <c r="A1070" s="1"/>
      <c r="C1070" s="1"/>
      <c r="G1070" s="2"/>
      <c r="H1070" s="2"/>
      <c r="I1070" s="2"/>
      <c r="J1070" s="2"/>
      <c r="K1070" s="81"/>
      <c r="L1070" s="4"/>
      <c r="M1070" s="4"/>
      <c r="N1070" s="4"/>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3"/>
      <c r="AP1070" s="2"/>
      <c r="AQ1070" s="2"/>
      <c r="AR1070" s="2"/>
      <c r="AS1070" s="2"/>
      <c r="AT1070" s="2"/>
      <c r="AU1070" s="2"/>
      <c r="AV1070" s="2"/>
      <c r="AW1070" s="2"/>
      <c r="AX1070" s="2"/>
      <c r="AY1070" s="2"/>
      <c r="AZ1070" s="5"/>
      <c r="BA1070" s="2"/>
      <c r="BD1070" s="2"/>
      <c r="BE1070" s="2"/>
      <c r="BF1070" s="2"/>
      <c r="BG1070" s="2"/>
      <c r="BH1070" s="2"/>
      <c r="BI1070" s="2"/>
      <c r="BJ1070" s="2"/>
      <c r="BK1070" s="2"/>
      <c r="BM1070" s="2"/>
      <c r="BN1070" s="2"/>
      <c r="BO1070" s="2"/>
      <c r="BP1070" s="2"/>
      <c r="BQ1070" s="2"/>
      <c r="BR1070" s="6"/>
      <c r="BS1070" s="6"/>
      <c r="BT1070" s="2"/>
      <c r="BU1070" s="2"/>
      <c r="BV1070" s="2"/>
      <c r="BW1070" s="2"/>
      <c r="BX1070" s="2"/>
      <c r="BY1070" s="2"/>
      <c r="BZ1070" s="2"/>
      <c r="CA1070" s="2"/>
      <c r="CB1070" s="2"/>
      <c r="CC1070" s="2"/>
      <c r="CD1070" s="3"/>
      <c r="CE1070" s="2"/>
      <c r="CF1070" s="4"/>
      <c r="CG1070" s="4"/>
      <c r="CI1070" s="2"/>
    </row>
    <row r="1071" spans="1:87" s="101" customFormat="1" x14ac:dyDescent="0.35">
      <c r="A1071" s="1"/>
      <c r="C1071" s="1"/>
      <c r="G1071" s="2"/>
      <c r="H1071" s="2"/>
      <c r="I1071" s="2"/>
      <c r="J1071" s="2"/>
      <c r="K1071" s="81"/>
      <c r="L1071" s="4"/>
      <c r="M1071" s="4"/>
      <c r="N1071" s="4"/>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3"/>
      <c r="AP1071" s="2"/>
      <c r="AQ1071" s="2"/>
      <c r="AR1071" s="2"/>
      <c r="AS1071" s="2"/>
      <c r="AT1071" s="2"/>
      <c r="AU1071" s="2"/>
      <c r="AV1071" s="2"/>
      <c r="AW1071" s="2"/>
      <c r="AX1071" s="2"/>
      <c r="AY1071" s="2"/>
      <c r="AZ1071" s="5"/>
      <c r="BA1071" s="2"/>
      <c r="BD1071" s="2"/>
      <c r="BE1071" s="2"/>
      <c r="BF1071" s="2"/>
      <c r="BG1071" s="2"/>
      <c r="BH1071" s="2"/>
      <c r="BI1071" s="2"/>
      <c r="BJ1071" s="2"/>
      <c r="BK1071" s="2"/>
      <c r="BM1071" s="2"/>
      <c r="BN1071" s="2"/>
      <c r="BO1071" s="2"/>
      <c r="BP1071" s="2"/>
      <c r="BQ1071" s="2"/>
      <c r="BR1071" s="6"/>
      <c r="BS1071" s="6"/>
      <c r="BT1071" s="2"/>
      <c r="BU1071" s="2"/>
      <c r="BV1071" s="2"/>
      <c r="BW1071" s="2"/>
      <c r="BX1071" s="2"/>
      <c r="BY1071" s="2"/>
      <c r="BZ1071" s="2"/>
      <c r="CA1071" s="2"/>
      <c r="CB1071" s="2"/>
      <c r="CC1071" s="2"/>
      <c r="CD1071" s="3"/>
      <c r="CE1071" s="2"/>
      <c r="CF1071" s="4"/>
      <c r="CG1071" s="4"/>
      <c r="CI1071" s="2"/>
    </row>
    <row r="1072" spans="1:87" s="101" customFormat="1" x14ac:dyDescent="0.35">
      <c r="A1072" s="1"/>
      <c r="C1072" s="1"/>
      <c r="G1072" s="2"/>
      <c r="H1072" s="2"/>
      <c r="I1072" s="2"/>
      <c r="J1072" s="2"/>
      <c r="K1072" s="81"/>
      <c r="L1072" s="4"/>
      <c r="M1072" s="4"/>
      <c r="N1072" s="4"/>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3"/>
      <c r="AP1072" s="2"/>
      <c r="AQ1072" s="2"/>
      <c r="AR1072" s="2"/>
      <c r="AS1072" s="2"/>
      <c r="AT1072" s="2"/>
      <c r="AU1072" s="2"/>
      <c r="AV1072" s="2"/>
      <c r="AW1072" s="2"/>
      <c r="AX1072" s="2"/>
      <c r="AY1072" s="2"/>
      <c r="AZ1072" s="5"/>
      <c r="BA1072" s="2"/>
      <c r="BD1072" s="2"/>
      <c r="BE1072" s="2"/>
      <c r="BF1072" s="2"/>
      <c r="BG1072" s="2"/>
      <c r="BH1072" s="2"/>
      <c r="BI1072" s="2"/>
      <c r="BJ1072" s="2"/>
      <c r="BK1072" s="2"/>
      <c r="BM1072" s="2"/>
      <c r="BN1072" s="2"/>
      <c r="BO1072" s="2"/>
      <c r="BP1072" s="2"/>
      <c r="BQ1072" s="2"/>
      <c r="BR1072" s="6"/>
      <c r="BS1072" s="6"/>
      <c r="BT1072" s="2"/>
      <c r="BU1072" s="2"/>
      <c r="BV1072" s="2"/>
      <c r="BW1072" s="2"/>
      <c r="BX1072" s="2"/>
      <c r="BY1072" s="2"/>
      <c r="BZ1072" s="2"/>
      <c r="CA1072" s="2"/>
      <c r="CB1072" s="2"/>
      <c r="CC1072" s="2"/>
      <c r="CD1072" s="3"/>
      <c r="CE1072" s="2"/>
      <c r="CF1072" s="4"/>
      <c r="CG1072" s="4"/>
      <c r="CI1072" s="2"/>
    </row>
    <row r="1073" spans="1:87" s="101" customFormat="1" x14ac:dyDescent="0.35">
      <c r="A1073" s="1"/>
      <c r="C1073" s="1"/>
      <c r="G1073" s="2"/>
      <c r="H1073" s="2"/>
      <c r="I1073" s="2"/>
      <c r="J1073" s="2"/>
      <c r="K1073" s="81"/>
      <c r="L1073" s="4"/>
      <c r="M1073" s="4"/>
      <c r="N1073" s="4"/>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3"/>
      <c r="AP1073" s="2"/>
      <c r="AQ1073" s="2"/>
      <c r="AR1073" s="2"/>
      <c r="AS1073" s="2"/>
      <c r="AT1073" s="2"/>
      <c r="AU1073" s="2"/>
      <c r="AV1073" s="2"/>
      <c r="AW1073" s="2"/>
      <c r="AX1073" s="2"/>
      <c r="AY1073" s="2"/>
      <c r="AZ1073" s="5"/>
      <c r="BA1073" s="2"/>
      <c r="BD1073" s="2"/>
      <c r="BE1073" s="2"/>
      <c r="BF1073" s="2"/>
      <c r="BG1073" s="2"/>
      <c r="BH1073" s="2"/>
      <c r="BI1073" s="2"/>
      <c r="BJ1073" s="2"/>
      <c r="BK1073" s="2"/>
      <c r="BM1073" s="2"/>
      <c r="BN1073" s="2"/>
      <c r="BO1073" s="2"/>
      <c r="BP1073" s="2"/>
      <c r="BQ1073" s="2"/>
      <c r="BR1073" s="6"/>
      <c r="BS1073" s="6"/>
      <c r="BT1073" s="2"/>
      <c r="BU1073" s="2"/>
      <c r="BV1073" s="2"/>
      <c r="BW1073" s="2"/>
      <c r="BX1073" s="2"/>
      <c r="BY1073" s="2"/>
      <c r="BZ1073" s="2"/>
      <c r="CA1073" s="2"/>
      <c r="CB1073" s="2"/>
      <c r="CC1073" s="2"/>
      <c r="CD1073" s="3"/>
      <c r="CE1073" s="2"/>
      <c r="CF1073" s="4"/>
      <c r="CG1073" s="4"/>
      <c r="CI1073" s="2"/>
    </row>
    <row r="1074" spans="1:87" s="101" customFormat="1" x14ac:dyDescent="0.35">
      <c r="A1074" s="1"/>
      <c r="C1074" s="1"/>
      <c r="G1074" s="2"/>
      <c r="H1074" s="2"/>
      <c r="I1074" s="2"/>
      <c r="J1074" s="2"/>
      <c r="K1074" s="81"/>
      <c r="L1074" s="4"/>
      <c r="M1074" s="4"/>
      <c r="N1074" s="4"/>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3"/>
      <c r="AP1074" s="2"/>
      <c r="AQ1074" s="2"/>
      <c r="AR1074" s="2"/>
      <c r="AS1074" s="2"/>
      <c r="AT1074" s="2"/>
      <c r="AU1074" s="2"/>
      <c r="AV1074" s="2"/>
      <c r="AW1074" s="2"/>
      <c r="AX1074" s="2"/>
      <c r="AY1074" s="2"/>
      <c r="AZ1074" s="5"/>
      <c r="BA1074" s="2"/>
      <c r="BD1074" s="2"/>
      <c r="BE1074" s="2"/>
      <c r="BF1074" s="2"/>
      <c r="BG1074" s="2"/>
      <c r="BH1074" s="2"/>
      <c r="BI1074" s="2"/>
      <c r="BJ1074" s="2"/>
      <c r="BK1074" s="2"/>
      <c r="BM1074" s="2"/>
      <c r="BN1074" s="2"/>
      <c r="BO1074" s="2"/>
      <c r="BP1074" s="2"/>
      <c r="BQ1074" s="2"/>
      <c r="BR1074" s="6"/>
      <c r="BS1074" s="6"/>
      <c r="BT1074" s="2"/>
      <c r="BU1074" s="2"/>
      <c r="BV1074" s="2"/>
      <c r="BW1074" s="2"/>
      <c r="BX1074" s="2"/>
      <c r="BY1074" s="2"/>
      <c r="BZ1074" s="2"/>
      <c r="CA1074" s="2"/>
      <c r="CB1074" s="2"/>
      <c r="CC1074" s="2"/>
      <c r="CD1074" s="3"/>
      <c r="CE1074" s="2"/>
      <c r="CF1074" s="4"/>
      <c r="CG1074" s="4"/>
      <c r="CI1074" s="2"/>
    </row>
    <row r="1075" spans="1:87" s="101" customFormat="1" x14ac:dyDescent="0.35">
      <c r="A1075" s="1"/>
      <c r="C1075" s="1"/>
      <c r="G1075" s="2"/>
      <c r="H1075" s="2"/>
      <c r="I1075" s="2"/>
      <c r="J1075" s="2"/>
      <c r="K1075" s="81"/>
      <c r="L1075" s="4"/>
      <c r="M1075" s="4"/>
      <c r="N1075" s="4"/>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3"/>
      <c r="AP1075" s="2"/>
      <c r="AQ1075" s="2"/>
      <c r="AR1075" s="2"/>
      <c r="AS1075" s="2"/>
      <c r="AT1075" s="2"/>
      <c r="AU1075" s="2"/>
      <c r="AV1075" s="2"/>
      <c r="AW1075" s="2"/>
      <c r="AX1075" s="2"/>
      <c r="AY1075" s="2"/>
      <c r="AZ1075" s="5"/>
      <c r="BA1075" s="2"/>
      <c r="BD1075" s="2"/>
      <c r="BE1075" s="2"/>
      <c r="BF1075" s="2"/>
      <c r="BG1075" s="2"/>
      <c r="BH1075" s="2"/>
      <c r="BI1075" s="2"/>
      <c r="BJ1075" s="2"/>
      <c r="BK1075" s="2"/>
      <c r="BM1075" s="2"/>
      <c r="BN1075" s="2"/>
      <c r="BO1075" s="2"/>
      <c r="BP1075" s="2"/>
      <c r="BQ1075" s="2"/>
      <c r="BR1075" s="6"/>
      <c r="BS1075" s="6"/>
      <c r="BT1075" s="2"/>
      <c r="BU1075" s="2"/>
      <c r="BV1075" s="2"/>
      <c r="BW1075" s="2"/>
      <c r="BX1075" s="2"/>
      <c r="BY1075" s="2"/>
      <c r="BZ1075" s="2"/>
      <c r="CA1075" s="2"/>
      <c r="CB1075" s="2"/>
      <c r="CC1075" s="2"/>
      <c r="CD1075" s="3"/>
      <c r="CE1075" s="2"/>
      <c r="CF1075" s="4"/>
      <c r="CG1075" s="4"/>
      <c r="CI1075" s="2"/>
    </row>
    <row r="1076" spans="1:87" s="101" customFormat="1" x14ac:dyDescent="0.35">
      <c r="A1076" s="1"/>
      <c r="C1076" s="1"/>
      <c r="G1076" s="2"/>
      <c r="H1076" s="2"/>
      <c r="I1076" s="2"/>
      <c r="J1076" s="2"/>
      <c r="K1076" s="81"/>
      <c r="L1076" s="4"/>
      <c r="M1076" s="4"/>
      <c r="N1076" s="4"/>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3"/>
      <c r="AP1076" s="2"/>
      <c r="AQ1076" s="2"/>
      <c r="AR1076" s="2"/>
      <c r="AS1076" s="2"/>
      <c r="AT1076" s="2"/>
      <c r="AU1076" s="2"/>
      <c r="AV1076" s="2"/>
      <c r="AW1076" s="2"/>
      <c r="AX1076" s="2"/>
      <c r="AY1076" s="2"/>
      <c r="AZ1076" s="5"/>
      <c r="BA1076" s="2"/>
      <c r="BD1076" s="2"/>
      <c r="BE1076" s="2"/>
      <c r="BF1076" s="2"/>
      <c r="BG1076" s="2"/>
      <c r="BH1076" s="2"/>
      <c r="BI1076" s="2"/>
      <c r="BJ1076" s="2"/>
      <c r="BK1076" s="2"/>
      <c r="BM1076" s="2"/>
      <c r="BN1076" s="2"/>
      <c r="BO1076" s="2"/>
      <c r="BP1076" s="2"/>
      <c r="BQ1076" s="2"/>
      <c r="BR1076" s="6"/>
      <c r="BS1076" s="6"/>
      <c r="BT1076" s="2"/>
      <c r="BU1076" s="2"/>
      <c r="BV1076" s="2"/>
      <c r="BW1076" s="2"/>
      <c r="BX1076" s="2"/>
      <c r="BY1076" s="2"/>
      <c r="BZ1076" s="2"/>
      <c r="CA1076" s="2"/>
      <c r="CB1076" s="2"/>
      <c r="CC1076" s="2"/>
      <c r="CD1076" s="3"/>
      <c r="CE1076" s="2"/>
      <c r="CF1076" s="4"/>
      <c r="CG1076" s="4"/>
      <c r="CI1076" s="2"/>
    </row>
    <row r="1077" spans="1:87" s="101" customFormat="1" x14ac:dyDescent="0.35">
      <c r="A1077" s="1"/>
      <c r="C1077" s="1"/>
      <c r="G1077" s="2"/>
      <c r="H1077" s="2"/>
      <c r="I1077" s="2"/>
      <c r="J1077" s="2"/>
      <c r="K1077" s="81"/>
      <c r="L1077" s="4"/>
      <c r="M1077" s="4"/>
      <c r="N1077" s="4"/>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3"/>
      <c r="AP1077" s="2"/>
      <c r="AQ1077" s="2"/>
      <c r="AR1077" s="2"/>
      <c r="AS1077" s="2"/>
      <c r="AT1077" s="2"/>
      <c r="AU1077" s="2"/>
      <c r="AV1077" s="2"/>
      <c r="AW1077" s="2"/>
      <c r="AX1077" s="2"/>
      <c r="AY1077" s="2"/>
      <c r="AZ1077" s="5"/>
      <c r="BA1077" s="2"/>
      <c r="BD1077" s="2"/>
      <c r="BE1077" s="2"/>
      <c r="BF1077" s="2"/>
      <c r="BG1077" s="2"/>
      <c r="BH1077" s="2"/>
      <c r="BI1077" s="2"/>
      <c r="BJ1077" s="2"/>
      <c r="BK1077" s="2"/>
      <c r="BM1077" s="2"/>
      <c r="BN1077" s="2"/>
      <c r="BO1077" s="2"/>
      <c r="BP1077" s="2"/>
      <c r="BQ1077" s="2"/>
      <c r="BR1077" s="6"/>
      <c r="BS1077" s="6"/>
      <c r="BT1077" s="2"/>
      <c r="BU1077" s="2"/>
      <c r="BV1077" s="2"/>
      <c r="BW1077" s="2"/>
      <c r="BX1077" s="2"/>
      <c r="BY1077" s="2"/>
      <c r="BZ1077" s="2"/>
      <c r="CA1077" s="2"/>
      <c r="CB1077" s="2"/>
      <c r="CC1077" s="2"/>
      <c r="CD1077" s="3"/>
      <c r="CE1077" s="2"/>
      <c r="CF1077" s="4"/>
      <c r="CG1077" s="4"/>
      <c r="CI1077" s="2"/>
    </row>
    <row r="1078" spans="1:87" s="101" customFormat="1" x14ac:dyDescent="0.35">
      <c r="A1078" s="1"/>
      <c r="C1078" s="1"/>
      <c r="G1078" s="2"/>
      <c r="H1078" s="2"/>
      <c r="I1078" s="2"/>
      <c r="J1078" s="2"/>
      <c r="K1078" s="81"/>
      <c r="L1078" s="4"/>
      <c r="M1078" s="4"/>
      <c r="N1078" s="4"/>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3"/>
      <c r="AP1078" s="2"/>
      <c r="AQ1078" s="2"/>
      <c r="AR1078" s="2"/>
      <c r="AS1078" s="2"/>
      <c r="AT1078" s="2"/>
      <c r="AU1078" s="2"/>
      <c r="AV1078" s="2"/>
      <c r="AW1078" s="2"/>
      <c r="AX1078" s="2"/>
      <c r="AY1078" s="2"/>
      <c r="AZ1078" s="5"/>
      <c r="BA1078" s="2"/>
      <c r="BD1078" s="2"/>
      <c r="BE1078" s="2"/>
      <c r="BF1078" s="2"/>
      <c r="BG1078" s="2"/>
      <c r="BH1078" s="2"/>
      <c r="BI1078" s="2"/>
      <c r="BJ1078" s="2"/>
      <c r="BK1078" s="2"/>
      <c r="BM1078" s="2"/>
      <c r="BN1078" s="2"/>
      <c r="BO1078" s="2"/>
      <c r="BP1078" s="2"/>
      <c r="BQ1078" s="2"/>
      <c r="BR1078" s="6"/>
      <c r="BS1078" s="6"/>
      <c r="BT1078" s="2"/>
      <c r="BU1078" s="2"/>
      <c r="BV1078" s="2"/>
      <c r="BW1078" s="2"/>
      <c r="BX1078" s="2"/>
      <c r="BY1078" s="2"/>
      <c r="BZ1078" s="2"/>
      <c r="CA1078" s="2"/>
      <c r="CB1078" s="2"/>
      <c r="CC1078" s="2"/>
      <c r="CD1078" s="3"/>
      <c r="CE1078" s="2"/>
      <c r="CF1078" s="4"/>
      <c r="CG1078" s="4"/>
      <c r="CI1078" s="2"/>
    </row>
    <row r="1079" spans="1:87" s="101" customFormat="1" x14ac:dyDescent="0.35">
      <c r="A1079" s="1"/>
      <c r="C1079" s="1"/>
      <c r="G1079" s="2"/>
      <c r="H1079" s="2"/>
      <c r="I1079" s="2"/>
      <c r="J1079" s="2"/>
      <c r="K1079" s="81"/>
      <c r="L1079" s="4"/>
      <c r="M1079" s="4"/>
      <c r="N1079" s="4"/>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3"/>
      <c r="AP1079" s="2"/>
      <c r="AQ1079" s="2"/>
      <c r="AR1079" s="2"/>
      <c r="AS1079" s="2"/>
      <c r="AT1079" s="2"/>
      <c r="AU1079" s="2"/>
      <c r="AV1079" s="2"/>
      <c r="AW1079" s="2"/>
      <c r="AX1079" s="2"/>
      <c r="AY1079" s="2"/>
      <c r="AZ1079" s="5"/>
      <c r="BA1079" s="2"/>
      <c r="BD1079" s="2"/>
      <c r="BE1079" s="2"/>
      <c r="BF1079" s="2"/>
      <c r="BG1079" s="2"/>
      <c r="BH1079" s="2"/>
      <c r="BI1079" s="2"/>
      <c r="BJ1079" s="2"/>
      <c r="BK1079" s="2"/>
      <c r="BM1079" s="2"/>
      <c r="BN1079" s="2"/>
      <c r="BO1079" s="2"/>
      <c r="BP1079" s="2"/>
      <c r="BQ1079" s="2"/>
      <c r="BR1079" s="6"/>
      <c r="BS1079" s="6"/>
      <c r="BT1079" s="2"/>
      <c r="BU1079" s="2"/>
      <c r="BV1079" s="2"/>
      <c r="BW1079" s="2"/>
      <c r="BX1079" s="2"/>
      <c r="BY1079" s="2"/>
      <c r="BZ1079" s="2"/>
      <c r="CA1079" s="2"/>
      <c r="CB1079" s="2"/>
      <c r="CC1079" s="2"/>
      <c r="CD1079" s="3"/>
      <c r="CE1079" s="2"/>
      <c r="CF1079" s="4"/>
      <c r="CG1079" s="4"/>
      <c r="CI1079" s="2"/>
    </row>
    <row r="1080" spans="1:87" s="101" customFormat="1" x14ac:dyDescent="0.35">
      <c r="A1080" s="1"/>
      <c r="C1080" s="1"/>
      <c r="G1080" s="2"/>
      <c r="H1080" s="2"/>
      <c r="I1080" s="2"/>
      <c r="J1080" s="2"/>
      <c r="K1080" s="81"/>
      <c r="L1080" s="4"/>
      <c r="M1080" s="4"/>
      <c r="N1080" s="4"/>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3"/>
      <c r="AP1080" s="2"/>
      <c r="AQ1080" s="2"/>
      <c r="AR1080" s="2"/>
      <c r="AS1080" s="2"/>
      <c r="AT1080" s="2"/>
      <c r="AU1080" s="2"/>
      <c r="AV1080" s="2"/>
      <c r="AW1080" s="2"/>
      <c r="AX1080" s="2"/>
      <c r="AY1080" s="2"/>
      <c r="AZ1080" s="5"/>
      <c r="BA1080" s="2"/>
      <c r="BD1080" s="2"/>
      <c r="BE1080" s="2"/>
      <c r="BF1080" s="2"/>
      <c r="BG1080" s="2"/>
      <c r="BH1080" s="2"/>
      <c r="BI1080" s="2"/>
      <c r="BJ1080" s="2"/>
      <c r="BK1080" s="2"/>
      <c r="BM1080" s="2"/>
      <c r="BN1080" s="2"/>
      <c r="BO1080" s="2"/>
      <c r="BP1080" s="2"/>
      <c r="BQ1080" s="2"/>
      <c r="BR1080" s="6"/>
      <c r="BS1080" s="6"/>
      <c r="BT1080" s="2"/>
      <c r="BU1080" s="2"/>
      <c r="BV1080" s="2"/>
      <c r="BW1080" s="2"/>
      <c r="BX1080" s="2"/>
      <c r="BY1080" s="2"/>
      <c r="BZ1080" s="2"/>
      <c r="CA1080" s="2"/>
      <c r="CB1080" s="2"/>
      <c r="CC1080" s="2"/>
      <c r="CD1080" s="3"/>
      <c r="CE1080" s="2"/>
      <c r="CF1080" s="4"/>
      <c r="CG1080" s="4"/>
      <c r="CI1080" s="2"/>
    </row>
    <row r="1081" spans="1:87" s="101" customFormat="1" x14ac:dyDescent="0.35">
      <c r="A1081" s="1"/>
      <c r="C1081" s="1"/>
      <c r="G1081" s="2"/>
      <c r="H1081" s="2"/>
      <c r="I1081" s="2"/>
      <c r="J1081" s="2"/>
      <c r="K1081" s="81"/>
      <c r="L1081" s="4"/>
      <c r="M1081" s="4"/>
      <c r="N1081" s="4"/>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3"/>
      <c r="AP1081" s="2"/>
      <c r="AQ1081" s="2"/>
      <c r="AR1081" s="2"/>
      <c r="AS1081" s="2"/>
      <c r="AT1081" s="2"/>
      <c r="AU1081" s="2"/>
      <c r="AV1081" s="2"/>
      <c r="AW1081" s="2"/>
      <c r="AX1081" s="2"/>
      <c r="AY1081" s="2"/>
      <c r="AZ1081" s="5"/>
      <c r="BA1081" s="2"/>
      <c r="BD1081" s="2"/>
      <c r="BE1081" s="2"/>
      <c r="BF1081" s="2"/>
      <c r="BG1081" s="2"/>
      <c r="BH1081" s="2"/>
      <c r="BI1081" s="2"/>
      <c r="BJ1081" s="2"/>
      <c r="BK1081" s="2"/>
      <c r="BM1081" s="2"/>
      <c r="BN1081" s="2"/>
      <c r="BO1081" s="2"/>
      <c r="BP1081" s="2"/>
      <c r="BQ1081" s="2"/>
      <c r="BR1081" s="6"/>
      <c r="BS1081" s="6"/>
      <c r="BT1081" s="2"/>
      <c r="BU1081" s="2"/>
      <c r="BV1081" s="2"/>
      <c r="BW1081" s="2"/>
      <c r="BX1081" s="2"/>
      <c r="BY1081" s="2"/>
      <c r="BZ1081" s="2"/>
      <c r="CA1081" s="2"/>
      <c r="CB1081" s="2"/>
      <c r="CC1081" s="2"/>
      <c r="CD1081" s="3"/>
      <c r="CE1081" s="2"/>
      <c r="CF1081" s="4"/>
      <c r="CG1081" s="4"/>
      <c r="CI1081" s="2"/>
    </row>
    <row r="1082" spans="1:87" s="101" customFormat="1" x14ac:dyDescent="0.35">
      <c r="A1082" s="1"/>
      <c r="C1082" s="1"/>
      <c r="G1082" s="2"/>
      <c r="H1082" s="2"/>
      <c r="I1082" s="2"/>
      <c r="J1082" s="2"/>
      <c r="K1082" s="81"/>
      <c r="L1082" s="4"/>
      <c r="M1082" s="4"/>
      <c r="N1082" s="4"/>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3"/>
      <c r="AP1082" s="2"/>
      <c r="AQ1082" s="2"/>
      <c r="AR1082" s="2"/>
      <c r="AS1082" s="2"/>
      <c r="AT1082" s="2"/>
      <c r="AU1082" s="2"/>
      <c r="AV1082" s="2"/>
      <c r="AW1082" s="2"/>
      <c r="AX1082" s="2"/>
      <c r="AY1082" s="2"/>
      <c r="AZ1082" s="5"/>
      <c r="BA1082" s="2"/>
      <c r="BD1082" s="2"/>
      <c r="BE1082" s="2"/>
      <c r="BF1082" s="2"/>
      <c r="BG1082" s="2"/>
      <c r="BH1082" s="2"/>
      <c r="BI1082" s="2"/>
      <c r="BJ1082" s="2"/>
      <c r="BK1082" s="2"/>
      <c r="BM1082" s="2"/>
      <c r="BN1082" s="2"/>
      <c r="BO1082" s="2"/>
      <c r="BP1082" s="2"/>
      <c r="BQ1082" s="2"/>
      <c r="BR1082" s="6"/>
      <c r="BS1082" s="6"/>
      <c r="BT1082" s="2"/>
      <c r="BU1082" s="2"/>
      <c r="BV1082" s="2"/>
      <c r="BW1082" s="2"/>
      <c r="BX1082" s="2"/>
      <c r="BY1082" s="2"/>
      <c r="BZ1082" s="2"/>
      <c r="CA1082" s="2"/>
      <c r="CB1082" s="2"/>
      <c r="CC1082" s="2"/>
      <c r="CD1082" s="3"/>
      <c r="CE1082" s="2"/>
      <c r="CF1082" s="4"/>
      <c r="CG1082" s="4"/>
      <c r="CI1082" s="2"/>
    </row>
    <row r="1083" spans="1:87" s="101" customFormat="1" x14ac:dyDescent="0.35">
      <c r="A1083" s="1"/>
      <c r="C1083" s="1"/>
      <c r="G1083" s="2"/>
      <c r="H1083" s="2"/>
      <c r="I1083" s="2"/>
      <c r="J1083" s="2"/>
      <c r="K1083" s="81"/>
      <c r="L1083" s="4"/>
      <c r="M1083" s="4"/>
      <c r="N1083" s="4"/>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3"/>
      <c r="AP1083" s="2"/>
      <c r="AQ1083" s="2"/>
      <c r="AR1083" s="2"/>
      <c r="AS1083" s="2"/>
      <c r="AT1083" s="2"/>
      <c r="AU1083" s="2"/>
      <c r="AV1083" s="2"/>
      <c r="AW1083" s="2"/>
      <c r="AX1083" s="2"/>
      <c r="AY1083" s="2"/>
      <c r="AZ1083" s="5"/>
      <c r="BA1083" s="2"/>
      <c r="BD1083" s="2"/>
      <c r="BE1083" s="2"/>
      <c r="BF1083" s="2"/>
      <c r="BG1083" s="2"/>
      <c r="BH1083" s="2"/>
      <c r="BI1083" s="2"/>
      <c r="BJ1083" s="2"/>
      <c r="BK1083" s="2"/>
      <c r="BM1083" s="2"/>
      <c r="BN1083" s="2"/>
      <c r="BO1083" s="2"/>
      <c r="BP1083" s="2"/>
      <c r="BQ1083" s="2"/>
      <c r="BR1083" s="6"/>
      <c r="BS1083" s="6"/>
      <c r="BT1083" s="2"/>
      <c r="BU1083" s="2"/>
      <c r="BV1083" s="2"/>
      <c r="BW1083" s="2"/>
      <c r="BX1083" s="2"/>
      <c r="BY1083" s="2"/>
      <c r="BZ1083" s="2"/>
      <c r="CA1083" s="2"/>
      <c r="CB1083" s="2"/>
      <c r="CC1083" s="2"/>
      <c r="CD1083" s="3"/>
      <c r="CE1083" s="2"/>
      <c r="CF1083" s="4"/>
      <c r="CG1083" s="4"/>
      <c r="CI1083" s="2"/>
    </row>
    <row r="1084" spans="1:87" s="101" customFormat="1" x14ac:dyDescent="0.35">
      <c r="A1084" s="1"/>
      <c r="C1084" s="1"/>
      <c r="G1084" s="2"/>
      <c r="H1084" s="2"/>
      <c r="I1084" s="2"/>
      <c r="J1084" s="2"/>
      <c r="K1084" s="81"/>
      <c r="L1084" s="4"/>
      <c r="M1084" s="4"/>
      <c r="N1084" s="4"/>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3"/>
      <c r="AP1084" s="2"/>
      <c r="AQ1084" s="2"/>
      <c r="AR1084" s="2"/>
      <c r="AS1084" s="2"/>
      <c r="AT1084" s="2"/>
      <c r="AU1084" s="2"/>
      <c r="AV1084" s="2"/>
      <c r="AW1084" s="2"/>
      <c r="AX1084" s="2"/>
      <c r="AY1084" s="2"/>
      <c r="AZ1084" s="5"/>
      <c r="BA1084" s="2"/>
      <c r="BD1084" s="2"/>
      <c r="BE1084" s="2"/>
      <c r="BF1084" s="2"/>
      <c r="BG1084" s="2"/>
      <c r="BH1084" s="2"/>
      <c r="BI1084" s="2"/>
      <c r="BJ1084" s="2"/>
      <c r="BK1084" s="2"/>
      <c r="BM1084" s="2"/>
      <c r="BN1084" s="2"/>
      <c r="BO1084" s="2"/>
      <c r="BP1084" s="2"/>
      <c r="BQ1084" s="2"/>
      <c r="BR1084" s="6"/>
      <c r="BS1084" s="6"/>
      <c r="BT1084" s="2"/>
      <c r="BU1084" s="2"/>
      <c r="BV1084" s="2"/>
      <c r="BW1084" s="2"/>
      <c r="BX1084" s="2"/>
      <c r="BY1084" s="2"/>
      <c r="BZ1084" s="2"/>
      <c r="CA1084" s="2"/>
      <c r="CB1084" s="2"/>
      <c r="CC1084" s="2"/>
      <c r="CD1084" s="3"/>
      <c r="CE1084" s="2"/>
      <c r="CF1084" s="4"/>
      <c r="CG1084" s="4"/>
      <c r="CI1084" s="2"/>
    </row>
    <row r="1085" spans="1:87" s="101" customFormat="1" x14ac:dyDescent="0.35">
      <c r="A1085" s="1"/>
      <c r="C1085" s="1"/>
      <c r="G1085" s="2"/>
      <c r="H1085" s="2"/>
      <c r="I1085" s="2"/>
      <c r="J1085" s="2"/>
      <c r="K1085" s="81"/>
      <c r="L1085" s="4"/>
      <c r="M1085" s="4"/>
      <c r="N1085" s="4"/>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3"/>
      <c r="AP1085" s="2"/>
      <c r="AQ1085" s="2"/>
      <c r="AR1085" s="2"/>
      <c r="AS1085" s="2"/>
      <c r="AT1085" s="2"/>
      <c r="AU1085" s="2"/>
      <c r="AV1085" s="2"/>
      <c r="AW1085" s="2"/>
      <c r="AX1085" s="2"/>
      <c r="AY1085" s="2"/>
      <c r="AZ1085" s="5"/>
      <c r="BA1085" s="2"/>
      <c r="BD1085" s="2"/>
      <c r="BE1085" s="2"/>
      <c r="BF1085" s="2"/>
      <c r="BG1085" s="2"/>
      <c r="BH1085" s="2"/>
      <c r="BI1085" s="2"/>
      <c r="BJ1085" s="2"/>
      <c r="BK1085" s="2"/>
      <c r="BM1085" s="2"/>
      <c r="BN1085" s="2"/>
      <c r="BO1085" s="2"/>
      <c r="BP1085" s="2"/>
      <c r="BQ1085" s="2"/>
      <c r="BR1085" s="6"/>
      <c r="BS1085" s="6"/>
      <c r="BT1085" s="2"/>
      <c r="BU1085" s="2"/>
      <c r="BV1085" s="2"/>
      <c r="BW1085" s="2"/>
      <c r="BX1085" s="2"/>
      <c r="BY1085" s="2"/>
      <c r="BZ1085" s="2"/>
      <c r="CA1085" s="2"/>
      <c r="CB1085" s="2"/>
      <c r="CC1085" s="2"/>
      <c r="CD1085" s="3"/>
      <c r="CE1085" s="2"/>
      <c r="CF1085" s="4"/>
      <c r="CG1085" s="4"/>
      <c r="CI1085" s="2"/>
    </row>
    <row r="1086" spans="1:87" s="101" customFormat="1" x14ac:dyDescent="0.35">
      <c r="A1086" s="1"/>
      <c r="C1086" s="1"/>
      <c r="G1086" s="2"/>
      <c r="H1086" s="2"/>
      <c r="I1086" s="2"/>
      <c r="J1086" s="2"/>
      <c r="K1086" s="81"/>
      <c r="L1086" s="4"/>
      <c r="M1086" s="4"/>
      <c r="N1086" s="4"/>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3"/>
      <c r="AP1086" s="2"/>
      <c r="AQ1086" s="2"/>
      <c r="AR1086" s="2"/>
      <c r="AS1086" s="2"/>
      <c r="AT1086" s="2"/>
      <c r="AU1086" s="2"/>
      <c r="AV1086" s="2"/>
      <c r="AW1086" s="2"/>
      <c r="AX1086" s="2"/>
      <c r="AY1086" s="2"/>
      <c r="AZ1086" s="5"/>
      <c r="BA1086" s="2"/>
      <c r="BD1086" s="2"/>
      <c r="BE1086" s="2"/>
      <c r="BF1086" s="2"/>
      <c r="BG1086" s="2"/>
      <c r="BH1086" s="2"/>
      <c r="BI1086" s="2"/>
      <c r="BJ1086" s="2"/>
      <c r="BK1086" s="2"/>
      <c r="BM1086" s="2"/>
      <c r="BN1086" s="2"/>
      <c r="BO1086" s="2"/>
      <c r="BP1086" s="2"/>
      <c r="BQ1086" s="2"/>
      <c r="BR1086" s="6"/>
      <c r="BS1086" s="6"/>
      <c r="BT1086" s="2"/>
      <c r="BU1086" s="2"/>
      <c r="BV1086" s="2"/>
      <c r="BW1086" s="2"/>
      <c r="BX1086" s="2"/>
      <c r="BY1086" s="2"/>
      <c r="BZ1086" s="2"/>
      <c r="CA1086" s="2"/>
      <c r="CB1086" s="2"/>
      <c r="CC1086" s="2"/>
      <c r="CD1086" s="3"/>
      <c r="CE1086" s="2"/>
      <c r="CF1086" s="4"/>
      <c r="CG1086" s="4"/>
      <c r="CI1086" s="2"/>
    </row>
    <row r="1087" spans="1:87" s="101" customFormat="1" x14ac:dyDescent="0.35">
      <c r="A1087" s="1"/>
      <c r="C1087" s="1"/>
      <c r="G1087" s="2"/>
      <c r="H1087" s="2"/>
      <c r="I1087" s="2"/>
      <c r="J1087" s="2"/>
      <c r="K1087" s="81"/>
      <c r="L1087" s="4"/>
      <c r="M1087" s="4"/>
      <c r="N1087" s="4"/>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3"/>
      <c r="AP1087" s="2"/>
      <c r="AQ1087" s="2"/>
      <c r="AR1087" s="2"/>
      <c r="AS1087" s="2"/>
      <c r="AT1087" s="2"/>
      <c r="AU1087" s="2"/>
      <c r="AV1087" s="2"/>
      <c r="AW1087" s="2"/>
      <c r="AX1087" s="2"/>
      <c r="AY1087" s="2"/>
      <c r="AZ1087" s="5"/>
      <c r="BA1087" s="2"/>
      <c r="BD1087" s="2"/>
      <c r="BE1087" s="2"/>
      <c r="BF1087" s="2"/>
      <c r="BG1087" s="2"/>
      <c r="BH1087" s="2"/>
      <c r="BI1087" s="2"/>
      <c r="BJ1087" s="2"/>
      <c r="BK1087" s="2"/>
      <c r="BM1087" s="2"/>
      <c r="BN1087" s="2"/>
      <c r="BO1087" s="2"/>
      <c r="BP1087" s="2"/>
      <c r="BQ1087" s="2"/>
      <c r="BR1087" s="6"/>
      <c r="BS1087" s="6"/>
      <c r="BT1087" s="2"/>
      <c r="BU1087" s="2"/>
      <c r="BV1087" s="2"/>
      <c r="BW1087" s="2"/>
      <c r="BX1087" s="2"/>
      <c r="BY1087" s="2"/>
      <c r="BZ1087" s="2"/>
      <c r="CA1087" s="2"/>
      <c r="CB1087" s="2"/>
      <c r="CC1087" s="2"/>
      <c r="CD1087" s="3"/>
      <c r="CE1087" s="2"/>
      <c r="CF1087" s="4"/>
      <c r="CG1087" s="4"/>
      <c r="CI1087" s="2"/>
    </row>
    <row r="1088" spans="1:87" s="101" customFormat="1" x14ac:dyDescent="0.35">
      <c r="A1088" s="1"/>
      <c r="C1088" s="1"/>
      <c r="G1088" s="2"/>
      <c r="H1088" s="2"/>
      <c r="I1088" s="2"/>
      <c r="J1088" s="2"/>
      <c r="K1088" s="81"/>
      <c r="L1088" s="4"/>
      <c r="M1088" s="4"/>
      <c r="N1088" s="4"/>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3"/>
      <c r="AP1088" s="2"/>
      <c r="AQ1088" s="2"/>
      <c r="AR1088" s="2"/>
      <c r="AS1088" s="2"/>
      <c r="AT1088" s="2"/>
      <c r="AU1088" s="2"/>
      <c r="AV1088" s="2"/>
      <c r="AW1088" s="2"/>
      <c r="AX1088" s="2"/>
      <c r="AY1088" s="2"/>
      <c r="AZ1088" s="5"/>
      <c r="BA1088" s="2"/>
      <c r="BD1088" s="2"/>
      <c r="BE1088" s="2"/>
      <c r="BF1088" s="2"/>
      <c r="BG1088" s="2"/>
      <c r="BH1088" s="2"/>
      <c r="BI1088" s="2"/>
      <c r="BJ1088" s="2"/>
      <c r="BK1088" s="2"/>
      <c r="BM1088" s="2"/>
      <c r="BN1088" s="2"/>
      <c r="BO1088" s="2"/>
      <c r="BP1088" s="2"/>
      <c r="BQ1088" s="2"/>
      <c r="BR1088" s="6"/>
      <c r="BS1088" s="6"/>
      <c r="BT1088" s="2"/>
      <c r="BU1088" s="2"/>
      <c r="BV1088" s="2"/>
      <c r="BW1088" s="2"/>
      <c r="BX1088" s="2"/>
      <c r="BY1088" s="2"/>
      <c r="BZ1088" s="2"/>
      <c r="CA1088" s="2"/>
      <c r="CB1088" s="2"/>
      <c r="CC1088" s="2"/>
      <c r="CD1088" s="3"/>
      <c r="CE1088" s="2"/>
      <c r="CF1088" s="4"/>
      <c r="CG1088" s="4"/>
      <c r="CI1088" s="2"/>
    </row>
    <row r="1089" spans="1:87" s="101" customFormat="1" x14ac:dyDescent="0.35">
      <c r="A1089" s="1"/>
      <c r="C1089" s="1"/>
      <c r="G1089" s="2"/>
      <c r="H1089" s="2"/>
      <c r="I1089" s="2"/>
      <c r="J1089" s="2"/>
      <c r="K1089" s="81"/>
      <c r="L1089" s="4"/>
      <c r="M1089" s="4"/>
      <c r="N1089" s="4"/>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3"/>
      <c r="AP1089" s="2"/>
      <c r="AQ1089" s="2"/>
      <c r="AR1089" s="2"/>
      <c r="AS1089" s="2"/>
      <c r="AT1089" s="2"/>
      <c r="AU1089" s="2"/>
      <c r="AV1089" s="2"/>
      <c r="AW1089" s="2"/>
      <c r="AX1089" s="2"/>
      <c r="AY1089" s="2"/>
      <c r="AZ1089" s="5"/>
      <c r="BA1089" s="2"/>
      <c r="BD1089" s="2"/>
      <c r="BE1089" s="2"/>
      <c r="BF1089" s="2"/>
      <c r="BG1089" s="2"/>
      <c r="BH1089" s="2"/>
      <c r="BI1089" s="2"/>
      <c r="BJ1089" s="2"/>
      <c r="BK1089" s="2"/>
      <c r="BM1089" s="2"/>
      <c r="BN1089" s="2"/>
      <c r="BO1089" s="2"/>
      <c r="BP1089" s="2"/>
      <c r="BQ1089" s="2"/>
      <c r="BR1089" s="6"/>
      <c r="BS1089" s="6"/>
      <c r="BT1089" s="2"/>
      <c r="BU1089" s="2"/>
      <c r="BV1089" s="2"/>
      <c r="BW1089" s="2"/>
      <c r="BX1089" s="2"/>
      <c r="BY1089" s="2"/>
      <c r="BZ1089" s="2"/>
      <c r="CA1089" s="2"/>
      <c r="CB1089" s="2"/>
      <c r="CC1089" s="2"/>
      <c r="CD1089" s="3"/>
      <c r="CE1089" s="2"/>
      <c r="CF1089" s="4"/>
      <c r="CG1089" s="4"/>
      <c r="CI1089" s="2"/>
    </row>
    <row r="1090" spans="1:87" s="101" customFormat="1" x14ac:dyDescent="0.35">
      <c r="A1090" s="1"/>
      <c r="C1090" s="1"/>
      <c r="G1090" s="2"/>
      <c r="H1090" s="2"/>
      <c r="I1090" s="2"/>
      <c r="J1090" s="2"/>
      <c r="K1090" s="81"/>
      <c r="L1090" s="4"/>
      <c r="M1090" s="4"/>
      <c r="N1090" s="4"/>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3"/>
      <c r="AP1090" s="2"/>
      <c r="AQ1090" s="2"/>
      <c r="AR1090" s="2"/>
      <c r="AS1090" s="2"/>
      <c r="AT1090" s="2"/>
      <c r="AU1090" s="2"/>
      <c r="AV1090" s="2"/>
      <c r="AW1090" s="2"/>
      <c r="AX1090" s="2"/>
      <c r="AY1090" s="2"/>
      <c r="AZ1090" s="5"/>
      <c r="BA1090" s="2"/>
      <c r="BD1090" s="2"/>
      <c r="BE1090" s="2"/>
      <c r="BF1090" s="2"/>
      <c r="BG1090" s="2"/>
      <c r="BH1090" s="2"/>
      <c r="BI1090" s="2"/>
      <c r="BJ1090" s="2"/>
      <c r="BK1090" s="2"/>
      <c r="BM1090" s="2"/>
      <c r="BN1090" s="2"/>
      <c r="BO1090" s="2"/>
      <c r="BP1090" s="2"/>
      <c r="BQ1090" s="2"/>
      <c r="BR1090" s="6"/>
      <c r="BS1090" s="6"/>
      <c r="BT1090" s="2"/>
      <c r="BU1090" s="2"/>
      <c r="BV1090" s="2"/>
      <c r="BW1090" s="2"/>
      <c r="BX1090" s="2"/>
      <c r="BY1090" s="2"/>
      <c r="BZ1090" s="2"/>
      <c r="CA1090" s="2"/>
      <c r="CB1090" s="2"/>
      <c r="CC1090" s="2"/>
      <c r="CD1090" s="3"/>
      <c r="CE1090" s="2"/>
      <c r="CF1090" s="4"/>
      <c r="CG1090" s="4"/>
      <c r="CI1090" s="2"/>
    </row>
    <row r="1091" spans="1:87" s="101" customFormat="1" x14ac:dyDescent="0.35">
      <c r="A1091" s="1"/>
      <c r="C1091" s="1"/>
      <c r="G1091" s="2"/>
      <c r="H1091" s="2"/>
      <c r="I1091" s="2"/>
      <c r="J1091" s="2"/>
      <c r="K1091" s="81"/>
      <c r="L1091" s="4"/>
      <c r="M1091" s="4"/>
      <c r="N1091" s="4"/>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3"/>
      <c r="AP1091" s="2"/>
      <c r="AQ1091" s="2"/>
      <c r="AR1091" s="2"/>
      <c r="AS1091" s="2"/>
      <c r="AT1091" s="2"/>
      <c r="AU1091" s="2"/>
      <c r="AV1091" s="2"/>
      <c r="AW1091" s="2"/>
      <c r="AX1091" s="2"/>
      <c r="AY1091" s="2"/>
      <c r="AZ1091" s="5"/>
      <c r="BA1091" s="2"/>
      <c r="BD1091" s="2"/>
      <c r="BE1091" s="2"/>
      <c r="BF1091" s="2"/>
      <c r="BG1091" s="2"/>
      <c r="BH1091" s="2"/>
      <c r="BI1091" s="2"/>
      <c r="BJ1091" s="2"/>
      <c r="BK1091" s="2"/>
      <c r="BM1091" s="2"/>
      <c r="BN1091" s="2"/>
      <c r="BO1091" s="2"/>
      <c r="BP1091" s="2"/>
      <c r="BQ1091" s="2"/>
      <c r="BR1091" s="6"/>
      <c r="BS1091" s="6"/>
      <c r="BT1091" s="2"/>
      <c r="BU1091" s="2"/>
      <c r="BV1091" s="2"/>
      <c r="BW1091" s="2"/>
      <c r="BX1091" s="2"/>
      <c r="BY1091" s="2"/>
      <c r="BZ1091" s="2"/>
      <c r="CA1091" s="2"/>
      <c r="CB1091" s="2"/>
      <c r="CC1091" s="2"/>
      <c r="CD1091" s="3"/>
      <c r="CE1091" s="2"/>
      <c r="CF1091" s="4"/>
      <c r="CG1091" s="4"/>
      <c r="CI1091" s="2"/>
    </row>
    <row r="1092" spans="1:87" s="101" customFormat="1" x14ac:dyDescent="0.35">
      <c r="A1092" s="1"/>
      <c r="C1092" s="1"/>
      <c r="G1092" s="2"/>
      <c r="H1092" s="2"/>
      <c r="I1092" s="2"/>
      <c r="J1092" s="2"/>
      <c r="K1092" s="81"/>
      <c r="L1092" s="4"/>
      <c r="M1092" s="4"/>
      <c r="N1092" s="4"/>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3"/>
      <c r="AP1092" s="2"/>
      <c r="AQ1092" s="2"/>
      <c r="AR1092" s="2"/>
      <c r="AS1092" s="2"/>
      <c r="AT1092" s="2"/>
      <c r="AU1092" s="2"/>
      <c r="AV1092" s="2"/>
      <c r="AW1092" s="2"/>
      <c r="AX1092" s="2"/>
      <c r="AY1092" s="2"/>
      <c r="AZ1092" s="5"/>
      <c r="BA1092" s="2"/>
      <c r="BD1092" s="2"/>
      <c r="BE1092" s="2"/>
      <c r="BF1092" s="2"/>
      <c r="BG1092" s="2"/>
      <c r="BH1092" s="2"/>
      <c r="BI1092" s="2"/>
      <c r="BJ1092" s="2"/>
      <c r="BK1092" s="2"/>
      <c r="BM1092" s="2"/>
      <c r="BN1092" s="2"/>
      <c r="BO1092" s="2"/>
      <c r="BP1092" s="2"/>
      <c r="BQ1092" s="2"/>
      <c r="BR1092" s="6"/>
      <c r="BS1092" s="6"/>
      <c r="BT1092" s="2"/>
      <c r="BU1092" s="2"/>
      <c r="BV1092" s="2"/>
      <c r="BW1092" s="2"/>
      <c r="BX1092" s="2"/>
      <c r="BY1092" s="2"/>
      <c r="BZ1092" s="2"/>
      <c r="CA1092" s="2"/>
      <c r="CB1092" s="2"/>
      <c r="CC1092" s="2"/>
      <c r="CD1092" s="3"/>
      <c r="CE1092" s="2"/>
      <c r="CF1092" s="4"/>
      <c r="CG1092" s="4"/>
      <c r="CI1092" s="2"/>
    </row>
    <row r="1093" spans="1:87" s="101" customFormat="1" x14ac:dyDescent="0.35">
      <c r="A1093" s="1"/>
      <c r="C1093" s="1"/>
      <c r="G1093" s="2"/>
      <c r="H1093" s="2"/>
      <c r="I1093" s="2"/>
      <c r="J1093" s="2"/>
      <c r="K1093" s="81"/>
      <c r="L1093" s="4"/>
      <c r="M1093" s="4"/>
      <c r="N1093" s="4"/>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3"/>
      <c r="AP1093" s="2"/>
      <c r="AQ1093" s="2"/>
      <c r="AR1093" s="2"/>
      <c r="AS1093" s="2"/>
      <c r="AT1093" s="2"/>
      <c r="AU1093" s="2"/>
      <c r="AV1093" s="2"/>
      <c r="AW1093" s="2"/>
      <c r="AX1093" s="2"/>
      <c r="AY1093" s="2"/>
      <c r="AZ1093" s="5"/>
      <c r="BA1093" s="2"/>
      <c r="BD1093" s="2"/>
      <c r="BE1093" s="2"/>
      <c r="BF1093" s="2"/>
      <c r="BG1093" s="2"/>
      <c r="BH1093" s="2"/>
      <c r="BI1093" s="2"/>
      <c r="BJ1093" s="2"/>
      <c r="BK1093" s="2"/>
      <c r="BM1093" s="2"/>
      <c r="BN1093" s="2"/>
      <c r="BO1093" s="2"/>
      <c r="BP1093" s="2"/>
      <c r="BQ1093" s="2"/>
      <c r="BR1093" s="6"/>
      <c r="BS1093" s="6"/>
      <c r="BT1093" s="2"/>
      <c r="BU1093" s="2"/>
      <c r="BV1093" s="2"/>
      <c r="BW1093" s="2"/>
      <c r="BX1093" s="2"/>
      <c r="BY1093" s="2"/>
      <c r="BZ1093" s="2"/>
      <c r="CA1093" s="2"/>
      <c r="CB1093" s="2"/>
      <c r="CC1093" s="2"/>
      <c r="CD1093" s="3"/>
      <c r="CE1093" s="2"/>
      <c r="CF1093" s="4"/>
      <c r="CG1093" s="4"/>
      <c r="CI1093" s="2"/>
    </row>
    <row r="1094" spans="1:87" s="101" customFormat="1" x14ac:dyDescent="0.35">
      <c r="A1094" s="1"/>
      <c r="C1094" s="1"/>
      <c r="G1094" s="2"/>
      <c r="H1094" s="2"/>
      <c r="I1094" s="2"/>
      <c r="J1094" s="2"/>
      <c r="K1094" s="81"/>
      <c r="L1094" s="4"/>
      <c r="M1094" s="4"/>
      <c r="N1094" s="4"/>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3"/>
      <c r="AP1094" s="2"/>
      <c r="AQ1094" s="2"/>
      <c r="AR1094" s="2"/>
      <c r="AS1094" s="2"/>
      <c r="AT1094" s="2"/>
      <c r="AU1094" s="2"/>
      <c r="AV1094" s="2"/>
      <c r="AW1094" s="2"/>
      <c r="AX1094" s="2"/>
      <c r="AY1094" s="2"/>
      <c r="AZ1094" s="5"/>
      <c r="BA1094" s="2"/>
      <c r="BD1094" s="2"/>
      <c r="BE1094" s="2"/>
      <c r="BF1094" s="2"/>
      <c r="BG1094" s="2"/>
      <c r="BH1094" s="2"/>
      <c r="BI1094" s="2"/>
      <c r="BJ1094" s="2"/>
      <c r="BK1094" s="2"/>
      <c r="BM1094" s="2"/>
      <c r="BN1094" s="2"/>
      <c r="BO1094" s="2"/>
      <c r="BP1094" s="2"/>
      <c r="BQ1094" s="2"/>
      <c r="BR1094" s="6"/>
      <c r="BS1094" s="6"/>
      <c r="BT1094" s="2"/>
      <c r="BU1094" s="2"/>
      <c r="BV1094" s="2"/>
      <c r="BW1094" s="2"/>
      <c r="BX1094" s="2"/>
      <c r="BY1094" s="2"/>
      <c r="BZ1094" s="2"/>
      <c r="CA1094" s="2"/>
      <c r="CB1094" s="2"/>
      <c r="CC1094" s="2"/>
      <c r="CD1094" s="3"/>
      <c r="CE1094" s="2"/>
      <c r="CF1094" s="4"/>
      <c r="CG1094" s="4"/>
      <c r="CI1094" s="2"/>
    </row>
    <row r="1095" spans="1:87" s="101" customFormat="1" x14ac:dyDescent="0.35">
      <c r="A1095" s="1"/>
      <c r="C1095" s="1"/>
      <c r="G1095" s="2"/>
      <c r="H1095" s="2"/>
      <c r="I1095" s="2"/>
      <c r="J1095" s="2"/>
      <c r="K1095" s="81"/>
      <c r="L1095" s="4"/>
      <c r="M1095" s="4"/>
      <c r="N1095" s="4"/>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3"/>
      <c r="AP1095" s="2"/>
      <c r="AQ1095" s="2"/>
      <c r="AR1095" s="2"/>
      <c r="AS1095" s="2"/>
      <c r="AT1095" s="2"/>
      <c r="AU1095" s="2"/>
      <c r="AV1095" s="2"/>
      <c r="AW1095" s="2"/>
      <c r="AX1095" s="2"/>
      <c r="AY1095" s="2"/>
      <c r="AZ1095" s="5"/>
      <c r="BA1095" s="2"/>
      <c r="BD1095" s="2"/>
      <c r="BE1095" s="2"/>
      <c r="BF1095" s="2"/>
      <c r="BG1095" s="2"/>
      <c r="BH1095" s="2"/>
      <c r="BI1095" s="2"/>
      <c r="BJ1095" s="2"/>
      <c r="BK1095" s="2"/>
      <c r="BM1095" s="2"/>
      <c r="BN1095" s="2"/>
      <c r="BO1095" s="2"/>
      <c r="BP1095" s="2"/>
      <c r="BQ1095" s="2"/>
      <c r="BR1095" s="6"/>
      <c r="BS1095" s="6"/>
      <c r="BT1095" s="2"/>
      <c r="BU1095" s="2"/>
      <c r="BV1095" s="2"/>
      <c r="BW1095" s="2"/>
      <c r="BX1095" s="2"/>
      <c r="BY1095" s="2"/>
      <c r="BZ1095" s="2"/>
      <c r="CA1095" s="2"/>
      <c r="CB1095" s="2"/>
      <c r="CC1095" s="2"/>
      <c r="CD1095" s="3"/>
      <c r="CE1095" s="2"/>
      <c r="CF1095" s="4"/>
      <c r="CG1095" s="4"/>
      <c r="CI1095" s="2"/>
    </row>
    <row r="1096" spans="1:87" s="101" customFormat="1" x14ac:dyDescent="0.35">
      <c r="A1096" s="1"/>
      <c r="C1096" s="1"/>
      <c r="G1096" s="2"/>
      <c r="H1096" s="2"/>
      <c r="I1096" s="2"/>
      <c r="J1096" s="2"/>
      <c r="K1096" s="81"/>
      <c r="L1096" s="4"/>
      <c r="M1096" s="4"/>
      <c r="N1096" s="4"/>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3"/>
      <c r="AP1096" s="2"/>
      <c r="AQ1096" s="2"/>
      <c r="AR1096" s="2"/>
      <c r="AS1096" s="2"/>
      <c r="AT1096" s="2"/>
      <c r="AU1096" s="2"/>
      <c r="AV1096" s="2"/>
      <c r="AW1096" s="2"/>
      <c r="AX1096" s="2"/>
      <c r="AY1096" s="2"/>
      <c r="AZ1096" s="5"/>
      <c r="BA1096" s="2"/>
      <c r="BD1096" s="2"/>
      <c r="BE1096" s="2"/>
      <c r="BF1096" s="2"/>
      <c r="BG1096" s="2"/>
      <c r="BH1096" s="2"/>
      <c r="BI1096" s="2"/>
      <c r="BJ1096" s="2"/>
      <c r="BK1096" s="2"/>
      <c r="BM1096" s="2"/>
      <c r="BN1096" s="2"/>
      <c r="BO1096" s="2"/>
      <c r="BP1096" s="2"/>
      <c r="BQ1096" s="2"/>
      <c r="BR1096" s="6"/>
      <c r="BS1096" s="6"/>
      <c r="BT1096" s="2"/>
      <c r="BU1096" s="2"/>
      <c r="BV1096" s="2"/>
      <c r="BW1096" s="2"/>
      <c r="BX1096" s="2"/>
      <c r="BY1096" s="2"/>
      <c r="BZ1096" s="2"/>
      <c r="CA1096" s="2"/>
      <c r="CB1096" s="2"/>
      <c r="CC1096" s="2"/>
      <c r="CD1096" s="3"/>
      <c r="CE1096" s="2"/>
      <c r="CF1096" s="4"/>
      <c r="CG1096" s="4"/>
      <c r="CI1096" s="2"/>
    </row>
    <row r="1097" spans="1:87" s="101" customFormat="1" x14ac:dyDescent="0.35">
      <c r="A1097" s="1"/>
      <c r="C1097" s="1"/>
      <c r="G1097" s="2"/>
      <c r="H1097" s="2"/>
      <c r="I1097" s="2"/>
      <c r="J1097" s="2"/>
      <c r="K1097" s="81"/>
      <c r="L1097" s="4"/>
      <c r="M1097" s="4"/>
      <c r="N1097" s="4"/>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3"/>
      <c r="AP1097" s="2"/>
      <c r="AQ1097" s="2"/>
      <c r="AR1097" s="2"/>
      <c r="AS1097" s="2"/>
      <c r="AT1097" s="2"/>
      <c r="AU1097" s="2"/>
      <c r="AV1097" s="2"/>
      <c r="AW1097" s="2"/>
      <c r="AX1097" s="2"/>
      <c r="AY1097" s="2"/>
      <c r="AZ1097" s="5"/>
      <c r="BA1097" s="2"/>
      <c r="BD1097" s="2"/>
      <c r="BE1097" s="2"/>
      <c r="BF1097" s="2"/>
      <c r="BG1097" s="2"/>
      <c r="BH1097" s="2"/>
      <c r="BI1097" s="2"/>
      <c r="BJ1097" s="2"/>
      <c r="BK1097" s="2"/>
      <c r="BM1097" s="2"/>
      <c r="BN1097" s="2"/>
      <c r="BO1097" s="2"/>
      <c r="BP1097" s="2"/>
      <c r="BQ1097" s="2"/>
      <c r="BR1097" s="6"/>
      <c r="BS1097" s="6"/>
      <c r="BT1097" s="2"/>
      <c r="BU1097" s="2"/>
      <c r="BV1097" s="2"/>
      <c r="BW1097" s="2"/>
      <c r="BX1097" s="2"/>
      <c r="BY1097" s="2"/>
      <c r="BZ1097" s="2"/>
      <c r="CA1097" s="2"/>
      <c r="CB1097" s="2"/>
      <c r="CC1097" s="2"/>
      <c r="CD1097" s="3"/>
      <c r="CE1097" s="2"/>
      <c r="CF1097" s="4"/>
      <c r="CG1097" s="4"/>
      <c r="CI1097" s="2"/>
    </row>
    <row r="1098" spans="1:87" s="101" customFormat="1" x14ac:dyDescent="0.35">
      <c r="A1098" s="1"/>
      <c r="C1098" s="1"/>
      <c r="G1098" s="2"/>
      <c r="H1098" s="2"/>
      <c r="I1098" s="2"/>
      <c r="J1098" s="2"/>
      <c r="K1098" s="81"/>
      <c r="L1098" s="4"/>
      <c r="M1098" s="4"/>
      <c r="N1098" s="4"/>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3"/>
      <c r="AP1098" s="2"/>
      <c r="AQ1098" s="2"/>
      <c r="AR1098" s="2"/>
      <c r="AS1098" s="2"/>
      <c r="AT1098" s="2"/>
      <c r="AU1098" s="2"/>
      <c r="AV1098" s="2"/>
      <c r="AW1098" s="2"/>
      <c r="AX1098" s="2"/>
      <c r="AY1098" s="2"/>
      <c r="AZ1098" s="5"/>
      <c r="BA1098" s="2"/>
      <c r="BD1098" s="2"/>
      <c r="BE1098" s="2"/>
      <c r="BF1098" s="2"/>
      <c r="BG1098" s="2"/>
      <c r="BH1098" s="2"/>
      <c r="BI1098" s="2"/>
      <c r="BJ1098" s="2"/>
      <c r="BK1098" s="2"/>
      <c r="BM1098" s="2"/>
      <c r="BN1098" s="2"/>
      <c r="BO1098" s="2"/>
      <c r="BP1098" s="2"/>
      <c r="BQ1098" s="2"/>
      <c r="BR1098" s="6"/>
      <c r="BS1098" s="6"/>
      <c r="BT1098" s="2"/>
      <c r="BU1098" s="2"/>
      <c r="BV1098" s="2"/>
      <c r="BW1098" s="2"/>
      <c r="BX1098" s="2"/>
      <c r="BY1098" s="2"/>
      <c r="BZ1098" s="2"/>
      <c r="CA1098" s="2"/>
      <c r="CB1098" s="2"/>
      <c r="CC1098" s="2"/>
      <c r="CD1098" s="3"/>
      <c r="CE1098" s="2"/>
      <c r="CF1098" s="4"/>
      <c r="CG1098" s="4"/>
      <c r="CI1098" s="2"/>
    </row>
    <row r="1099" spans="1:87" s="101" customFormat="1" x14ac:dyDescent="0.35">
      <c r="A1099" s="1"/>
      <c r="C1099" s="1"/>
      <c r="G1099" s="2"/>
      <c r="H1099" s="2"/>
      <c r="I1099" s="2"/>
      <c r="J1099" s="2"/>
      <c r="K1099" s="81"/>
      <c r="L1099" s="4"/>
      <c r="M1099" s="4"/>
      <c r="N1099" s="4"/>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3"/>
      <c r="AP1099" s="2"/>
      <c r="AQ1099" s="2"/>
      <c r="AR1099" s="2"/>
      <c r="AS1099" s="2"/>
      <c r="AT1099" s="2"/>
      <c r="AU1099" s="2"/>
      <c r="AV1099" s="2"/>
      <c r="AW1099" s="2"/>
      <c r="AX1099" s="2"/>
      <c r="AY1099" s="2"/>
      <c r="AZ1099" s="5"/>
      <c r="BA1099" s="2"/>
      <c r="BD1099" s="2"/>
      <c r="BE1099" s="2"/>
      <c r="BF1099" s="2"/>
      <c r="BG1099" s="2"/>
      <c r="BH1099" s="2"/>
      <c r="BI1099" s="2"/>
      <c r="BJ1099" s="2"/>
      <c r="BK1099" s="2"/>
      <c r="BM1099" s="2"/>
      <c r="BN1099" s="2"/>
      <c r="BO1099" s="2"/>
      <c r="BP1099" s="2"/>
      <c r="BQ1099" s="2"/>
      <c r="BR1099" s="6"/>
      <c r="BS1099" s="6"/>
      <c r="BT1099" s="2"/>
      <c r="BU1099" s="2"/>
      <c r="BV1099" s="2"/>
      <c r="BW1099" s="2"/>
      <c r="BX1099" s="2"/>
      <c r="BY1099" s="2"/>
      <c r="BZ1099" s="2"/>
      <c r="CA1099" s="2"/>
      <c r="CB1099" s="2"/>
      <c r="CC1099" s="2"/>
      <c r="CD1099" s="3"/>
      <c r="CE1099" s="2"/>
      <c r="CF1099" s="4"/>
      <c r="CG1099" s="4"/>
      <c r="CI1099" s="2"/>
    </row>
    <row r="1100" spans="1:87" s="101" customFormat="1" x14ac:dyDescent="0.35">
      <c r="A1100" s="1"/>
      <c r="C1100" s="1"/>
      <c r="G1100" s="2"/>
      <c r="H1100" s="2"/>
      <c r="I1100" s="2"/>
      <c r="J1100" s="2"/>
      <c r="K1100" s="81"/>
      <c r="L1100" s="4"/>
      <c r="M1100" s="4"/>
      <c r="N1100" s="4"/>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3"/>
      <c r="AP1100" s="2"/>
      <c r="AQ1100" s="2"/>
      <c r="AR1100" s="2"/>
      <c r="AS1100" s="2"/>
      <c r="AT1100" s="2"/>
      <c r="AU1100" s="2"/>
      <c r="AV1100" s="2"/>
      <c r="AW1100" s="2"/>
      <c r="AX1100" s="2"/>
      <c r="AY1100" s="2"/>
      <c r="AZ1100" s="5"/>
      <c r="BA1100" s="2"/>
      <c r="BD1100" s="2"/>
      <c r="BE1100" s="2"/>
      <c r="BF1100" s="2"/>
      <c r="BG1100" s="2"/>
      <c r="BH1100" s="2"/>
      <c r="BI1100" s="2"/>
      <c r="BJ1100" s="2"/>
      <c r="BK1100" s="2"/>
      <c r="BM1100" s="2"/>
      <c r="BN1100" s="2"/>
      <c r="BO1100" s="2"/>
      <c r="BP1100" s="2"/>
      <c r="BQ1100" s="2"/>
      <c r="BR1100" s="6"/>
      <c r="BS1100" s="6"/>
      <c r="BT1100" s="2"/>
      <c r="BU1100" s="2"/>
      <c r="BV1100" s="2"/>
      <c r="BW1100" s="2"/>
      <c r="BX1100" s="2"/>
      <c r="BY1100" s="2"/>
      <c r="BZ1100" s="2"/>
      <c r="CA1100" s="2"/>
      <c r="CB1100" s="2"/>
      <c r="CC1100" s="2"/>
      <c r="CD1100" s="3"/>
      <c r="CE1100" s="2"/>
      <c r="CF1100" s="4"/>
      <c r="CG1100" s="4"/>
      <c r="CI1100" s="2"/>
    </row>
    <row r="1101" spans="1:87" s="101" customFormat="1" x14ac:dyDescent="0.35">
      <c r="A1101" s="1"/>
      <c r="C1101" s="1"/>
      <c r="G1101" s="2"/>
      <c r="H1101" s="2"/>
      <c r="I1101" s="2"/>
      <c r="J1101" s="2"/>
      <c r="K1101" s="81"/>
      <c r="L1101" s="4"/>
      <c r="M1101" s="4"/>
      <c r="N1101" s="4"/>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3"/>
      <c r="AP1101" s="2"/>
      <c r="AQ1101" s="2"/>
      <c r="AR1101" s="2"/>
      <c r="AS1101" s="2"/>
      <c r="AT1101" s="2"/>
      <c r="AU1101" s="2"/>
      <c r="AV1101" s="2"/>
      <c r="AW1101" s="2"/>
      <c r="AX1101" s="2"/>
      <c r="AY1101" s="2"/>
      <c r="AZ1101" s="5"/>
      <c r="BA1101" s="2"/>
      <c r="BD1101" s="2"/>
      <c r="BE1101" s="2"/>
      <c r="BF1101" s="2"/>
      <c r="BG1101" s="2"/>
      <c r="BH1101" s="2"/>
      <c r="BI1101" s="2"/>
      <c r="BJ1101" s="2"/>
      <c r="BK1101" s="2"/>
      <c r="BM1101" s="2"/>
      <c r="BN1101" s="2"/>
      <c r="BO1101" s="2"/>
      <c r="BP1101" s="2"/>
      <c r="BQ1101" s="2"/>
      <c r="BR1101" s="6"/>
      <c r="BS1101" s="6"/>
      <c r="BT1101" s="2"/>
      <c r="BU1101" s="2"/>
      <c r="BV1101" s="2"/>
      <c r="BW1101" s="2"/>
      <c r="BX1101" s="2"/>
      <c r="BY1101" s="2"/>
      <c r="BZ1101" s="2"/>
      <c r="CA1101" s="2"/>
      <c r="CB1101" s="2"/>
      <c r="CC1101" s="2"/>
      <c r="CD1101" s="3"/>
      <c r="CE1101" s="2"/>
      <c r="CF1101" s="4"/>
      <c r="CG1101" s="4"/>
      <c r="CI1101" s="2"/>
    </row>
    <row r="1102" spans="1:87" s="101" customFormat="1" x14ac:dyDescent="0.35">
      <c r="A1102" s="1"/>
      <c r="C1102" s="1"/>
      <c r="G1102" s="2"/>
      <c r="H1102" s="2"/>
      <c r="I1102" s="2"/>
      <c r="J1102" s="2"/>
      <c r="K1102" s="81"/>
      <c r="L1102" s="4"/>
      <c r="M1102" s="4"/>
      <c r="N1102" s="4"/>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3"/>
      <c r="AP1102" s="2"/>
      <c r="AQ1102" s="2"/>
      <c r="AR1102" s="2"/>
      <c r="AS1102" s="2"/>
      <c r="AT1102" s="2"/>
      <c r="AU1102" s="2"/>
      <c r="AV1102" s="2"/>
      <c r="AW1102" s="2"/>
      <c r="AX1102" s="2"/>
      <c r="AY1102" s="2"/>
      <c r="AZ1102" s="5"/>
      <c r="BA1102" s="2"/>
      <c r="BD1102" s="2"/>
      <c r="BE1102" s="2"/>
      <c r="BF1102" s="2"/>
      <c r="BG1102" s="2"/>
      <c r="BH1102" s="2"/>
      <c r="BI1102" s="2"/>
      <c r="BJ1102" s="2"/>
      <c r="BK1102" s="2"/>
      <c r="BM1102" s="2"/>
      <c r="BN1102" s="2"/>
      <c r="BO1102" s="2"/>
      <c r="BP1102" s="2"/>
      <c r="BQ1102" s="2"/>
      <c r="BR1102" s="6"/>
      <c r="BS1102" s="6"/>
      <c r="BT1102" s="2"/>
      <c r="BU1102" s="2"/>
      <c r="BV1102" s="2"/>
      <c r="BW1102" s="2"/>
      <c r="BX1102" s="2"/>
      <c r="BY1102" s="2"/>
      <c r="BZ1102" s="2"/>
      <c r="CA1102" s="2"/>
      <c r="CB1102" s="2"/>
      <c r="CC1102" s="2"/>
      <c r="CD1102" s="3"/>
      <c r="CE1102" s="2"/>
      <c r="CF1102" s="4"/>
      <c r="CG1102" s="4"/>
      <c r="CI1102" s="2"/>
    </row>
    <row r="1103" spans="1:87" s="101" customFormat="1" x14ac:dyDescent="0.35">
      <c r="A1103" s="1"/>
      <c r="C1103" s="1"/>
      <c r="G1103" s="2"/>
      <c r="H1103" s="2"/>
      <c r="I1103" s="2"/>
      <c r="J1103" s="2"/>
      <c r="K1103" s="81"/>
      <c r="L1103" s="4"/>
      <c r="M1103" s="4"/>
      <c r="N1103" s="4"/>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3"/>
      <c r="AP1103" s="2"/>
      <c r="AQ1103" s="2"/>
      <c r="AR1103" s="2"/>
      <c r="AS1103" s="2"/>
      <c r="AT1103" s="2"/>
      <c r="AU1103" s="2"/>
      <c r="AV1103" s="2"/>
      <c r="AW1103" s="2"/>
      <c r="AX1103" s="2"/>
      <c r="AY1103" s="2"/>
      <c r="AZ1103" s="5"/>
      <c r="BA1103" s="2"/>
      <c r="BD1103" s="2"/>
      <c r="BE1103" s="2"/>
      <c r="BF1103" s="2"/>
      <c r="BG1103" s="2"/>
      <c r="BH1103" s="2"/>
      <c r="BI1103" s="2"/>
      <c r="BJ1103" s="2"/>
      <c r="BK1103" s="2"/>
      <c r="BM1103" s="2"/>
      <c r="BN1103" s="2"/>
      <c r="BO1103" s="2"/>
      <c r="BP1103" s="2"/>
      <c r="BQ1103" s="2"/>
      <c r="BR1103" s="6"/>
      <c r="BS1103" s="6"/>
      <c r="BT1103" s="2"/>
      <c r="BU1103" s="2"/>
      <c r="BV1103" s="2"/>
      <c r="BW1103" s="2"/>
      <c r="BX1103" s="2"/>
      <c r="BY1103" s="2"/>
      <c r="BZ1103" s="2"/>
      <c r="CA1103" s="2"/>
      <c r="CB1103" s="2"/>
      <c r="CC1103" s="2"/>
      <c r="CD1103" s="3"/>
      <c r="CE1103" s="2"/>
      <c r="CF1103" s="4"/>
      <c r="CG1103" s="4"/>
      <c r="CI1103" s="2"/>
    </row>
    <row r="1104" spans="1:87" s="101" customFormat="1" x14ac:dyDescent="0.35">
      <c r="A1104" s="1"/>
      <c r="C1104" s="1"/>
      <c r="G1104" s="2"/>
      <c r="H1104" s="2"/>
      <c r="I1104" s="2"/>
      <c r="J1104" s="2"/>
      <c r="K1104" s="81"/>
      <c r="L1104" s="4"/>
      <c r="M1104" s="4"/>
      <c r="N1104" s="4"/>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3"/>
      <c r="AP1104" s="2"/>
      <c r="AQ1104" s="2"/>
      <c r="AR1104" s="2"/>
      <c r="AS1104" s="2"/>
      <c r="AT1104" s="2"/>
      <c r="AU1104" s="2"/>
      <c r="AV1104" s="2"/>
      <c r="AW1104" s="2"/>
      <c r="AX1104" s="2"/>
      <c r="AY1104" s="2"/>
      <c r="AZ1104" s="5"/>
      <c r="BA1104" s="2"/>
      <c r="BD1104" s="2"/>
      <c r="BE1104" s="2"/>
      <c r="BF1104" s="2"/>
      <c r="BG1104" s="2"/>
      <c r="BH1104" s="2"/>
      <c r="BI1104" s="2"/>
      <c r="BJ1104" s="2"/>
      <c r="BK1104" s="2"/>
      <c r="BM1104" s="2"/>
      <c r="BN1104" s="2"/>
      <c r="BO1104" s="2"/>
      <c r="BP1104" s="2"/>
      <c r="BQ1104" s="2"/>
      <c r="BR1104" s="6"/>
      <c r="BS1104" s="6"/>
      <c r="BT1104" s="2"/>
      <c r="BU1104" s="2"/>
      <c r="BV1104" s="2"/>
      <c r="BW1104" s="2"/>
      <c r="BX1104" s="2"/>
      <c r="BY1104" s="2"/>
      <c r="BZ1104" s="2"/>
      <c r="CA1104" s="2"/>
      <c r="CB1104" s="2"/>
      <c r="CC1104" s="2"/>
      <c r="CD1104" s="3"/>
      <c r="CE1104" s="2"/>
      <c r="CF1104" s="4"/>
      <c r="CG1104" s="4"/>
      <c r="CI1104" s="2"/>
    </row>
    <row r="1105" spans="1:87" s="101" customFormat="1" x14ac:dyDescent="0.35">
      <c r="A1105" s="1"/>
      <c r="C1105" s="1"/>
      <c r="G1105" s="2"/>
      <c r="H1105" s="2"/>
      <c r="I1105" s="2"/>
      <c r="J1105" s="2"/>
      <c r="K1105" s="81"/>
      <c r="L1105" s="4"/>
      <c r="M1105" s="4"/>
      <c r="N1105" s="4"/>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3"/>
      <c r="AP1105" s="2"/>
      <c r="AQ1105" s="2"/>
      <c r="AR1105" s="2"/>
      <c r="AS1105" s="2"/>
      <c r="AT1105" s="2"/>
      <c r="AU1105" s="2"/>
      <c r="AV1105" s="2"/>
      <c r="AW1105" s="2"/>
      <c r="AX1105" s="2"/>
      <c r="AY1105" s="2"/>
      <c r="AZ1105" s="5"/>
      <c r="BA1105" s="2"/>
      <c r="BD1105" s="2"/>
      <c r="BE1105" s="2"/>
      <c r="BF1105" s="2"/>
      <c r="BG1105" s="2"/>
      <c r="BH1105" s="2"/>
      <c r="BI1105" s="2"/>
      <c r="BJ1105" s="2"/>
      <c r="BK1105" s="2"/>
      <c r="BM1105" s="2"/>
      <c r="BN1105" s="2"/>
      <c r="BO1105" s="2"/>
      <c r="BP1105" s="2"/>
      <c r="BQ1105" s="2"/>
      <c r="BR1105" s="6"/>
      <c r="BS1105" s="6"/>
      <c r="BT1105" s="2"/>
      <c r="BU1105" s="2"/>
      <c r="BV1105" s="2"/>
      <c r="BW1105" s="2"/>
      <c r="BX1105" s="2"/>
      <c r="BY1105" s="2"/>
      <c r="BZ1105" s="2"/>
      <c r="CA1105" s="2"/>
      <c r="CB1105" s="2"/>
      <c r="CC1105" s="2"/>
      <c r="CD1105" s="3"/>
      <c r="CE1105" s="2"/>
      <c r="CF1105" s="4"/>
      <c r="CG1105" s="4"/>
      <c r="CI1105" s="2"/>
    </row>
    <row r="1106" spans="1:87" s="101" customFormat="1" x14ac:dyDescent="0.35">
      <c r="A1106" s="1"/>
      <c r="C1106" s="1"/>
      <c r="G1106" s="2"/>
      <c r="H1106" s="2"/>
      <c r="I1106" s="2"/>
      <c r="J1106" s="2"/>
      <c r="K1106" s="81"/>
      <c r="L1106" s="4"/>
      <c r="M1106" s="4"/>
      <c r="N1106" s="4"/>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3"/>
      <c r="AP1106" s="2"/>
      <c r="AQ1106" s="2"/>
      <c r="AR1106" s="2"/>
      <c r="AS1106" s="2"/>
      <c r="AT1106" s="2"/>
      <c r="AU1106" s="2"/>
      <c r="AV1106" s="2"/>
      <c r="AW1106" s="2"/>
      <c r="AX1106" s="2"/>
      <c r="AY1106" s="2"/>
      <c r="AZ1106" s="5"/>
      <c r="BA1106" s="2"/>
      <c r="BD1106" s="2"/>
      <c r="BE1106" s="2"/>
      <c r="BF1106" s="2"/>
      <c r="BG1106" s="2"/>
      <c r="BH1106" s="2"/>
      <c r="BI1106" s="2"/>
      <c r="BJ1106" s="2"/>
      <c r="BK1106" s="2"/>
      <c r="BM1106" s="2"/>
      <c r="BN1106" s="2"/>
      <c r="BO1106" s="2"/>
      <c r="BP1106" s="2"/>
      <c r="BQ1106" s="2"/>
      <c r="BR1106" s="6"/>
      <c r="BS1106" s="6"/>
      <c r="BT1106" s="2"/>
      <c r="BU1106" s="2"/>
      <c r="BV1106" s="2"/>
      <c r="BW1106" s="2"/>
      <c r="BX1106" s="2"/>
      <c r="BY1106" s="2"/>
      <c r="BZ1106" s="2"/>
      <c r="CA1106" s="2"/>
      <c r="CB1106" s="2"/>
      <c r="CC1106" s="2"/>
      <c r="CD1106" s="3"/>
      <c r="CE1106" s="2"/>
      <c r="CF1106" s="4"/>
      <c r="CG1106" s="4"/>
      <c r="CI1106" s="2"/>
    </row>
    <row r="1107" spans="1:87" s="101" customFormat="1" x14ac:dyDescent="0.35">
      <c r="A1107" s="1"/>
      <c r="C1107" s="1"/>
      <c r="G1107" s="2"/>
      <c r="H1107" s="2"/>
      <c r="I1107" s="2"/>
      <c r="J1107" s="2"/>
      <c r="K1107" s="81"/>
      <c r="L1107" s="4"/>
      <c r="M1107" s="4"/>
      <c r="N1107" s="4"/>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3"/>
      <c r="AP1107" s="2"/>
      <c r="AQ1107" s="2"/>
      <c r="AR1107" s="2"/>
      <c r="AS1107" s="2"/>
      <c r="AT1107" s="2"/>
      <c r="AU1107" s="2"/>
      <c r="AV1107" s="2"/>
      <c r="AW1107" s="2"/>
      <c r="AX1107" s="2"/>
      <c r="AY1107" s="2"/>
      <c r="AZ1107" s="5"/>
      <c r="BA1107" s="2"/>
      <c r="BD1107" s="2"/>
      <c r="BE1107" s="2"/>
      <c r="BF1107" s="2"/>
      <c r="BG1107" s="2"/>
      <c r="BH1107" s="2"/>
      <c r="BI1107" s="2"/>
      <c r="BJ1107" s="2"/>
      <c r="BK1107" s="2"/>
      <c r="BM1107" s="2"/>
      <c r="BN1107" s="2"/>
      <c r="BO1107" s="2"/>
      <c r="BP1107" s="2"/>
      <c r="BQ1107" s="2"/>
      <c r="BR1107" s="6"/>
      <c r="BS1107" s="6"/>
      <c r="BT1107" s="2"/>
      <c r="BU1107" s="2"/>
      <c r="BV1107" s="2"/>
      <c r="BW1107" s="2"/>
      <c r="BX1107" s="2"/>
      <c r="BY1107" s="2"/>
      <c r="BZ1107" s="2"/>
      <c r="CA1107" s="2"/>
      <c r="CB1107" s="2"/>
      <c r="CC1107" s="2"/>
      <c r="CD1107" s="3"/>
      <c r="CE1107" s="2"/>
      <c r="CF1107" s="4"/>
      <c r="CG1107" s="4"/>
      <c r="CI1107" s="2"/>
    </row>
    <row r="1108" spans="1:87" s="101" customFormat="1" x14ac:dyDescent="0.35">
      <c r="A1108" s="1"/>
      <c r="C1108" s="1"/>
      <c r="G1108" s="2"/>
      <c r="H1108" s="2"/>
      <c r="I1108" s="2"/>
      <c r="J1108" s="2"/>
      <c r="K1108" s="81"/>
      <c r="L1108" s="4"/>
      <c r="M1108" s="4"/>
      <c r="N1108" s="4"/>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3"/>
      <c r="AP1108" s="2"/>
      <c r="AQ1108" s="2"/>
      <c r="AR1108" s="2"/>
      <c r="AS1108" s="2"/>
      <c r="AT1108" s="2"/>
      <c r="AU1108" s="2"/>
      <c r="AV1108" s="2"/>
      <c r="AW1108" s="2"/>
      <c r="AX1108" s="2"/>
      <c r="AY1108" s="2"/>
      <c r="AZ1108" s="5"/>
      <c r="BA1108" s="2"/>
      <c r="BD1108" s="2"/>
      <c r="BE1108" s="2"/>
      <c r="BF1108" s="2"/>
      <c r="BG1108" s="2"/>
      <c r="BH1108" s="2"/>
      <c r="BI1108" s="2"/>
      <c r="BJ1108" s="2"/>
      <c r="BK1108" s="2"/>
      <c r="BM1108" s="2"/>
      <c r="BN1108" s="2"/>
      <c r="BO1108" s="2"/>
      <c r="BP1108" s="2"/>
      <c r="BQ1108" s="2"/>
      <c r="BR1108" s="6"/>
      <c r="BS1108" s="6"/>
      <c r="BT1108" s="2"/>
      <c r="BU1108" s="2"/>
      <c r="BV1108" s="2"/>
      <c r="BW1108" s="2"/>
      <c r="BX1108" s="2"/>
      <c r="BY1108" s="2"/>
      <c r="BZ1108" s="2"/>
      <c r="CA1108" s="2"/>
      <c r="CB1108" s="2"/>
      <c r="CC1108" s="2"/>
      <c r="CD1108" s="3"/>
      <c r="CE1108" s="2"/>
      <c r="CF1108" s="4"/>
      <c r="CG1108" s="4"/>
      <c r="CI1108" s="2"/>
    </row>
    <row r="1109" spans="1:87" s="101" customFormat="1" x14ac:dyDescent="0.35">
      <c r="A1109" s="1"/>
      <c r="C1109" s="1"/>
      <c r="G1109" s="2"/>
      <c r="H1109" s="2"/>
      <c r="I1109" s="2"/>
      <c r="J1109" s="2"/>
      <c r="K1109" s="81"/>
      <c r="L1109" s="4"/>
      <c r="M1109" s="4"/>
      <c r="N1109" s="4"/>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3"/>
      <c r="AP1109" s="2"/>
      <c r="AQ1109" s="2"/>
      <c r="AR1109" s="2"/>
      <c r="AS1109" s="2"/>
      <c r="AT1109" s="2"/>
      <c r="AU1109" s="2"/>
      <c r="AV1109" s="2"/>
      <c r="AW1109" s="2"/>
      <c r="AX1109" s="2"/>
      <c r="AY1109" s="2"/>
      <c r="AZ1109" s="5"/>
      <c r="BA1109" s="2"/>
      <c r="BD1109" s="2"/>
      <c r="BE1109" s="2"/>
      <c r="BF1109" s="2"/>
      <c r="BG1109" s="2"/>
      <c r="BH1109" s="2"/>
      <c r="BI1109" s="2"/>
      <c r="BJ1109" s="2"/>
      <c r="BK1109" s="2"/>
      <c r="BM1109" s="2"/>
      <c r="BN1109" s="2"/>
      <c r="BO1109" s="2"/>
      <c r="BP1109" s="2"/>
      <c r="BQ1109" s="2"/>
      <c r="BR1109" s="6"/>
      <c r="BS1109" s="6"/>
      <c r="BT1109" s="2"/>
      <c r="BU1109" s="2"/>
      <c r="BV1109" s="2"/>
      <c r="BW1109" s="2"/>
      <c r="BX1109" s="2"/>
      <c r="BY1109" s="2"/>
      <c r="BZ1109" s="2"/>
      <c r="CA1109" s="2"/>
      <c r="CB1109" s="2"/>
      <c r="CC1109" s="2"/>
      <c r="CD1109" s="3"/>
      <c r="CE1109" s="2"/>
      <c r="CF1109" s="4"/>
      <c r="CG1109" s="4"/>
      <c r="CI1109" s="2"/>
    </row>
    <row r="1110" spans="1:87" s="101" customFormat="1" x14ac:dyDescent="0.35">
      <c r="A1110" s="1"/>
      <c r="C1110" s="1"/>
      <c r="G1110" s="2"/>
      <c r="H1110" s="2"/>
      <c r="I1110" s="2"/>
      <c r="J1110" s="2"/>
      <c r="K1110" s="81"/>
      <c r="L1110" s="4"/>
      <c r="M1110" s="4"/>
      <c r="N1110" s="4"/>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3"/>
      <c r="AP1110" s="2"/>
      <c r="AQ1110" s="2"/>
      <c r="AR1110" s="2"/>
      <c r="AS1110" s="2"/>
      <c r="AT1110" s="2"/>
      <c r="AU1110" s="2"/>
      <c r="AV1110" s="2"/>
      <c r="AW1110" s="2"/>
      <c r="AX1110" s="2"/>
      <c r="AY1110" s="2"/>
      <c r="AZ1110" s="5"/>
      <c r="BA1110" s="2"/>
      <c r="BD1110" s="2"/>
      <c r="BE1110" s="2"/>
      <c r="BF1110" s="2"/>
      <c r="BG1110" s="2"/>
      <c r="BH1110" s="2"/>
      <c r="BI1110" s="2"/>
      <c r="BJ1110" s="2"/>
      <c r="BK1110" s="2"/>
      <c r="BM1110" s="2"/>
      <c r="BN1110" s="2"/>
      <c r="BO1110" s="2"/>
      <c r="BP1110" s="2"/>
      <c r="BQ1110" s="2"/>
      <c r="BR1110" s="6"/>
      <c r="BS1110" s="6"/>
      <c r="BT1110" s="2"/>
      <c r="BU1110" s="2"/>
      <c r="BV1110" s="2"/>
      <c r="BW1110" s="2"/>
      <c r="BX1110" s="2"/>
      <c r="BY1110" s="2"/>
      <c r="BZ1110" s="2"/>
      <c r="CA1110" s="2"/>
      <c r="CB1110" s="2"/>
      <c r="CC1110" s="2"/>
      <c r="CD1110" s="3"/>
      <c r="CE1110" s="2"/>
      <c r="CF1110" s="4"/>
      <c r="CG1110" s="4"/>
      <c r="CI1110" s="2"/>
    </row>
    <row r="1111" spans="1:87" s="101" customFormat="1" x14ac:dyDescent="0.35">
      <c r="A1111" s="1"/>
      <c r="C1111" s="1"/>
      <c r="G1111" s="2"/>
      <c r="H1111" s="2"/>
      <c r="I1111" s="2"/>
      <c r="J1111" s="2"/>
      <c r="K1111" s="81"/>
      <c r="L1111" s="4"/>
      <c r="M1111" s="4"/>
      <c r="N1111" s="4"/>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3"/>
      <c r="AP1111" s="2"/>
      <c r="AQ1111" s="2"/>
      <c r="AR1111" s="2"/>
      <c r="AS1111" s="2"/>
      <c r="AT1111" s="2"/>
      <c r="AU1111" s="2"/>
      <c r="AV1111" s="2"/>
      <c r="AW1111" s="2"/>
      <c r="AX1111" s="2"/>
      <c r="AY1111" s="2"/>
      <c r="AZ1111" s="5"/>
      <c r="BA1111" s="2"/>
      <c r="BD1111" s="2"/>
      <c r="BE1111" s="2"/>
      <c r="BF1111" s="2"/>
      <c r="BG1111" s="2"/>
      <c r="BH1111" s="2"/>
      <c r="BI1111" s="2"/>
      <c r="BJ1111" s="2"/>
      <c r="BK1111" s="2"/>
      <c r="BM1111" s="2"/>
      <c r="BN1111" s="2"/>
      <c r="BO1111" s="2"/>
      <c r="BP1111" s="2"/>
      <c r="BQ1111" s="2"/>
      <c r="BR1111" s="6"/>
      <c r="BS1111" s="6"/>
      <c r="BT1111" s="2"/>
      <c r="BU1111" s="2"/>
      <c r="BV1111" s="2"/>
      <c r="BW1111" s="2"/>
      <c r="BX1111" s="2"/>
      <c r="BY1111" s="2"/>
      <c r="BZ1111" s="2"/>
      <c r="CA1111" s="2"/>
      <c r="CB1111" s="2"/>
      <c r="CC1111" s="2"/>
      <c r="CD1111" s="3"/>
      <c r="CE1111" s="2"/>
      <c r="CF1111" s="4"/>
      <c r="CG1111" s="4"/>
      <c r="CI1111" s="2"/>
    </row>
    <row r="1112" spans="1:87" s="101" customFormat="1" x14ac:dyDescent="0.35">
      <c r="A1112" s="1"/>
      <c r="C1112" s="1"/>
      <c r="G1112" s="2"/>
      <c r="H1112" s="2"/>
      <c r="I1112" s="2"/>
      <c r="J1112" s="2"/>
      <c r="K1112" s="81"/>
      <c r="L1112" s="4"/>
      <c r="M1112" s="4"/>
      <c r="N1112" s="4"/>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3"/>
      <c r="AP1112" s="2"/>
      <c r="AQ1112" s="2"/>
      <c r="AR1112" s="2"/>
      <c r="AS1112" s="2"/>
      <c r="AT1112" s="2"/>
      <c r="AU1112" s="2"/>
      <c r="AV1112" s="2"/>
      <c r="AW1112" s="2"/>
      <c r="AX1112" s="2"/>
      <c r="AY1112" s="2"/>
      <c r="AZ1112" s="5"/>
      <c r="BA1112" s="2"/>
      <c r="BD1112" s="2"/>
      <c r="BE1112" s="2"/>
      <c r="BF1112" s="2"/>
      <c r="BG1112" s="2"/>
      <c r="BH1112" s="2"/>
      <c r="BI1112" s="2"/>
      <c r="BJ1112" s="2"/>
      <c r="BK1112" s="2"/>
      <c r="BM1112" s="2"/>
      <c r="BN1112" s="2"/>
      <c r="BO1112" s="2"/>
      <c r="BP1112" s="2"/>
      <c r="BQ1112" s="2"/>
      <c r="BR1112" s="6"/>
      <c r="BS1112" s="6"/>
      <c r="BT1112" s="2"/>
      <c r="BU1112" s="2"/>
      <c r="BV1112" s="2"/>
      <c r="BW1112" s="2"/>
      <c r="BX1112" s="2"/>
      <c r="BY1112" s="2"/>
      <c r="BZ1112" s="2"/>
      <c r="CA1112" s="2"/>
      <c r="CB1112" s="2"/>
      <c r="CC1112" s="2"/>
      <c r="CD1112" s="3"/>
      <c r="CE1112" s="2"/>
      <c r="CF1112" s="4"/>
      <c r="CG1112" s="4"/>
      <c r="CI1112" s="2"/>
    </row>
    <row r="1113" spans="1:87" s="101" customFormat="1" x14ac:dyDescent="0.35">
      <c r="A1113" s="1"/>
      <c r="C1113" s="1"/>
      <c r="G1113" s="2"/>
      <c r="H1113" s="2"/>
      <c r="I1113" s="2"/>
      <c r="J1113" s="2"/>
      <c r="K1113" s="81"/>
      <c r="L1113" s="4"/>
      <c r="M1113" s="4"/>
      <c r="N1113" s="4"/>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3"/>
      <c r="AP1113" s="2"/>
      <c r="AQ1113" s="2"/>
      <c r="AR1113" s="2"/>
      <c r="AS1113" s="2"/>
      <c r="AT1113" s="2"/>
      <c r="AU1113" s="2"/>
      <c r="AV1113" s="2"/>
      <c r="AW1113" s="2"/>
      <c r="AX1113" s="2"/>
      <c r="AY1113" s="2"/>
      <c r="AZ1113" s="5"/>
      <c r="BA1113" s="2"/>
      <c r="BD1113" s="2"/>
      <c r="BE1113" s="2"/>
      <c r="BF1113" s="2"/>
      <c r="BG1113" s="2"/>
      <c r="BH1113" s="2"/>
      <c r="BI1113" s="2"/>
      <c r="BJ1113" s="2"/>
      <c r="BK1113" s="2"/>
      <c r="BM1113" s="2"/>
      <c r="BN1113" s="2"/>
      <c r="BO1113" s="2"/>
      <c r="BP1113" s="2"/>
      <c r="BQ1113" s="2"/>
      <c r="BR1113" s="6"/>
      <c r="BS1113" s="6"/>
      <c r="BT1113" s="2"/>
      <c r="BU1113" s="2"/>
      <c r="BV1113" s="2"/>
      <c r="BW1113" s="2"/>
      <c r="BX1113" s="2"/>
      <c r="BY1113" s="2"/>
      <c r="BZ1113" s="2"/>
      <c r="CA1113" s="2"/>
      <c r="CB1113" s="2"/>
      <c r="CC1113" s="2"/>
      <c r="CD1113" s="3"/>
      <c r="CE1113" s="2"/>
      <c r="CF1113" s="4"/>
      <c r="CG1113" s="4"/>
      <c r="CI1113" s="2"/>
    </row>
    <row r="1114" spans="1:87" s="101" customFormat="1" x14ac:dyDescent="0.35">
      <c r="A1114" s="1"/>
      <c r="C1114" s="1"/>
      <c r="G1114" s="2"/>
      <c r="H1114" s="2"/>
      <c r="I1114" s="2"/>
      <c r="J1114" s="2"/>
      <c r="K1114" s="81"/>
      <c r="L1114" s="4"/>
      <c r="M1114" s="4"/>
      <c r="N1114" s="4"/>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3"/>
      <c r="AP1114" s="2"/>
      <c r="AQ1114" s="2"/>
      <c r="AR1114" s="2"/>
      <c r="AS1114" s="2"/>
      <c r="AT1114" s="2"/>
      <c r="AU1114" s="2"/>
      <c r="AV1114" s="2"/>
      <c r="AW1114" s="2"/>
      <c r="AX1114" s="2"/>
      <c r="AY1114" s="2"/>
      <c r="AZ1114" s="5"/>
      <c r="BA1114" s="2"/>
      <c r="BD1114" s="2"/>
      <c r="BE1114" s="2"/>
      <c r="BF1114" s="2"/>
      <c r="BG1114" s="2"/>
      <c r="BH1114" s="2"/>
      <c r="BI1114" s="2"/>
      <c r="BJ1114" s="2"/>
      <c r="BK1114" s="2"/>
      <c r="BM1114" s="2"/>
      <c r="BN1114" s="2"/>
      <c r="BO1114" s="2"/>
      <c r="BP1114" s="2"/>
      <c r="BQ1114" s="2"/>
      <c r="BR1114" s="6"/>
      <c r="BS1114" s="6"/>
      <c r="BT1114" s="2"/>
      <c r="BU1114" s="2"/>
      <c r="BV1114" s="2"/>
      <c r="BW1114" s="2"/>
      <c r="BX1114" s="2"/>
      <c r="BY1114" s="2"/>
      <c r="BZ1114" s="2"/>
      <c r="CA1114" s="2"/>
      <c r="CB1114" s="2"/>
      <c r="CC1114" s="2"/>
      <c r="CD1114" s="3"/>
      <c r="CE1114" s="2"/>
      <c r="CF1114" s="4"/>
      <c r="CG1114" s="4"/>
      <c r="CI1114" s="2"/>
    </row>
    <row r="1115" spans="1:87" s="101" customFormat="1" x14ac:dyDescent="0.35">
      <c r="A1115" s="1"/>
      <c r="C1115" s="1"/>
      <c r="G1115" s="2"/>
      <c r="H1115" s="2"/>
      <c r="I1115" s="2"/>
      <c r="J1115" s="2"/>
      <c r="K1115" s="81"/>
      <c r="L1115" s="4"/>
      <c r="M1115" s="4"/>
      <c r="N1115" s="4"/>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3"/>
      <c r="AP1115" s="2"/>
      <c r="AQ1115" s="2"/>
      <c r="AR1115" s="2"/>
      <c r="AS1115" s="2"/>
      <c r="AT1115" s="2"/>
      <c r="AU1115" s="2"/>
      <c r="AV1115" s="2"/>
      <c r="AW1115" s="2"/>
      <c r="AX1115" s="2"/>
      <c r="AY1115" s="2"/>
      <c r="AZ1115" s="5"/>
      <c r="BA1115" s="2"/>
      <c r="BD1115" s="2"/>
      <c r="BE1115" s="2"/>
      <c r="BF1115" s="2"/>
      <c r="BG1115" s="2"/>
      <c r="BH1115" s="2"/>
      <c r="BI1115" s="2"/>
      <c r="BJ1115" s="2"/>
      <c r="BK1115" s="2"/>
      <c r="BM1115" s="2"/>
      <c r="BN1115" s="2"/>
      <c r="BO1115" s="2"/>
      <c r="BP1115" s="2"/>
      <c r="BQ1115" s="2"/>
      <c r="BR1115" s="6"/>
      <c r="BS1115" s="6"/>
      <c r="BT1115" s="2"/>
      <c r="BU1115" s="2"/>
      <c r="BV1115" s="2"/>
      <c r="BW1115" s="2"/>
      <c r="BX1115" s="2"/>
      <c r="BY1115" s="2"/>
      <c r="BZ1115" s="2"/>
      <c r="CA1115" s="2"/>
      <c r="CB1115" s="2"/>
      <c r="CC1115" s="2"/>
      <c r="CD1115" s="3"/>
      <c r="CE1115" s="2"/>
      <c r="CF1115" s="4"/>
      <c r="CG1115" s="4"/>
      <c r="CI1115" s="2"/>
    </row>
    <row r="1116" spans="1:87" s="101" customFormat="1" x14ac:dyDescent="0.35">
      <c r="A1116" s="1"/>
      <c r="C1116" s="1"/>
      <c r="G1116" s="2"/>
      <c r="H1116" s="2"/>
      <c r="I1116" s="2"/>
      <c r="J1116" s="2"/>
      <c r="K1116" s="81"/>
      <c r="L1116" s="4"/>
      <c r="M1116" s="4"/>
      <c r="N1116" s="4"/>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3"/>
      <c r="AP1116" s="2"/>
      <c r="AQ1116" s="2"/>
      <c r="AR1116" s="2"/>
      <c r="AS1116" s="2"/>
      <c r="AT1116" s="2"/>
      <c r="AU1116" s="2"/>
      <c r="AV1116" s="2"/>
      <c r="AW1116" s="2"/>
      <c r="AX1116" s="2"/>
      <c r="AY1116" s="2"/>
      <c r="AZ1116" s="5"/>
      <c r="BA1116" s="2"/>
      <c r="BD1116" s="2"/>
      <c r="BE1116" s="2"/>
      <c r="BF1116" s="2"/>
      <c r="BG1116" s="2"/>
      <c r="BH1116" s="2"/>
      <c r="BI1116" s="2"/>
      <c r="BJ1116" s="2"/>
      <c r="BK1116" s="2"/>
      <c r="BM1116" s="2"/>
      <c r="BN1116" s="2"/>
      <c r="BO1116" s="2"/>
      <c r="BP1116" s="2"/>
      <c r="BQ1116" s="2"/>
      <c r="BR1116" s="6"/>
      <c r="BS1116" s="6"/>
      <c r="BT1116" s="2"/>
      <c r="BU1116" s="2"/>
      <c r="BV1116" s="2"/>
      <c r="BW1116" s="2"/>
      <c r="BX1116" s="2"/>
      <c r="BY1116" s="2"/>
      <c r="BZ1116" s="2"/>
      <c r="CA1116" s="2"/>
      <c r="CB1116" s="2"/>
      <c r="CC1116" s="2"/>
      <c r="CD1116" s="3"/>
      <c r="CE1116" s="2"/>
      <c r="CF1116" s="4"/>
      <c r="CG1116" s="4"/>
      <c r="CI1116" s="2"/>
    </row>
    <row r="1117" spans="1:87" s="101" customFormat="1" x14ac:dyDescent="0.35">
      <c r="A1117" s="1"/>
      <c r="C1117" s="1"/>
      <c r="G1117" s="2"/>
      <c r="H1117" s="2"/>
      <c r="I1117" s="2"/>
      <c r="J1117" s="2"/>
      <c r="K1117" s="81"/>
      <c r="L1117" s="4"/>
      <c r="M1117" s="4"/>
      <c r="N1117" s="4"/>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3"/>
      <c r="AP1117" s="2"/>
      <c r="AQ1117" s="2"/>
      <c r="AR1117" s="2"/>
      <c r="AS1117" s="2"/>
      <c r="AT1117" s="2"/>
      <c r="AU1117" s="2"/>
      <c r="AV1117" s="2"/>
      <c r="AW1117" s="2"/>
      <c r="AX1117" s="2"/>
      <c r="AY1117" s="2"/>
      <c r="AZ1117" s="5"/>
      <c r="BA1117" s="2"/>
      <c r="BD1117" s="2"/>
      <c r="BE1117" s="2"/>
      <c r="BF1117" s="2"/>
      <c r="BG1117" s="2"/>
      <c r="BH1117" s="2"/>
      <c r="BI1117" s="2"/>
      <c r="BJ1117" s="2"/>
      <c r="BK1117" s="2"/>
      <c r="BM1117" s="2"/>
      <c r="BN1117" s="2"/>
      <c r="BO1117" s="2"/>
      <c r="BP1117" s="2"/>
      <c r="BQ1117" s="2"/>
      <c r="BR1117" s="6"/>
      <c r="BS1117" s="6"/>
      <c r="BT1117" s="2"/>
      <c r="BU1117" s="2"/>
      <c r="BV1117" s="2"/>
      <c r="BW1117" s="2"/>
      <c r="BX1117" s="2"/>
      <c r="BY1117" s="2"/>
      <c r="BZ1117" s="2"/>
      <c r="CA1117" s="2"/>
      <c r="CB1117" s="2"/>
      <c r="CC1117" s="2"/>
      <c r="CD1117" s="3"/>
      <c r="CE1117" s="2"/>
      <c r="CF1117" s="4"/>
      <c r="CG1117" s="4"/>
      <c r="CI1117" s="2"/>
    </row>
    <row r="1118" spans="1:87" s="101" customFormat="1" x14ac:dyDescent="0.35">
      <c r="A1118" s="1"/>
      <c r="C1118" s="1"/>
      <c r="G1118" s="2"/>
      <c r="H1118" s="2"/>
      <c r="I1118" s="2"/>
      <c r="J1118" s="2"/>
      <c r="K1118" s="81"/>
      <c r="L1118" s="4"/>
      <c r="M1118" s="4"/>
      <c r="N1118" s="4"/>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3"/>
      <c r="AP1118" s="2"/>
      <c r="AQ1118" s="2"/>
      <c r="AR1118" s="2"/>
      <c r="AS1118" s="2"/>
      <c r="AT1118" s="2"/>
      <c r="AU1118" s="2"/>
      <c r="AV1118" s="2"/>
      <c r="AW1118" s="2"/>
      <c r="AX1118" s="2"/>
      <c r="AY1118" s="2"/>
      <c r="AZ1118" s="5"/>
      <c r="BA1118" s="2"/>
      <c r="BD1118" s="2"/>
      <c r="BE1118" s="2"/>
      <c r="BF1118" s="2"/>
      <c r="BG1118" s="2"/>
      <c r="BH1118" s="2"/>
      <c r="BI1118" s="2"/>
      <c r="BJ1118" s="2"/>
      <c r="BK1118" s="2"/>
      <c r="BM1118" s="2"/>
      <c r="BN1118" s="2"/>
      <c r="BO1118" s="2"/>
      <c r="BP1118" s="2"/>
      <c r="BQ1118" s="2"/>
      <c r="BR1118" s="6"/>
      <c r="BS1118" s="6"/>
      <c r="BT1118" s="2"/>
      <c r="BU1118" s="2"/>
      <c r="BV1118" s="2"/>
      <c r="BW1118" s="2"/>
      <c r="BX1118" s="2"/>
      <c r="BY1118" s="2"/>
      <c r="BZ1118" s="2"/>
      <c r="CA1118" s="2"/>
      <c r="CB1118" s="2"/>
      <c r="CC1118" s="2"/>
      <c r="CD1118" s="3"/>
      <c r="CE1118" s="2"/>
      <c r="CF1118" s="4"/>
      <c r="CG1118" s="4"/>
      <c r="CI1118" s="2"/>
    </row>
    <row r="1119" spans="1:87" s="101" customFormat="1" x14ac:dyDescent="0.35">
      <c r="A1119" s="1"/>
      <c r="C1119" s="1"/>
      <c r="G1119" s="2"/>
      <c r="H1119" s="2"/>
      <c r="I1119" s="2"/>
      <c r="J1119" s="2"/>
      <c r="K1119" s="81"/>
      <c r="L1119" s="4"/>
      <c r="M1119" s="4"/>
      <c r="N1119" s="4"/>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3"/>
      <c r="AP1119" s="2"/>
      <c r="AQ1119" s="2"/>
      <c r="AR1119" s="2"/>
      <c r="AS1119" s="2"/>
      <c r="AT1119" s="2"/>
      <c r="AU1119" s="2"/>
      <c r="AV1119" s="2"/>
      <c r="AW1119" s="2"/>
      <c r="AX1119" s="2"/>
      <c r="AY1119" s="2"/>
      <c r="AZ1119" s="5"/>
      <c r="BA1119" s="2"/>
      <c r="BD1119" s="2"/>
      <c r="BE1119" s="2"/>
      <c r="BF1119" s="2"/>
      <c r="BG1119" s="2"/>
      <c r="BH1119" s="2"/>
      <c r="BI1119" s="2"/>
      <c r="BJ1119" s="2"/>
      <c r="BK1119" s="2"/>
      <c r="BM1119" s="2"/>
      <c r="BN1119" s="2"/>
      <c r="BO1119" s="2"/>
      <c r="BP1119" s="2"/>
      <c r="BQ1119" s="2"/>
      <c r="BR1119" s="6"/>
      <c r="BS1119" s="6"/>
      <c r="BT1119" s="2"/>
      <c r="BU1119" s="2"/>
      <c r="BV1119" s="2"/>
      <c r="BW1119" s="2"/>
      <c r="BX1119" s="2"/>
      <c r="BY1119" s="2"/>
      <c r="BZ1119" s="2"/>
      <c r="CA1119" s="2"/>
      <c r="CB1119" s="2"/>
      <c r="CC1119" s="2"/>
      <c r="CD1119" s="3"/>
      <c r="CE1119" s="2"/>
      <c r="CF1119" s="4"/>
      <c r="CG1119" s="4"/>
      <c r="CI1119" s="2"/>
    </row>
    <row r="1120" spans="1:87" s="101" customFormat="1" x14ac:dyDescent="0.35">
      <c r="A1120" s="1"/>
      <c r="C1120" s="1"/>
      <c r="G1120" s="2"/>
      <c r="H1120" s="2"/>
      <c r="I1120" s="2"/>
      <c r="J1120" s="2"/>
      <c r="K1120" s="81"/>
      <c r="L1120" s="4"/>
      <c r="M1120" s="4"/>
      <c r="N1120" s="4"/>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3"/>
      <c r="AP1120" s="2"/>
      <c r="AQ1120" s="2"/>
      <c r="AR1120" s="2"/>
      <c r="AS1120" s="2"/>
      <c r="AT1120" s="2"/>
      <c r="AU1120" s="2"/>
      <c r="AV1120" s="2"/>
      <c r="AW1120" s="2"/>
      <c r="AX1120" s="2"/>
      <c r="AY1120" s="2"/>
      <c r="AZ1120" s="5"/>
      <c r="BA1120" s="2"/>
      <c r="BD1120" s="2"/>
      <c r="BE1120" s="2"/>
      <c r="BF1120" s="2"/>
      <c r="BG1120" s="2"/>
      <c r="BH1120" s="2"/>
      <c r="BI1120" s="2"/>
      <c r="BJ1120" s="2"/>
      <c r="BK1120" s="2"/>
      <c r="BM1120" s="2"/>
      <c r="BN1120" s="2"/>
      <c r="BO1120" s="2"/>
      <c r="BP1120" s="2"/>
      <c r="BQ1120" s="2"/>
      <c r="BR1120" s="6"/>
      <c r="BS1120" s="6"/>
      <c r="BT1120" s="2"/>
      <c r="BU1120" s="2"/>
      <c r="BV1120" s="2"/>
      <c r="BW1120" s="2"/>
      <c r="BX1120" s="2"/>
      <c r="BY1120" s="2"/>
      <c r="BZ1120" s="2"/>
      <c r="CA1120" s="2"/>
      <c r="CB1120" s="2"/>
      <c r="CC1120" s="2"/>
      <c r="CD1120" s="3"/>
      <c r="CE1120" s="2"/>
      <c r="CF1120" s="4"/>
      <c r="CG1120" s="4"/>
      <c r="CI1120" s="2"/>
    </row>
    <row r="1121" spans="1:87" s="101" customFormat="1" x14ac:dyDescent="0.35">
      <c r="A1121" s="1"/>
      <c r="C1121" s="1"/>
      <c r="G1121" s="2"/>
      <c r="H1121" s="2"/>
      <c r="I1121" s="2"/>
      <c r="J1121" s="2"/>
      <c r="K1121" s="81"/>
      <c r="L1121" s="4"/>
      <c r="M1121" s="4"/>
      <c r="N1121" s="4"/>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3"/>
      <c r="AP1121" s="2"/>
      <c r="AQ1121" s="2"/>
      <c r="AR1121" s="2"/>
      <c r="AS1121" s="2"/>
      <c r="AT1121" s="2"/>
      <c r="AU1121" s="2"/>
      <c r="AV1121" s="2"/>
      <c r="AW1121" s="2"/>
      <c r="AX1121" s="2"/>
      <c r="AY1121" s="2"/>
      <c r="AZ1121" s="5"/>
      <c r="BA1121" s="2"/>
      <c r="BD1121" s="2"/>
      <c r="BE1121" s="2"/>
      <c r="BF1121" s="2"/>
      <c r="BG1121" s="2"/>
      <c r="BH1121" s="2"/>
      <c r="BI1121" s="2"/>
      <c r="BJ1121" s="2"/>
      <c r="BK1121" s="2"/>
      <c r="BM1121" s="2"/>
      <c r="BN1121" s="2"/>
      <c r="BO1121" s="2"/>
      <c r="BP1121" s="2"/>
      <c r="BQ1121" s="2"/>
      <c r="BR1121" s="6"/>
      <c r="BS1121" s="6"/>
      <c r="BT1121" s="2"/>
      <c r="BU1121" s="2"/>
      <c r="BV1121" s="2"/>
      <c r="BW1121" s="2"/>
      <c r="BX1121" s="2"/>
      <c r="BY1121" s="2"/>
      <c r="BZ1121" s="2"/>
      <c r="CA1121" s="2"/>
      <c r="CB1121" s="2"/>
      <c r="CC1121" s="2"/>
      <c r="CD1121" s="3"/>
      <c r="CE1121" s="2"/>
      <c r="CF1121" s="4"/>
      <c r="CG1121" s="4"/>
      <c r="CI1121" s="2"/>
    </row>
    <row r="1122" spans="1:87" s="101" customFormat="1" x14ac:dyDescent="0.35">
      <c r="A1122" s="1"/>
      <c r="C1122" s="1"/>
      <c r="G1122" s="2"/>
      <c r="H1122" s="2"/>
      <c r="I1122" s="2"/>
      <c r="J1122" s="2"/>
      <c r="K1122" s="81"/>
      <c r="L1122" s="4"/>
      <c r="M1122" s="4"/>
      <c r="N1122" s="4"/>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3"/>
      <c r="AP1122" s="2"/>
      <c r="AQ1122" s="2"/>
      <c r="AR1122" s="2"/>
      <c r="AS1122" s="2"/>
      <c r="AT1122" s="2"/>
      <c r="AU1122" s="2"/>
      <c r="AV1122" s="2"/>
      <c r="AW1122" s="2"/>
      <c r="AX1122" s="2"/>
      <c r="AY1122" s="2"/>
      <c r="AZ1122" s="5"/>
      <c r="BA1122" s="2"/>
      <c r="BD1122" s="2"/>
      <c r="BE1122" s="2"/>
      <c r="BF1122" s="2"/>
      <c r="BG1122" s="2"/>
      <c r="BH1122" s="2"/>
      <c r="BI1122" s="2"/>
      <c r="BJ1122" s="2"/>
      <c r="BK1122" s="2"/>
      <c r="BM1122" s="2"/>
      <c r="BN1122" s="2"/>
      <c r="BO1122" s="2"/>
      <c r="BP1122" s="2"/>
      <c r="BQ1122" s="2"/>
      <c r="BR1122" s="6"/>
      <c r="BS1122" s="6"/>
      <c r="BT1122" s="2"/>
      <c r="BU1122" s="2"/>
      <c r="BV1122" s="2"/>
      <c r="BW1122" s="2"/>
      <c r="BX1122" s="2"/>
      <c r="BY1122" s="2"/>
      <c r="BZ1122" s="2"/>
      <c r="CA1122" s="2"/>
      <c r="CB1122" s="2"/>
      <c r="CC1122" s="2"/>
      <c r="CD1122" s="3"/>
      <c r="CE1122" s="2"/>
      <c r="CF1122" s="4"/>
      <c r="CG1122" s="4"/>
      <c r="CI1122" s="2"/>
    </row>
    <row r="1123" spans="1:87" s="101" customFormat="1" x14ac:dyDescent="0.35">
      <c r="A1123" s="1"/>
      <c r="C1123" s="1"/>
      <c r="G1123" s="2"/>
      <c r="H1123" s="2"/>
      <c r="I1123" s="2"/>
      <c r="J1123" s="2"/>
      <c r="K1123" s="81"/>
      <c r="L1123" s="4"/>
      <c r="M1123" s="4"/>
      <c r="N1123" s="4"/>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3"/>
      <c r="AP1123" s="2"/>
      <c r="AQ1123" s="2"/>
      <c r="AR1123" s="2"/>
      <c r="AS1123" s="2"/>
      <c r="AT1123" s="2"/>
      <c r="AU1123" s="2"/>
      <c r="AV1123" s="2"/>
      <c r="AW1123" s="2"/>
      <c r="AX1123" s="2"/>
      <c r="AY1123" s="2"/>
      <c r="AZ1123" s="5"/>
      <c r="BA1123" s="2"/>
      <c r="BD1123" s="2"/>
      <c r="BE1123" s="2"/>
      <c r="BF1123" s="2"/>
      <c r="BG1123" s="2"/>
      <c r="BH1123" s="2"/>
      <c r="BI1123" s="2"/>
      <c r="BJ1123" s="2"/>
      <c r="BK1123" s="2"/>
      <c r="BM1123" s="2"/>
      <c r="BN1123" s="2"/>
      <c r="BO1123" s="2"/>
      <c r="BP1123" s="2"/>
      <c r="BQ1123" s="2"/>
      <c r="BR1123" s="6"/>
      <c r="BS1123" s="6"/>
      <c r="BT1123" s="2"/>
      <c r="BU1123" s="2"/>
      <c r="BV1123" s="2"/>
      <c r="BW1123" s="2"/>
      <c r="BX1123" s="2"/>
      <c r="BY1123" s="2"/>
      <c r="BZ1123" s="2"/>
      <c r="CA1123" s="2"/>
      <c r="CB1123" s="2"/>
      <c r="CC1123" s="2"/>
      <c r="CD1123" s="3"/>
      <c r="CE1123" s="2"/>
      <c r="CF1123" s="4"/>
      <c r="CG1123" s="4"/>
      <c r="CI1123" s="2"/>
    </row>
    <row r="1124" spans="1:87" s="101" customFormat="1" x14ac:dyDescent="0.35">
      <c r="A1124" s="1"/>
      <c r="C1124" s="1"/>
      <c r="G1124" s="2"/>
      <c r="H1124" s="2"/>
      <c r="I1124" s="2"/>
      <c r="J1124" s="2"/>
      <c r="K1124" s="81"/>
      <c r="L1124" s="4"/>
      <c r="M1124" s="4"/>
      <c r="N1124" s="4"/>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3"/>
      <c r="AP1124" s="2"/>
      <c r="AQ1124" s="2"/>
      <c r="AR1124" s="2"/>
      <c r="AS1124" s="2"/>
      <c r="AT1124" s="2"/>
      <c r="AU1124" s="2"/>
      <c r="AV1124" s="2"/>
      <c r="AW1124" s="2"/>
      <c r="AX1124" s="2"/>
      <c r="AY1124" s="2"/>
      <c r="AZ1124" s="5"/>
      <c r="BA1124" s="2"/>
      <c r="BD1124" s="2"/>
      <c r="BE1124" s="2"/>
      <c r="BF1124" s="2"/>
      <c r="BG1124" s="2"/>
      <c r="BH1124" s="2"/>
      <c r="BI1124" s="2"/>
      <c r="BJ1124" s="2"/>
      <c r="BK1124" s="2"/>
      <c r="BM1124" s="2"/>
      <c r="BN1124" s="2"/>
      <c r="BO1124" s="2"/>
      <c r="BP1124" s="2"/>
      <c r="BQ1124" s="2"/>
      <c r="BR1124" s="6"/>
      <c r="BS1124" s="6"/>
      <c r="BT1124" s="2"/>
      <c r="BU1124" s="2"/>
      <c r="BV1124" s="2"/>
      <c r="BW1124" s="2"/>
      <c r="BX1124" s="2"/>
      <c r="BY1124" s="2"/>
      <c r="BZ1124" s="2"/>
      <c r="CA1124" s="2"/>
      <c r="CB1124" s="2"/>
      <c r="CC1124" s="2"/>
      <c r="CD1124" s="3"/>
      <c r="CE1124" s="2"/>
      <c r="CF1124" s="4"/>
      <c r="CG1124" s="4"/>
      <c r="CI1124" s="2"/>
    </row>
    <row r="1125" spans="1:87" s="101" customFormat="1" x14ac:dyDescent="0.35">
      <c r="A1125" s="1"/>
      <c r="C1125" s="1"/>
      <c r="G1125" s="2"/>
      <c r="H1125" s="2"/>
      <c r="I1125" s="2"/>
      <c r="J1125" s="2"/>
      <c r="K1125" s="81"/>
      <c r="L1125" s="4"/>
      <c r="M1125" s="4"/>
      <c r="N1125" s="4"/>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3"/>
      <c r="AP1125" s="2"/>
      <c r="AQ1125" s="2"/>
      <c r="AR1125" s="2"/>
      <c r="AS1125" s="2"/>
      <c r="AT1125" s="2"/>
      <c r="AU1125" s="2"/>
      <c r="AV1125" s="2"/>
      <c r="AW1125" s="2"/>
      <c r="AX1125" s="2"/>
      <c r="AY1125" s="2"/>
      <c r="AZ1125" s="5"/>
      <c r="BA1125" s="2"/>
      <c r="BD1125" s="2"/>
      <c r="BE1125" s="2"/>
      <c r="BF1125" s="2"/>
      <c r="BG1125" s="2"/>
      <c r="BH1125" s="2"/>
      <c r="BI1125" s="2"/>
      <c r="BJ1125" s="2"/>
      <c r="BK1125" s="2"/>
      <c r="BM1125" s="2"/>
      <c r="BN1125" s="2"/>
      <c r="BO1125" s="2"/>
      <c r="BP1125" s="2"/>
      <c r="BQ1125" s="2"/>
      <c r="BR1125" s="6"/>
      <c r="BS1125" s="6"/>
      <c r="BT1125" s="2"/>
      <c r="BU1125" s="2"/>
      <c r="BV1125" s="2"/>
      <c r="BW1125" s="2"/>
      <c r="BX1125" s="2"/>
      <c r="BY1125" s="2"/>
      <c r="BZ1125" s="2"/>
      <c r="CA1125" s="2"/>
      <c r="CB1125" s="2"/>
      <c r="CC1125" s="2"/>
      <c r="CD1125" s="3"/>
      <c r="CE1125" s="2"/>
      <c r="CF1125" s="4"/>
      <c r="CG1125" s="4"/>
      <c r="CI1125" s="2"/>
    </row>
    <row r="1126" spans="1:87" s="101" customFormat="1" x14ac:dyDescent="0.35">
      <c r="A1126" s="1"/>
      <c r="C1126" s="1"/>
      <c r="G1126" s="2"/>
      <c r="H1126" s="2"/>
      <c r="I1126" s="2"/>
      <c r="J1126" s="2"/>
      <c r="K1126" s="81"/>
      <c r="L1126" s="4"/>
      <c r="M1126" s="4"/>
      <c r="N1126" s="4"/>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3"/>
      <c r="AP1126" s="2"/>
      <c r="AQ1126" s="2"/>
      <c r="AR1126" s="2"/>
      <c r="AS1126" s="2"/>
      <c r="AT1126" s="2"/>
      <c r="AU1126" s="2"/>
      <c r="AV1126" s="2"/>
      <c r="AW1126" s="2"/>
      <c r="AX1126" s="2"/>
      <c r="AY1126" s="2"/>
      <c r="AZ1126" s="5"/>
      <c r="BA1126" s="2"/>
      <c r="BD1126" s="2"/>
      <c r="BE1126" s="2"/>
      <c r="BF1126" s="2"/>
      <c r="BG1126" s="2"/>
      <c r="BH1126" s="2"/>
      <c r="BI1126" s="2"/>
      <c r="BJ1126" s="2"/>
      <c r="BK1126" s="2"/>
      <c r="BM1126" s="2"/>
      <c r="BN1126" s="2"/>
      <c r="BO1126" s="2"/>
      <c r="BP1126" s="2"/>
      <c r="BQ1126" s="2"/>
      <c r="BR1126" s="6"/>
      <c r="BS1126" s="6"/>
      <c r="BT1126" s="2"/>
      <c r="BU1126" s="2"/>
      <c r="BV1126" s="2"/>
      <c r="BW1126" s="2"/>
      <c r="BX1126" s="2"/>
      <c r="BY1126" s="2"/>
      <c r="BZ1126" s="2"/>
      <c r="CA1126" s="2"/>
      <c r="CB1126" s="2"/>
      <c r="CC1126" s="2"/>
      <c r="CD1126" s="3"/>
      <c r="CE1126" s="2"/>
      <c r="CF1126" s="4"/>
      <c r="CG1126" s="4"/>
      <c r="CI1126" s="2"/>
    </row>
    <row r="1127" spans="1:87" s="101" customFormat="1" x14ac:dyDescent="0.35">
      <c r="A1127" s="1"/>
      <c r="C1127" s="1"/>
      <c r="G1127" s="2"/>
      <c r="H1127" s="2"/>
      <c r="I1127" s="2"/>
      <c r="J1127" s="2"/>
      <c r="K1127" s="81"/>
      <c r="L1127" s="4"/>
      <c r="M1127" s="4"/>
      <c r="N1127" s="4"/>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3"/>
      <c r="AP1127" s="2"/>
      <c r="AQ1127" s="2"/>
      <c r="AR1127" s="2"/>
      <c r="AS1127" s="2"/>
      <c r="AT1127" s="2"/>
      <c r="AU1127" s="2"/>
      <c r="AV1127" s="2"/>
      <c r="AW1127" s="2"/>
      <c r="AX1127" s="2"/>
      <c r="AY1127" s="2"/>
      <c r="AZ1127" s="5"/>
      <c r="BA1127" s="2"/>
      <c r="BD1127" s="2"/>
      <c r="BE1127" s="2"/>
      <c r="BF1127" s="2"/>
      <c r="BG1127" s="2"/>
      <c r="BH1127" s="2"/>
      <c r="BI1127" s="2"/>
      <c r="BJ1127" s="2"/>
      <c r="BK1127" s="2"/>
      <c r="BM1127" s="2"/>
      <c r="BN1127" s="2"/>
      <c r="BO1127" s="2"/>
      <c r="BP1127" s="2"/>
      <c r="BQ1127" s="2"/>
      <c r="BR1127" s="6"/>
      <c r="BS1127" s="6"/>
      <c r="BT1127" s="2"/>
      <c r="BU1127" s="2"/>
      <c r="BV1127" s="2"/>
      <c r="BW1127" s="2"/>
      <c r="BX1127" s="2"/>
      <c r="BY1127" s="2"/>
      <c r="BZ1127" s="2"/>
      <c r="CA1127" s="2"/>
      <c r="CB1127" s="2"/>
      <c r="CC1127" s="2"/>
      <c r="CD1127" s="3"/>
      <c r="CE1127" s="2"/>
      <c r="CF1127" s="4"/>
      <c r="CG1127" s="4"/>
      <c r="CI1127" s="2"/>
    </row>
    <row r="1128" spans="1:87" s="101" customFormat="1" x14ac:dyDescent="0.35">
      <c r="A1128" s="1"/>
      <c r="C1128" s="1"/>
      <c r="G1128" s="2"/>
      <c r="H1128" s="2"/>
      <c r="I1128" s="2"/>
      <c r="J1128" s="2"/>
      <c r="K1128" s="81"/>
      <c r="L1128" s="4"/>
      <c r="M1128" s="4"/>
      <c r="N1128" s="4"/>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3"/>
      <c r="AP1128" s="2"/>
      <c r="AQ1128" s="2"/>
      <c r="AR1128" s="2"/>
      <c r="AS1128" s="2"/>
      <c r="AT1128" s="2"/>
      <c r="AU1128" s="2"/>
      <c r="AV1128" s="2"/>
      <c r="AW1128" s="2"/>
      <c r="AX1128" s="2"/>
      <c r="AY1128" s="2"/>
      <c r="AZ1128" s="5"/>
      <c r="BA1128" s="2"/>
      <c r="BD1128" s="2"/>
      <c r="BE1128" s="2"/>
      <c r="BF1128" s="2"/>
      <c r="BG1128" s="2"/>
      <c r="BH1128" s="2"/>
      <c r="BI1128" s="2"/>
      <c r="BJ1128" s="2"/>
      <c r="BK1128" s="2"/>
      <c r="BM1128" s="2"/>
      <c r="BN1128" s="2"/>
      <c r="BO1128" s="2"/>
      <c r="BP1128" s="2"/>
      <c r="BQ1128" s="2"/>
      <c r="BR1128" s="6"/>
      <c r="BS1128" s="6"/>
      <c r="BT1128" s="2"/>
      <c r="BU1128" s="2"/>
      <c r="BV1128" s="2"/>
      <c r="BW1128" s="2"/>
      <c r="BX1128" s="2"/>
      <c r="BY1128" s="2"/>
      <c r="BZ1128" s="2"/>
      <c r="CA1128" s="2"/>
      <c r="CB1128" s="2"/>
      <c r="CC1128" s="2"/>
      <c r="CD1128" s="3"/>
      <c r="CE1128" s="2"/>
      <c r="CF1128" s="4"/>
      <c r="CG1128" s="4"/>
      <c r="CI1128" s="2"/>
    </row>
    <row r="1129" spans="1:87" s="101" customFormat="1" x14ac:dyDescent="0.35">
      <c r="A1129" s="1"/>
      <c r="C1129" s="1"/>
      <c r="G1129" s="2"/>
      <c r="H1129" s="2"/>
      <c r="I1129" s="2"/>
      <c r="J1129" s="2"/>
      <c r="K1129" s="81"/>
      <c r="L1129" s="4"/>
      <c r="M1129" s="4"/>
      <c r="N1129" s="4"/>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3"/>
      <c r="AP1129" s="2"/>
      <c r="AQ1129" s="2"/>
      <c r="AR1129" s="2"/>
      <c r="AS1129" s="2"/>
      <c r="AT1129" s="2"/>
      <c r="AU1129" s="2"/>
      <c r="AV1129" s="2"/>
      <c r="AW1129" s="2"/>
      <c r="AX1129" s="2"/>
      <c r="AY1129" s="2"/>
      <c r="AZ1129" s="5"/>
      <c r="BA1129" s="2"/>
      <c r="BD1129" s="2"/>
      <c r="BE1129" s="2"/>
      <c r="BF1129" s="2"/>
      <c r="BG1129" s="2"/>
      <c r="BH1129" s="2"/>
      <c r="BI1129" s="2"/>
      <c r="BJ1129" s="2"/>
      <c r="BK1129" s="2"/>
      <c r="BM1129" s="2"/>
      <c r="BN1129" s="2"/>
      <c r="BO1129" s="2"/>
      <c r="BP1129" s="2"/>
      <c r="BQ1129" s="2"/>
      <c r="BR1129" s="6"/>
      <c r="BS1129" s="6"/>
      <c r="BT1129" s="2"/>
      <c r="BU1129" s="2"/>
      <c r="BV1129" s="2"/>
      <c r="BW1129" s="2"/>
      <c r="BX1129" s="2"/>
      <c r="BY1129" s="2"/>
      <c r="BZ1129" s="2"/>
      <c r="CA1129" s="2"/>
      <c r="CB1129" s="2"/>
      <c r="CC1129" s="2"/>
      <c r="CD1129" s="3"/>
      <c r="CE1129" s="2"/>
      <c r="CF1129" s="4"/>
      <c r="CG1129" s="4"/>
      <c r="CI1129" s="2"/>
    </row>
    <row r="1130" spans="1:87" s="101" customFormat="1" x14ac:dyDescent="0.35">
      <c r="A1130" s="1"/>
      <c r="C1130" s="1"/>
      <c r="G1130" s="2"/>
      <c r="H1130" s="2"/>
      <c r="I1130" s="2"/>
      <c r="J1130" s="2"/>
      <c r="K1130" s="81"/>
      <c r="L1130" s="4"/>
      <c r="M1130" s="4"/>
      <c r="N1130" s="4"/>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3"/>
      <c r="AP1130" s="2"/>
      <c r="AQ1130" s="2"/>
      <c r="AR1130" s="2"/>
      <c r="AS1130" s="2"/>
      <c r="AT1130" s="2"/>
      <c r="AU1130" s="2"/>
      <c r="AV1130" s="2"/>
      <c r="AW1130" s="2"/>
      <c r="AX1130" s="2"/>
      <c r="AY1130" s="2"/>
      <c r="AZ1130" s="5"/>
      <c r="BA1130" s="2"/>
      <c r="BD1130" s="2"/>
      <c r="BE1130" s="2"/>
      <c r="BF1130" s="2"/>
      <c r="BG1130" s="2"/>
      <c r="BH1130" s="2"/>
      <c r="BI1130" s="2"/>
      <c r="BJ1130" s="2"/>
      <c r="BK1130" s="2"/>
      <c r="BM1130" s="2"/>
      <c r="BN1130" s="2"/>
      <c r="BO1130" s="2"/>
      <c r="BP1130" s="2"/>
      <c r="BQ1130" s="2"/>
      <c r="BR1130" s="6"/>
      <c r="BS1130" s="6"/>
      <c r="BT1130" s="2"/>
      <c r="BU1130" s="2"/>
      <c r="BV1130" s="2"/>
      <c r="BW1130" s="2"/>
      <c r="BX1130" s="2"/>
      <c r="BY1130" s="2"/>
      <c r="BZ1130" s="2"/>
      <c r="CA1130" s="2"/>
      <c r="CB1130" s="2"/>
      <c r="CC1130" s="2"/>
      <c r="CD1130" s="3"/>
      <c r="CE1130" s="2"/>
      <c r="CF1130" s="4"/>
      <c r="CG1130" s="4"/>
      <c r="CI1130" s="2"/>
    </row>
    <row r="1131" spans="1:87" s="101" customFormat="1" x14ac:dyDescent="0.35">
      <c r="A1131" s="1"/>
      <c r="C1131" s="1"/>
      <c r="G1131" s="2"/>
      <c r="H1131" s="2"/>
      <c r="I1131" s="2"/>
      <c r="J1131" s="2"/>
      <c r="K1131" s="81"/>
      <c r="L1131" s="4"/>
      <c r="M1131" s="4"/>
      <c r="N1131" s="4"/>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3"/>
      <c r="AP1131" s="2"/>
      <c r="AQ1131" s="2"/>
      <c r="AR1131" s="2"/>
      <c r="AS1131" s="2"/>
      <c r="AT1131" s="2"/>
      <c r="AU1131" s="2"/>
      <c r="AV1131" s="2"/>
      <c r="AW1131" s="2"/>
      <c r="AX1131" s="2"/>
      <c r="AY1131" s="2"/>
      <c r="AZ1131" s="5"/>
      <c r="BA1131" s="2"/>
      <c r="BD1131" s="2"/>
      <c r="BE1131" s="2"/>
      <c r="BF1131" s="2"/>
      <c r="BG1131" s="2"/>
      <c r="BH1131" s="2"/>
      <c r="BI1131" s="2"/>
      <c r="BJ1131" s="2"/>
      <c r="BK1131" s="2"/>
      <c r="BM1131" s="2"/>
      <c r="BN1131" s="2"/>
      <c r="BO1131" s="2"/>
      <c r="BP1131" s="2"/>
      <c r="BQ1131" s="2"/>
      <c r="BR1131" s="6"/>
      <c r="BS1131" s="6"/>
      <c r="BT1131" s="2"/>
      <c r="BU1131" s="2"/>
      <c r="BV1131" s="2"/>
      <c r="BW1131" s="2"/>
      <c r="BX1131" s="2"/>
      <c r="BY1131" s="2"/>
      <c r="BZ1131" s="2"/>
      <c r="CA1131" s="2"/>
      <c r="CB1131" s="2"/>
      <c r="CC1131" s="2"/>
      <c r="CD1131" s="3"/>
      <c r="CE1131" s="2"/>
      <c r="CF1131" s="4"/>
      <c r="CG1131" s="4"/>
      <c r="CI1131" s="2"/>
    </row>
    <row r="1132" spans="1:87" s="101" customFormat="1" x14ac:dyDescent="0.35">
      <c r="A1132" s="1"/>
      <c r="C1132" s="1"/>
      <c r="G1132" s="2"/>
      <c r="H1132" s="2"/>
      <c r="I1132" s="2"/>
      <c r="J1132" s="2"/>
      <c r="K1132" s="81"/>
      <c r="L1132" s="4"/>
      <c r="M1132" s="4"/>
      <c r="N1132" s="4"/>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3"/>
      <c r="AP1132" s="2"/>
      <c r="AQ1132" s="2"/>
      <c r="AR1132" s="2"/>
      <c r="AS1132" s="2"/>
      <c r="AT1132" s="2"/>
      <c r="AU1132" s="2"/>
      <c r="AV1132" s="2"/>
      <c r="AW1132" s="2"/>
      <c r="AX1132" s="2"/>
      <c r="AY1132" s="2"/>
      <c r="AZ1132" s="5"/>
      <c r="BA1132" s="2"/>
      <c r="BD1132" s="2"/>
      <c r="BE1132" s="2"/>
      <c r="BF1132" s="2"/>
      <c r="BG1132" s="2"/>
      <c r="BH1132" s="2"/>
      <c r="BI1132" s="2"/>
      <c r="BJ1132" s="2"/>
      <c r="BK1132" s="2"/>
      <c r="BM1132" s="2"/>
      <c r="BN1132" s="2"/>
      <c r="BO1132" s="2"/>
      <c r="BP1132" s="2"/>
      <c r="BQ1132" s="2"/>
      <c r="BR1132" s="6"/>
      <c r="BS1132" s="6"/>
      <c r="BT1132" s="2"/>
      <c r="BU1132" s="2"/>
      <c r="BV1132" s="2"/>
      <c r="BW1132" s="2"/>
      <c r="BX1132" s="2"/>
      <c r="BY1132" s="2"/>
      <c r="BZ1132" s="2"/>
      <c r="CA1132" s="2"/>
      <c r="CB1132" s="2"/>
      <c r="CC1132" s="2"/>
      <c r="CD1132" s="3"/>
      <c r="CE1132" s="2"/>
      <c r="CF1132" s="4"/>
      <c r="CG1132" s="4"/>
      <c r="CI1132" s="2"/>
    </row>
    <row r="1133" spans="1:87" s="101" customFormat="1" x14ac:dyDescent="0.35">
      <c r="A1133" s="1"/>
      <c r="C1133" s="1"/>
      <c r="G1133" s="2"/>
      <c r="H1133" s="2"/>
      <c r="I1133" s="2"/>
      <c r="J1133" s="2"/>
      <c r="K1133" s="81"/>
      <c r="L1133" s="4"/>
      <c r="M1133" s="4"/>
      <c r="N1133" s="4"/>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3"/>
      <c r="AP1133" s="2"/>
      <c r="AQ1133" s="2"/>
      <c r="AR1133" s="2"/>
      <c r="AS1133" s="2"/>
      <c r="AT1133" s="2"/>
      <c r="AU1133" s="2"/>
      <c r="AV1133" s="2"/>
      <c r="AW1133" s="2"/>
      <c r="AX1133" s="2"/>
      <c r="AY1133" s="2"/>
      <c r="AZ1133" s="5"/>
      <c r="BA1133" s="2"/>
      <c r="BD1133" s="2"/>
      <c r="BE1133" s="2"/>
      <c r="BF1133" s="2"/>
      <c r="BG1133" s="2"/>
      <c r="BH1133" s="2"/>
      <c r="BI1133" s="2"/>
      <c r="BJ1133" s="2"/>
      <c r="BK1133" s="2"/>
      <c r="BM1133" s="2"/>
      <c r="BN1133" s="2"/>
      <c r="BO1133" s="2"/>
      <c r="BP1133" s="2"/>
      <c r="BQ1133" s="2"/>
      <c r="BR1133" s="6"/>
      <c r="BS1133" s="6"/>
      <c r="BT1133" s="2"/>
      <c r="BU1133" s="2"/>
      <c r="BV1133" s="2"/>
      <c r="BW1133" s="2"/>
      <c r="BX1133" s="2"/>
      <c r="BY1133" s="2"/>
      <c r="BZ1133" s="2"/>
      <c r="CA1133" s="2"/>
      <c r="CB1133" s="2"/>
      <c r="CC1133" s="2"/>
      <c r="CD1133" s="3"/>
      <c r="CE1133" s="2"/>
      <c r="CF1133" s="4"/>
      <c r="CG1133" s="4"/>
      <c r="CI1133" s="2"/>
    </row>
    <row r="1134" spans="1:87" s="101" customFormat="1" x14ac:dyDescent="0.35">
      <c r="A1134" s="1"/>
      <c r="C1134" s="1"/>
      <c r="G1134" s="2"/>
      <c r="H1134" s="2"/>
      <c r="I1134" s="2"/>
      <c r="J1134" s="2"/>
      <c r="K1134" s="81"/>
      <c r="L1134" s="4"/>
      <c r="M1134" s="4"/>
      <c r="N1134" s="4"/>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3"/>
      <c r="AP1134" s="2"/>
      <c r="AQ1134" s="2"/>
      <c r="AR1134" s="2"/>
      <c r="AS1134" s="2"/>
      <c r="AT1134" s="2"/>
      <c r="AU1134" s="2"/>
      <c r="AV1134" s="2"/>
      <c r="AW1134" s="2"/>
      <c r="AX1134" s="2"/>
      <c r="AY1134" s="2"/>
      <c r="AZ1134" s="5"/>
      <c r="BA1134" s="2"/>
      <c r="BD1134" s="2"/>
      <c r="BE1134" s="2"/>
      <c r="BF1134" s="2"/>
      <c r="BG1134" s="2"/>
      <c r="BH1134" s="2"/>
      <c r="BI1134" s="2"/>
      <c r="BJ1134" s="2"/>
      <c r="BK1134" s="2"/>
      <c r="BM1134" s="2"/>
      <c r="BN1134" s="2"/>
      <c r="BO1134" s="2"/>
      <c r="BP1134" s="2"/>
      <c r="BQ1134" s="2"/>
      <c r="BR1134" s="6"/>
      <c r="BS1134" s="6"/>
      <c r="BT1134" s="2"/>
      <c r="BU1134" s="2"/>
      <c r="BV1134" s="2"/>
      <c r="BW1134" s="2"/>
      <c r="BX1134" s="2"/>
      <c r="BY1134" s="2"/>
      <c r="BZ1134" s="2"/>
      <c r="CA1134" s="2"/>
      <c r="CB1134" s="2"/>
      <c r="CC1134" s="2"/>
      <c r="CD1134" s="3"/>
      <c r="CE1134" s="2"/>
      <c r="CF1134" s="4"/>
      <c r="CG1134" s="4"/>
      <c r="CI1134" s="2"/>
    </row>
    <row r="1135" spans="1:87" s="101" customFormat="1" x14ac:dyDescent="0.35">
      <c r="A1135" s="1"/>
      <c r="C1135" s="1"/>
      <c r="G1135" s="2"/>
      <c r="H1135" s="2"/>
      <c r="I1135" s="2"/>
      <c r="J1135" s="2"/>
      <c r="K1135" s="81"/>
      <c r="L1135" s="4"/>
      <c r="M1135" s="4"/>
      <c r="N1135" s="4"/>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3"/>
      <c r="AP1135" s="2"/>
      <c r="AQ1135" s="2"/>
      <c r="AR1135" s="2"/>
      <c r="AS1135" s="2"/>
      <c r="AT1135" s="2"/>
      <c r="AU1135" s="2"/>
      <c r="AV1135" s="2"/>
      <c r="AW1135" s="2"/>
      <c r="AX1135" s="2"/>
      <c r="AY1135" s="2"/>
      <c r="AZ1135" s="5"/>
      <c r="BA1135" s="2"/>
      <c r="BD1135" s="2"/>
      <c r="BE1135" s="2"/>
      <c r="BF1135" s="2"/>
      <c r="BG1135" s="2"/>
      <c r="BH1135" s="2"/>
      <c r="BI1135" s="2"/>
      <c r="BJ1135" s="2"/>
      <c r="BK1135" s="2"/>
      <c r="BM1135" s="2"/>
      <c r="BN1135" s="2"/>
      <c r="BO1135" s="2"/>
      <c r="BP1135" s="2"/>
      <c r="BQ1135" s="2"/>
      <c r="BR1135" s="6"/>
      <c r="BS1135" s="6"/>
      <c r="BT1135" s="2"/>
      <c r="BU1135" s="2"/>
      <c r="BV1135" s="2"/>
      <c r="BW1135" s="2"/>
      <c r="BX1135" s="2"/>
      <c r="BY1135" s="2"/>
      <c r="BZ1135" s="2"/>
      <c r="CA1135" s="2"/>
      <c r="CB1135" s="2"/>
      <c r="CC1135" s="2"/>
      <c r="CD1135" s="3"/>
      <c r="CE1135" s="2"/>
      <c r="CF1135" s="4"/>
      <c r="CG1135" s="4"/>
      <c r="CI1135" s="2"/>
    </row>
    <row r="1136" spans="1:87" s="101" customFormat="1" x14ac:dyDescent="0.35">
      <c r="A1136" s="1"/>
      <c r="C1136" s="1"/>
      <c r="G1136" s="2"/>
      <c r="H1136" s="2"/>
      <c r="I1136" s="2"/>
      <c r="J1136" s="2"/>
      <c r="K1136" s="81"/>
      <c r="L1136" s="4"/>
      <c r="M1136" s="4"/>
      <c r="N1136" s="4"/>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3"/>
      <c r="AP1136" s="2"/>
      <c r="AQ1136" s="2"/>
      <c r="AR1136" s="2"/>
      <c r="AS1136" s="2"/>
      <c r="AT1136" s="2"/>
      <c r="AU1136" s="2"/>
      <c r="AV1136" s="2"/>
      <c r="AW1136" s="2"/>
      <c r="AX1136" s="2"/>
      <c r="AY1136" s="2"/>
      <c r="AZ1136" s="5"/>
      <c r="BA1136" s="2"/>
      <c r="BD1136" s="2"/>
      <c r="BE1136" s="2"/>
      <c r="BF1136" s="2"/>
      <c r="BG1136" s="2"/>
      <c r="BH1136" s="2"/>
      <c r="BI1136" s="2"/>
      <c r="BJ1136" s="2"/>
      <c r="BK1136" s="2"/>
      <c r="BM1136" s="2"/>
      <c r="BN1136" s="2"/>
      <c r="BO1136" s="2"/>
      <c r="BP1136" s="2"/>
      <c r="BQ1136" s="2"/>
      <c r="BR1136" s="6"/>
      <c r="BS1136" s="6"/>
      <c r="BT1136" s="2"/>
      <c r="BU1136" s="2"/>
      <c r="BV1136" s="2"/>
      <c r="BW1136" s="2"/>
      <c r="BX1136" s="2"/>
      <c r="BY1136" s="2"/>
      <c r="BZ1136" s="2"/>
      <c r="CA1136" s="2"/>
      <c r="CB1136" s="2"/>
      <c r="CC1136" s="2"/>
      <c r="CD1136" s="3"/>
      <c r="CE1136" s="2"/>
      <c r="CF1136" s="4"/>
      <c r="CG1136" s="4"/>
      <c r="CI1136" s="2"/>
    </row>
    <row r="1137" spans="1:87" s="101" customFormat="1" x14ac:dyDescent="0.35">
      <c r="A1137" s="1"/>
      <c r="C1137" s="1"/>
      <c r="G1137" s="2"/>
      <c r="H1137" s="2"/>
      <c r="I1137" s="2"/>
      <c r="J1137" s="2"/>
      <c r="K1137" s="81"/>
      <c r="L1137" s="4"/>
      <c r="M1137" s="4"/>
      <c r="N1137" s="4"/>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3"/>
      <c r="AP1137" s="2"/>
      <c r="AQ1137" s="2"/>
      <c r="AR1137" s="2"/>
      <c r="AS1137" s="2"/>
      <c r="AT1137" s="2"/>
      <c r="AU1137" s="2"/>
      <c r="AV1137" s="2"/>
      <c r="AW1137" s="2"/>
      <c r="AX1137" s="2"/>
      <c r="AY1137" s="2"/>
      <c r="AZ1137" s="5"/>
      <c r="BA1137" s="2"/>
      <c r="BD1137" s="2"/>
      <c r="BE1137" s="2"/>
      <c r="BF1137" s="2"/>
      <c r="BG1137" s="2"/>
      <c r="BH1137" s="2"/>
      <c r="BI1137" s="2"/>
      <c r="BJ1137" s="2"/>
      <c r="BK1137" s="2"/>
      <c r="BM1137" s="2"/>
      <c r="BN1137" s="2"/>
      <c r="BO1137" s="2"/>
      <c r="BP1137" s="2"/>
      <c r="BQ1137" s="2"/>
      <c r="BR1137" s="6"/>
      <c r="BS1137" s="6"/>
      <c r="BT1137" s="2"/>
      <c r="BU1137" s="2"/>
      <c r="BV1137" s="2"/>
      <c r="BW1137" s="2"/>
      <c r="BX1137" s="2"/>
      <c r="BY1137" s="2"/>
      <c r="BZ1137" s="2"/>
      <c r="CA1137" s="2"/>
      <c r="CB1137" s="2"/>
      <c r="CC1137" s="2"/>
      <c r="CD1137" s="3"/>
      <c r="CE1137" s="2"/>
      <c r="CF1137" s="4"/>
      <c r="CG1137" s="4"/>
      <c r="CI1137" s="2"/>
    </row>
    <row r="1138" spans="1:87" s="101" customFormat="1" x14ac:dyDescent="0.35">
      <c r="A1138" s="1"/>
      <c r="C1138" s="1"/>
      <c r="G1138" s="2"/>
      <c r="H1138" s="2"/>
      <c r="I1138" s="2"/>
      <c r="J1138" s="2"/>
      <c r="K1138" s="81"/>
      <c r="L1138" s="4"/>
      <c r="M1138" s="4"/>
      <c r="N1138" s="4"/>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3"/>
      <c r="AP1138" s="2"/>
      <c r="AQ1138" s="2"/>
      <c r="AR1138" s="2"/>
      <c r="AS1138" s="2"/>
      <c r="AT1138" s="2"/>
      <c r="AU1138" s="2"/>
      <c r="AV1138" s="2"/>
      <c r="AW1138" s="2"/>
      <c r="AX1138" s="2"/>
      <c r="AY1138" s="2"/>
      <c r="AZ1138" s="5"/>
      <c r="BA1138" s="2"/>
      <c r="BD1138" s="2"/>
      <c r="BE1138" s="2"/>
      <c r="BF1138" s="2"/>
      <c r="BG1138" s="2"/>
      <c r="BH1138" s="2"/>
      <c r="BI1138" s="2"/>
      <c r="BJ1138" s="2"/>
      <c r="BK1138" s="2"/>
      <c r="BM1138" s="2"/>
      <c r="BN1138" s="2"/>
      <c r="BO1138" s="2"/>
      <c r="BP1138" s="2"/>
      <c r="BQ1138" s="2"/>
      <c r="BR1138" s="6"/>
      <c r="BS1138" s="6"/>
      <c r="BT1138" s="2"/>
      <c r="BU1138" s="2"/>
      <c r="BV1138" s="2"/>
      <c r="BW1138" s="2"/>
      <c r="BX1138" s="2"/>
      <c r="BY1138" s="2"/>
      <c r="BZ1138" s="2"/>
      <c r="CA1138" s="2"/>
      <c r="CB1138" s="2"/>
      <c r="CC1138" s="2"/>
      <c r="CD1138" s="3"/>
      <c r="CE1138" s="2"/>
      <c r="CF1138" s="4"/>
      <c r="CG1138" s="4"/>
      <c r="CI1138" s="2"/>
    </row>
    <row r="1139" spans="1:87" s="101" customFormat="1" x14ac:dyDescent="0.35">
      <c r="A1139" s="1"/>
      <c r="C1139" s="1"/>
      <c r="G1139" s="2"/>
      <c r="H1139" s="2"/>
      <c r="I1139" s="2"/>
      <c r="J1139" s="2"/>
      <c r="K1139" s="81"/>
      <c r="L1139" s="4"/>
      <c r="M1139" s="4"/>
      <c r="N1139" s="4"/>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3"/>
      <c r="AP1139" s="2"/>
      <c r="AQ1139" s="2"/>
      <c r="AR1139" s="2"/>
      <c r="AS1139" s="2"/>
      <c r="AT1139" s="2"/>
      <c r="AU1139" s="2"/>
      <c r="AV1139" s="2"/>
      <c r="AW1139" s="2"/>
      <c r="AX1139" s="2"/>
      <c r="AY1139" s="2"/>
      <c r="AZ1139" s="5"/>
      <c r="BA1139" s="2"/>
      <c r="BD1139" s="2"/>
      <c r="BE1139" s="2"/>
      <c r="BF1139" s="2"/>
      <c r="BG1139" s="2"/>
      <c r="BH1139" s="2"/>
      <c r="BI1139" s="2"/>
      <c r="BJ1139" s="2"/>
      <c r="BK1139" s="2"/>
      <c r="BM1139" s="2"/>
      <c r="BN1139" s="2"/>
      <c r="BO1139" s="2"/>
      <c r="BP1139" s="2"/>
      <c r="BQ1139" s="2"/>
      <c r="BR1139" s="6"/>
      <c r="BS1139" s="6"/>
      <c r="BT1139" s="2"/>
      <c r="BU1139" s="2"/>
      <c r="BV1139" s="2"/>
      <c r="BW1139" s="2"/>
      <c r="BX1139" s="2"/>
      <c r="BY1139" s="2"/>
      <c r="BZ1139" s="2"/>
      <c r="CA1139" s="2"/>
      <c r="CB1139" s="2"/>
      <c r="CC1139" s="2"/>
      <c r="CD1139" s="3"/>
      <c r="CE1139" s="2"/>
      <c r="CF1139" s="4"/>
      <c r="CG1139" s="4"/>
      <c r="CI1139" s="2"/>
    </row>
    <row r="1140" spans="1:87" s="101" customFormat="1" x14ac:dyDescent="0.35">
      <c r="A1140" s="1"/>
      <c r="C1140" s="1"/>
      <c r="G1140" s="2"/>
      <c r="H1140" s="2"/>
      <c r="I1140" s="2"/>
      <c r="J1140" s="2"/>
      <c r="K1140" s="81"/>
      <c r="L1140" s="4"/>
      <c r="M1140" s="4"/>
      <c r="N1140" s="4"/>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3"/>
      <c r="AP1140" s="2"/>
      <c r="AQ1140" s="2"/>
      <c r="AR1140" s="2"/>
      <c r="AS1140" s="2"/>
      <c r="AT1140" s="2"/>
      <c r="AU1140" s="2"/>
      <c r="AV1140" s="2"/>
      <c r="AW1140" s="2"/>
      <c r="AX1140" s="2"/>
      <c r="AY1140" s="2"/>
      <c r="AZ1140" s="5"/>
      <c r="BA1140" s="2"/>
      <c r="BD1140" s="2"/>
      <c r="BE1140" s="2"/>
      <c r="BF1140" s="2"/>
      <c r="BG1140" s="2"/>
      <c r="BH1140" s="2"/>
      <c r="BI1140" s="2"/>
      <c r="BJ1140" s="2"/>
      <c r="BK1140" s="2"/>
      <c r="BM1140" s="2"/>
      <c r="BN1140" s="2"/>
      <c r="BO1140" s="2"/>
      <c r="BP1140" s="2"/>
      <c r="BQ1140" s="2"/>
      <c r="BR1140" s="6"/>
      <c r="BS1140" s="6"/>
      <c r="BT1140" s="2"/>
      <c r="BU1140" s="2"/>
      <c r="BV1140" s="2"/>
      <c r="BW1140" s="2"/>
      <c r="BX1140" s="2"/>
      <c r="BY1140" s="2"/>
      <c r="BZ1140" s="2"/>
      <c r="CA1140" s="2"/>
      <c r="CB1140" s="2"/>
      <c r="CC1140" s="2"/>
      <c r="CD1140" s="3"/>
      <c r="CE1140" s="2"/>
      <c r="CF1140" s="4"/>
      <c r="CG1140" s="4"/>
      <c r="CI1140" s="2"/>
    </row>
    <row r="1141" spans="1:87" s="101" customFormat="1" x14ac:dyDescent="0.35">
      <c r="A1141" s="1"/>
      <c r="C1141" s="1"/>
      <c r="G1141" s="2"/>
      <c r="H1141" s="2"/>
      <c r="I1141" s="2"/>
      <c r="J1141" s="2"/>
      <c r="K1141" s="81"/>
      <c r="L1141" s="4"/>
      <c r="M1141" s="4"/>
      <c r="N1141" s="4"/>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3"/>
      <c r="AP1141" s="2"/>
      <c r="AQ1141" s="2"/>
      <c r="AR1141" s="2"/>
      <c r="AS1141" s="2"/>
      <c r="AT1141" s="2"/>
      <c r="AU1141" s="2"/>
      <c r="AV1141" s="2"/>
      <c r="AW1141" s="2"/>
      <c r="AX1141" s="2"/>
      <c r="AY1141" s="2"/>
      <c r="AZ1141" s="5"/>
      <c r="BA1141" s="2"/>
      <c r="BD1141" s="2"/>
      <c r="BE1141" s="2"/>
      <c r="BF1141" s="2"/>
      <c r="BG1141" s="2"/>
      <c r="BH1141" s="2"/>
      <c r="BI1141" s="2"/>
      <c r="BJ1141" s="2"/>
      <c r="BK1141" s="2"/>
      <c r="BM1141" s="2"/>
      <c r="BN1141" s="2"/>
      <c r="BO1141" s="2"/>
      <c r="BP1141" s="2"/>
      <c r="BQ1141" s="2"/>
      <c r="BR1141" s="6"/>
      <c r="BS1141" s="6"/>
      <c r="BT1141" s="2"/>
      <c r="BU1141" s="2"/>
      <c r="BV1141" s="2"/>
      <c r="BW1141" s="2"/>
      <c r="BX1141" s="2"/>
      <c r="BY1141" s="2"/>
      <c r="BZ1141" s="2"/>
      <c r="CA1141" s="2"/>
      <c r="CB1141" s="2"/>
      <c r="CC1141" s="2"/>
      <c r="CD1141" s="3"/>
      <c r="CE1141" s="2"/>
      <c r="CF1141" s="4"/>
      <c r="CG1141" s="4"/>
      <c r="CI1141" s="2"/>
    </row>
    <row r="1142" spans="1:87" s="101" customFormat="1" x14ac:dyDescent="0.35">
      <c r="A1142" s="1"/>
      <c r="C1142" s="1"/>
      <c r="G1142" s="2"/>
      <c r="H1142" s="2"/>
      <c r="I1142" s="2"/>
      <c r="J1142" s="2"/>
      <c r="K1142" s="81"/>
      <c r="L1142" s="4"/>
      <c r="M1142" s="4"/>
      <c r="N1142" s="4"/>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3"/>
      <c r="AP1142" s="2"/>
      <c r="AQ1142" s="2"/>
      <c r="AR1142" s="2"/>
      <c r="AS1142" s="2"/>
      <c r="AT1142" s="2"/>
      <c r="AU1142" s="2"/>
      <c r="AV1142" s="2"/>
      <c r="AW1142" s="2"/>
      <c r="AX1142" s="2"/>
      <c r="AY1142" s="2"/>
      <c r="AZ1142" s="5"/>
      <c r="BA1142" s="2"/>
      <c r="BD1142" s="2"/>
      <c r="BE1142" s="2"/>
      <c r="BF1142" s="2"/>
      <c r="BG1142" s="2"/>
      <c r="BH1142" s="2"/>
      <c r="BI1142" s="2"/>
      <c r="BJ1142" s="2"/>
      <c r="BK1142" s="2"/>
      <c r="BM1142" s="2"/>
      <c r="BN1142" s="2"/>
      <c r="BO1142" s="2"/>
      <c r="BP1142" s="2"/>
      <c r="BQ1142" s="2"/>
      <c r="BR1142" s="6"/>
      <c r="BS1142" s="6"/>
      <c r="BT1142" s="2"/>
      <c r="BU1142" s="2"/>
      <c r="BV1142" s="2"/>
      <c r="BW1142" s="2"/>
      <c r="BX1142" s="2"/>
      <c r="BY1142" s="2"/>
      <c r="BZ1142" s="2"/>
      <c r="CA1142" s="2"/>
      <c r="CB1142" s="2"/>
      <c r="CC1142" s="2"/>
      <c r="CD1142" s="3"/>
      <c r="CE1142" s="2"/>
      <c r="CF1142" s="4"/>
      <c r="CG1142" s="4"/>
      <c r="CI1142" s="2"/>
    </row>
    <row r="1143" spans="1:87" s="101" customFormat="1" x14ac:dyDescent="0.35">
      <c r="A1143" s="1"/>
      <c r="C1143" s="1"/>
      <c r="G1143" s="2"/>
      <c r="H1143" s="2"/>
      <c r="I1143" s="2"/>
      <c r="J1143" s="2"/>
      <c r="K1143" s="81"/>
      <c r="L1143" s="4"/>
      <c r="M1143" s="4"/>
      <c r="N1143" s="4"/>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3"/>
      <c r="AP1143" s="2"/>
      <c r="AQ1143" s="2"/>
      <c r="AR1143" s="2"/>
      <c r="AS1143" s="2"/>
      <c r="AT1143" s="2"/>
      <c r="AU1143" s="2"/>
      <c r="AV1143" s="2"/>
      <c r="AW1143" s="2"/>
      <c r="AX1143" s="2"/>
      <c r="AY1143" s="2"/>
      <c r="AZ1143" s="5"/>
      <c r="BA1143" s="2"/>
      <c r="BD1143" s="2"/>
      <c r="BE1143" s="2"/>
      <c r="BF1143" s="2"/>
      <c r="BG1143" s="2"/>
      <c r="BH1143" s="2"/>
      <c r="BI1143" s="2"/>
      <c r="BJ1143" s="2"/>
      <c r="BK1143" s="2"/>
      <c r="BM1143" s="2"/>
      <c r="BN1143" s="2"/>
      <c r="BO1143" s="2"/>
      <c r="BP1143" s="2"/>
      <c r="BQ1143" s="2"/>
      <c r="BR1143" s="6"/>
      <c r="BS1143" s="6"/>
      <c r="BT1143" s="2"/>
      <c r="BU1143" s="2"/>
      <c r="BV1143" s="2"/>
      <c r="BW1143" s="2"/>
      <c r="BX1143" s="2"/>
      <c r="BY1143" s="2"/>
      <c r="BZ1143" s="2"/>
      <c r="CA1143" s="2"/>
      <c r="CB1143" s="2"/>
      <c r="CC1143" s="2"/>
      <c r="CD1143" s="3"/>
      <c r="CE1143" s="2"/>
      <c r="CF1143" s="4"/>
      <c r="CG1143" s="4"/>
      <c r="CI1143" s="2"/>
    </row>
    <row r="1144" spans="1:87" s="101" customFormat="1" x14ac:dyDescent="0.35">
      <c r="A1144" s="1"/>
      <c r="C1144" s="1"/>
      <c r="G1144" s="2"/>
      <c r="H1144" s="2"/>
      <c r="I1144" s="2"/>
      <c r="J1144" s="2"/>
      <c r="K1144" s="81"/>
      <c r="L1144" s="4"/>
      <c r="M1144" s="4"/>
      <c r="N1144" s="4"/>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3"/>
      <c r="AP1144" s="2"/>
      <c r="AQ1144" s="2"/>
      <c r="AR1144" s="2"/>
      <c r="AS1144" s="2"/>
      <c r="AT1144" s="2"/>
      <c r="AU1144" s="2"/>
      <c r="AV1144" s="2"/>
      <c r="AW1144" s="2"/>
      <c r="AX1144" s="2"/>
      <c r="AY1144" s="2"/>
      <c r="AZ1144" s="5"/>
      <c r="BA1144" s="2"/>
      <c r="BD1144" s="2"/>
      <c r="BE1144" s="2"/>
      <c r="BF1144" s="2"/>
      <c r="BG1144" s="2"/>
      <c r="BH1144" s="2"/>
      <c r="BI1144" s="2"/>
      <c r="BJ1144" s="2"/>
      <c r="BK1144" s="2"/>
      <c r="BM1144" s="2"/>
      <c r="BN1144" s="2"/>
      <c r="BO1144" s="2"/>
      <c r="BP1144" s="2"/>
      <c r="BQ1144" s="2"/>
      <c r="BR1144" s="6"/>
      <c r="BS1144" s="6"/>
      <c r="BT1144" s="2"/>
      <c r="BU1144" s="2"/>
      <c r="BV1144" s="2"/>
      <c r="BW1144" s="2"/>
      <c r="BX1144" s="2"/>
      <c r="BY1144" s="2"/>
      <c r="BZ1144" s="2"/>
      <c r="CA1144" s="2"/>
      <c r="CB1144" s="2"/>
      <c r="CC1144" s="2"/>
      <c r="CD1144" s="3"/>
      <c r="CE1144" s="2"/>
      <c r="CF1144" s="4"/>
      <c r="CG1144" s="4"/>
      <c r="CI1144" s="2"/>
    </row>
    <row r="1145" spans="1:87" s="101" customFormat="1" x14ac:dyDescent="0.35">
      <c r="A1145" s="1"/>
      <c r="C1145" s="1"/>
      <c r="G1145" s="2"/>
      <c r="H1145" s="2"/>
      <c r="I1145" s="2"/>
      <c r="J1145" s="2"/>
      <c r="K1145" s="81"/>
      <c r="L1145" s="4"/>
      <c r="M1145" s="4"/>
      <c r="N1145" s="4"/>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3"/>
      <c r="AP1145" s="2"/>
      <c r="AQ1145" s="2"/>
      <c r="AR1145" s="2"/>
      <c r="AS1145" s="2"/>
      <c r="AT1145" s="2"/>
      <c r="AU1145" s="2"/>
      <c r="AV1145" s="2"/>
      <c r="AW1145" s="2"/>
      <c r="AX1145" s="2"/>
      <c r="AY1145" s="2"/>
      <c r="AZ1145" s="5"/>
      <c r="BA1145" s="2"/>
      <c r="BD1145" s="2"/>
      <c r="BE1145" s="2"/>
      <c r="BF1145" s="2"/>
      <c r="BG1145" s="2"/>
      <c r="BH1145" s="2"/>
      <c r="BI1145" s="2"/>
      <c r="BJ1145" s="2"/>
      <c r="BK1145" s="2"/>
      <c r="BM1145" s="2"/>
      <c r="BN1145" s="2"/>
      <c r="BO1145" s="2"/>
      <c r="BP1145" s="2"/>
      <c r="BQ1145" s="2"/>
      <c r="BR1145" s="6"/>
      <c r="BS1145" s="6"/>
      <c r="BT1145" s="2"/>
      <c r="BU1145" s="2"/>
      <c r="BV1145" s="2"/>
      <c r="BW1145" s="2"/>
      <c r="BX1145" s="2"/>
      <c r="BY1145" s="2"/>
      <c r="BZ1145" s="2"/>
      <c r="CA1145" s="2"/>
      <c r="CB1145" s="2"/>
      <c r="CC1145" s="2"/>
      <c r="CD1145" s="3"/>
      <c r="CE1145" s="2"/>
      <c r="CF1145" s="4"/>
      <c r="CG1145" s="4"/>
      <c r="CI1145" s="2"/>
    </row>
    <row r="1146" spans="1:87" s="101" customFormat="1" x14ac:dyDescent="0.35">
      <c r="A1146" s="1"/>
      <c r="C1146" s="1"/>
      <c r="G1146" s="2"/>
      <c r="H1146" s="2"/>
      <c r="I1146" s="2"/>
      <c r="J1146" s="2"/>
      <c r="K1146" s="81"/>
      <c r="L1146" s="4"/>
      <c r="M1146" s="4"/>
      <c r="N1146" s="4"/>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3"/>
      <c r="AP1146" s="2"/>
      <c r="AQ1146" s="2"/>
      <c r="AR1146" s="2"/>
      <c r="AS1146" s="2"/>
      <c r="AT1146" s="2"/>
      <c r="AU1146" s="2"/>
      <c r="AV1146" s="2"/>
      <c r="AW1146" s="2"/>
      <c r="AX1146" s="2"/>
      <c r="AY1146" s="2"/>
      <c r="AZ1146" s="5"/>
      <c r="BA1146" s="2"/>
      <c r="BD1146" s="2"/>
      <c r="BE1146" s="2"/>
      <c r="BF1146" s="2"/>
      <c r="BG1146" s="2"/>
      <c r="BH1146" s="2"/>
      <c r="BI1146" s="2"/>
      <c r="BJ1146" s="2"/>
      <c r="BK1146" s="2"/>
      <c r="BM1146" s="2"/>
      <c r="BN1146" s="2"/>
      <c r="BO1146" s="2"/>
      <c r="BP1146" s="2"/>
      <c r="BQ1146" s="2"/>
      <c r="BR1146" s="6"/>
      <c r="BS1146" s="6"/>
      <c r="BT1146" s="2"/>
      <c r="BU1146" s="2"/>
      <c r="BV1146" s="2"/>
      <c r="BW1146" s="2"/>
      <c r="BX1146" s="2"/>
      <c r="BY1146" s="2"/>
      <c r="BZ1146" s="2"/>
      <c r="CA1146" s="2"/>
      <c r="CB1146" s="2"/>
      <c r="CC1146" s="2"/>
      <c r="CD1146" s="3"/>
      <c r="CE1146" s="2"/>
      <c r="CF1146" s="4"/>
      <c r="CG1146" s="4"/>
      <c r="CI1146" s="2"/>
    </row>
    <row r="1147" spans="1:87" s="101" customFormat="1" x14ac:dyDescent="0.35">
      <c r="A1147" s="1"/>
      <c r="C1147" s="1"/>
      <c r="G1147" s="2"/>
      <c r="H1147" s="2"/>
      <c r="I1147" s="2"/>
      <c r="J1147" s="2"/>
      <c r="K1147" s="81"/>
      <c r="L1147" s="4"/>
      <c r="M1147" s="4"/>
      <c r="N1147" s="4"/>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3"/>
      <c r="AP1147" s="2"/>
      <c r="AQ1147" s="2"/>
      <c r="AR1147" s="2"/>
      <c r="AS1147" s="2"/>
      <c r="AT1147" s="2"/>
      <c r="AU1147" s="2"/>
      <c r="AV1147" s="2"/>
      <c r="AW1147" s="2"/>
      <c r="AX1147" s="2"/>
      <c r="AY1147" s="2"/>
      <c r="AZ1147" s="5"/>
      <c r="BA1147" s="2"/>
      <c r="BD1147" s="2"/>
      <c r="BE1147" s="2"/>
      <c r="BF1147" s="2"/>
      <c r="BG1147" s="2"/>
      <c r="BH1147" s="2"/>
      <c r="BI1147" s="2"/>
      <c r="BJ1147" s="2"/>
      <c r="BK1147" s="2"/>
      <c r="BM1147" s="2"/>
      <c r="BN1147" s="2"/>
      <c r="BO1147" s="2"/>
      <c r="BP1147" s="2"/>
      <c r="BQ1147" s="2"/>
      <c r="BR1147" s="6"/>
      <c r="BS1147" s="6"/>
      <c r="BT1147" s="2"/>
      <c r="BU1147" s="2"/>
      <c r="BV1147" s="2"/>
      <c r="BW1147" s="2"/>
      <c r="BX1147" s="2"/>
      <c r="BY1147" s="2"/>
      <c r="BZ1147" s="2"/>
      <c r="CA1147" s="2"/>
      <c r="CB1147" s="2"/>
      <c r="CC1147" s="2"/>
      <c r="CD1147" s="3"/>
      <c r="CE1147" s="2"/>
      <c r="CF1147" s="4"/>
      <c r="CG1147" s="4"/>
      <c r="CI1147" s="2"/>
    </row>
    <row r="1148" spans="1:87" s="101" customFormat="1" x14ac:dyDescent="0.35">
      <c r="A1148" s="1"/>
      <c r="C1148" s="1"/>
      <c r="G1148" s="2"/>
      <c r="H1148" s="2"/>
      <c r="I1148" s="2"/>
      <c r="J1148" s="2"/>
      <c r="K1148" s="81"/>
      <c r="L1148" s="4"/>
      <c r="M1148" s="4"/>
      <c r="N1148" s="4"/>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3"/>
      <c r="AP1148" s="2"/>
      <c r="AQ1148" s="2"/>
      <c r="AR1148" s="2"/>
      <c r="AS1148" s="2"/>
      <c r="AT1148" s="2"/>
      <c r="AU1148" s="2"/>
      <c r="AV1148" s="2"/>
      <c r="AW1148" s="2"/>
      <c r="AX1148" s="2"/>
      <c r="AY1148" s="2"/>
      <c r="AZ1148" s="5"/>
      <c r="BA1148" s="2"/>
      <c r="BD1148" s="2"/>
      <c r="BE1148" s="2"/>
      <c r="BF1148" s="2"/>
      <c r="BG1148" s="2"/>
      <c r="BH1148" s="2"/>
      <c r="BI1148" s="2"/>
      <c r="BJ1148" s="2"/>
      <c r="BK1148" s="2"/>
      <c r="BM1148" s="2"/>
      <c r="BN1148" s="2"/>
      <c r="BO1148" s="2"/>
      <c r="BP1148" s="2"/>
      <c r="BQ1148" s="2"/>
      <c r="BR1148" s="6"/>
      <c r="BS1148" s="6"/>
      <c r="BT1148" s="2"/>
      <c r="BU1148" s="2"/>
      <c r="BV1148" s="2"/>
      <c r="BW1148" s="2"/>
      <c r="BX1148" s="2"/>
      <c r="BY1148" s="2"/>
      <c r="BZ1148" s="2"/>
      <c r="CA1148" s="2"/>
      <c r="CB1148" s="2"/>
      <c r="CC1148" s="2"/>
      <c r="CD1148" s="3"/>
      <c r="CE1148" s="2"/>
      <c r="CF1148" s="4"/>
      <c r="CG1148" s="4"/>
      <c r="CI1148" s="2"/>
    </row>
    <row r="1149" spans="1:87" s="101" customFormat="1" x14ac:dyDescent="0.35">
      <c r="A1149" s="1"/>
      <c r="C1149" s="1"/>
      <c r="G1149" s="2"/>
      <c r="H1149" s="2"/>
      <c r="I1149" s="2"/>
      <c r="J1149" s="2"/>
      <c r="K1149" s="81"/>
      <c r="L1149" s="4"/>
      <c r="M1149" s="4"/>
      <c r="N1149" s="4"/>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3"/>
      <c r="AP1149" s="2"/>
      <c r="AQ1149" s="2"/>
      <c r="AR1149" s="2"/>
      <c r="AS1149" s="2"/>
      <c r="AT1149" s="2"/>
      <c r="AU1149" s="2"/>
      <c r="AV1149" s="2"/>
      <c r="AW1149" s="2"/>
      <c r="AX1149" s="2"/>
      <c r="AY1149" s="2"/>
      <c r="AZ1149" s="5"/>
      <c r="BA1149" s="2"/>
      <c r="BD1149" s="2"/>
      <c r="BE1149" s="2"/>
      <c r="BF1149" s="2"/>
      <c r="BG1149" s="2"/>
      <c r="BH1149" s="2"/>
      <c r="BI1149" s="2"/>
      <c r="BJ1149" s="2"/>
      <c r="BK1149" s="2"/>
      <c r="BM1149" s="2"/>
      <c r="BN1149" s="2"/>
      <c r="BO1149" s="2"/>
      <c r="BP1149" s="2"/>
      <c r="BQ1149" s="2"/>
      <c r="BR1149" s="6"/>
      <c r="BS1149" s="6"/>
      <c r="BT1149" s="2"/>
      <c r="BU1149" s="2"/>
      <c r="BV1149" s="2"/>
      <c r="BW1149" s="2"/>
      <c r="BX1149" s="2"/>
      <c r="BY1149" s="2"/>
      <c r="BZ1149" s="2"/>
      <c r="CA1149" s="2"/>
      <c r="CB1149" s="2"/>
      <c r="CC1149" s="2"/>
      <c r="CD1149" s="3"/>
      <c r="CE1149" s="2"/>
      <c r="CF1149" s="4"/>
      <c r="CG1149" s="4"/>
      <c r="CI1149" s="2"/>
    </row>
    <row r="1150" spans="1:87" s="101" customFormat="1" x14ac:dyDescent="0.35">
      <c r="A1150" s="1"/>
      <c r="C1150" s="1"/>
      <c r="G1150" s="2"/>
      <c r="H1150" s="2"/>
      <c r="I1150" s="2"/>
      <c r="J1150" s="2"/>
      <c r="K1150" s="81"/>
      <c r="L1150" s="4"/>
      <c r="M1150" s="4"/>
      <c r="N1150" s="4"/>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3"/>
      <c r="AP1150" s="2"/>
      <c r="AQ1150" s="2"/>
      <c r="AR1150" s="2"/>
      <c r="AS1150" s="2"/>
      <c r="AT1150" s="2"/>
      <c r="AU1150" s="2"/>
      <c r="AV1150" s="2"/>
      <c r="AW1150" s="2"/>
      <c r="AX1150" s="2"/>
      <c r="AY1150" s="2"/>
      <c r="AZ1150" s="5"/>
      <c r="BA1150" s="2"/>
      <c r="BD1150" s="2"/>
      <c r="BE1150" s="2"/>
      <c r="BF1150" s="2"/>
      <c r="BG1150" s="2"/>
      <c r="BH1150" s="2"/>
      <c r="BI1150" s="2"/>
      <c r="BJ1150" s="2"/>
      <c r="BK1150" s="2"/>
      <c r="BM1150" s="2"/>
      <c r="BN1150" s="2"/>
      <c r="BO1150" s="2"/>
      <c r="BP1150" s="2"/>
      <c r="BQ1150" s="2"/>
      <c r="BR1150" s="6"/>
      <c r="BS1150" s="6"/>
      <c r="BT1150" s="2"/>
      <c r="BU1150" s="2"/>
      <c r="BV1150" s="2"/>
      <c r="BW1150" s="2"/>
      <c r="BX1150" s="2"/>
      <c r="BY1150" s="2"/>
      <c r="BZ1150" s="2"/>
      <c r="CA1150" s="2"/>
      <c r="CB1150" s="2"/>
      <c r="CC1150" s="2"/>
      <c r="CD1150" s="3"/>
      <c r="CE1150" s="2"/>
      <c r="CF1150" s="4"/>
      <c r="CG1150" s="4"/>
      <c r="CI1150" s="2"/>
    </row>
    <row r="1151" spans="1:87" s="101" customFormat="1" x14ac:dyDescent="0.35">
      <c r="A1151" s="1"/>
      <c r="C1151" s="1"/>
      <c r="G1151" s="2"/>
      <c r="H1151" s="2"/>
      <c r="I1151" s="2"/>
      <c r="J1151" s="2"/>
      <c r="K1151" s="81"/>
      <c r="L1151" s="4"/>
      <c r="M1151" s="4"/>
      <c r="N1151" s="4"/>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3"/>
      <c r="AP1151" s="2"/>
      <c r="AQ1151" s="2"/>
      <c r="AR1151" s="2"/>
      <c r="AS1151" s="2"/>
      <c r="AT1151" s="2"/>
      <c r="AU1151" s="2"/>
      <c r="AV1151" s="2"/>
      <c r="AW1151" s="2"/>
      <c r="AX1151" s="2"/>
      <c r="AY1151" s="2"/>
      <c r="AZ1151" s="5"/>
      <c r="BA1151" s="2"/>
      <c r="BD1151" s="2"/>
      <c r="BE1151" s="2"/>
      <c r="BF1151" s="2"/>
      <c r="BG1151" s="2"/>
      <c r="BH1151" s="2"/>
      <c r="BI1151" s="2"/>
      <c r="BJ1151" s="2"/>
      <c r="BK1151" s="2"/>
      <c r="BM1151" s="2"/>
      <c r="BN1151" s="2"/>
      <c r="BO1151" s="2"/>
      <c r="BP1151" s="2"/>
      <c r="BQ1151" s="2"/>
      <c r="BR1151" s="6"/>
      <c r="BS1151" s="6"/>
      <c r="BT1151" s="2"/>
      <c r="BU1151" s="2"/>
      <c r="BV1151" s="2"/>
      <c r="BW1151" s="2"/>
      <c r="BX1151" s="2"/>
      <c r="BY1151" s="2"/>
      <c r="BZ1151" s="2"/>
      <c r="CA1151" s="2"/>
      <c r="CB1151" s="2"/>
      <c r="CC1151" s="2"/>
      <c r="CD1151" s="3"/>
      <c r="CE1151" s="2"/>
      <c r="CF1151" s="4"/>
      <c r="CG1151" s="4"/>
      <c r="CI1151" s="2"/>
    </row>
    <row r="1152" spans="1:87" s="101" customFormat="1" x14ac:dyDescent="0.35">
      <c r="A1152" s="1"/>
      <c r="C1152" s="1"/>
      <c r="G1152" s="2"/>
      <c r="H1152" s="2"/>
      <c r="I1152" s="2"/>
      <c r="J1152" s="2"/>
      <c r="K1152" s="81"/>
      <c r="L1152" s="4"/>
      <c r="M1152" s="4"/>
      <c r="N1152" s="4"/>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3"/>
      <c r="AP1152" s="2"/>
      <c r="AQ1152" s="2"/>
      <c r="AR1152" s="2"/>
      <c r="AS1152" s="2"/>
      <c r="AT1152" s="2"/>
      <c r="AU1152" s="2"/>
      <c r="AV1152" s="2"/>
      <c r="AW1152" s="2"/>
      <c r="AX1152" s="2"/>
      <c r="AY1152" s="2"/>
      <c r="AZ1152" s="5"/>
      <c r="BA1152" s="2"/>
      <c r="BD1152" s="2"/>
      <c r="BE1152" s="2"/>
      <c r="BF1152" s="2"/>
      <c r="BG1152" s="2"/>
      <c r="BH1152" s="2"/>
      <c r="BI1152" s="2"/>
      <c r="BJ1152" s="2"/>
      <c r="BK1152" s="2"/>
      <c r="BM1152" s="2"/>
      <c r="BN1152" s="2"/>
      <c r="BO1152" s="2"/>
      <c r="BP1152" s="2"/>
      <c r="BQ1152" s="2"/>
      <c r="BR1152" s="6"/>
      <c r="BS1152" s="6"/>
      <c r="BT1152" s="2"/>
      <c r="BU1152" s="2"/>
      <c r="BV1152" s="2"/>
      <c r="BW1152" s="2"/>
      <c r="BX1152" s="2"/>
      <c r="BY1152" s="2"/>
      <c r="BZ1152" s="2"/>
      <c r="CA1152" s="2"/>
      <c r="CB1152" s="2"/>
      <c r="CC1152" s="2"/>
      <c r="CD1152" s="3"/>
      <c r="CE1152" s="2"/>
      <c r="CF1152" s="4"/>
      <c r="CG1152" s="4"/>
      <c r="CI1152" s="2"/>
    </row>
    <row r="1153" spans="1:87" s="101" customFormat="1" x14ac:dyDescent="0.35">
      <c r="A1153" s="1"/>
      <c r="C1153" s="1"/>
      <c r="G1153" s="2"/>
      <c r="H1153" s="2"/>
      <c r="I1153" s="2"/>
      <c r="J1153" s="2"/>
      <c r="K1153" s="81"/>
      <c r="L1153" s="4"/>
      <c r="M1153" s="4"/>
      <c r="N1153" s="4"/>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3"/>
      <c r="AP1153" s="2"/>
      <c r="AQ1153" s="2"/>
      <c r="AR1153" s="2"/>
      <c r="AS1153" s="2"/>
      <c r="AT1153" s="2"/>
      <c r="AU1153" s="2"/>
      <c r="AV1153" s="2"/>
      <c r="AW1153" s="2"/>
      <c r="AX1153" s="2"/>
      <c r="AY1153" s="2"/>
      <c r="AZ1153" s="5"/>
      <c r="BA1153" s="2"/>
      <c r="BD1153" s="2"/>
      <c r="BE1153" s="2"/>
      <c r="BF1153" s="2"/>
      <c r="BG1153" s="2"/>
      <c r="BH1153" s="2"/>
      <c r="BI1153" s="2"/>
      <c r="BJ1153" s="2"/>
      <c r="BK1153" s="2"/>
      <c r="BM1153" s="2"/>
      <c r="BN1153" s="2"/>
      <c r="BO1153" s="2"/>
      <c r="BP1153" s="2"/>
      <c r="BQ1153" s="2"/>
      <c r="BR1153" s="6"/>
      <c r="BS1153" s="6"/>
      <c r="BT1153" s="2"/>
      <c r="BU1153" s="2"/>
      <c r="BV1153" s="2"/>
      <c r="BW1153" s="2"/>
      <c r="BX1153" s="2"/>
      <c r="BY1153" s="2"/>
      <c r="BZ1153" s="2"/>
      <c r="CA1153" s="2"/>
      <c r="CB1153" s="2"/>
      <c r="CC1153" s="2"/>
      <c r="CD1153" s="3"/>
      <c r="CE1153" s="2"/>
      <c r="CF1153" s="4"/>
      <c r="CG1153" s="4"/>
      <c r="CI1153" s="2"/>
    </row>
    <row r="1154" spans="1:87" s="101" customFormat="1" x14ac:dyDescent="0.35">
      <c r="A1154" s="1"/>
      <c r="C1154" s="1"/>
      <c r="G1154" s="2"/>
      <c r="H1154" s="2"/>
      <c r="I1154" s="2"/>
      <c r="J1154" s="2"/>
      <c r="K1154" s="81"/>
      <c r="L1154" s="4"/>
      <c r="M1154" s="4"/>
      <c r="N1154" s="4"/>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3"/>
      <c r="AP1154" s="2"/>
      <c r="AQ1154" s="2"/>
      <c r="AR1154" s="2"/>
      <c r="AS1154" s="2"/>
      <c r="AT1154" s="2"/>
      <c r="AU1154" s="2"/>
      <c r="AV1154" s="2"/>
      <c r="AW1154" s="2"/>
      <c r="AX1154" s="2"/>
      <c r="AY1154" s="2"/>
      <c r="AZ1154" s="5"/>
      <c r="BA1154" s="2"/>
      <c r="BD1154" s="2"/>
      <c r="BE1154" s="2"/>
      <c r="BF1154" s="2"/>
      <c r="BG1154" s="2"/>
      <c r="BH1154" s="2"/>
      <c r="BI1154" s="2"/>
      <c r="BJ1154" s="2"/>
      <c r="BK1154" s="2"/>
      <c r="BM1154" s="2"/>
      <c r="BN1154" s="2"/>
      <c r="BO1154" s="2"/>
      <c r="BP1154" s="2"/>
      <c r="BQ1154" s="2"/>
      <c r="BR1154" s="6"/>
      <c r="BS1154" s="6"/>
      <c r="BT1154" s="2"/>
      <c r="BU1154" s="2"/>
      <c r="BV1154" s="2"/>
      <c r="BW1154" s="2"/>
      <c r="BX1154" s="2"/>
      <c r="BY1154" s="2"/>
      <c r="BZ1154" s="2"/>
      <c r="CA1154" s="2"/>
      <c r="CB1154" s="2"/>
      <c r="CC1154" s="2"/>
      <c r="CD1154" s="3"/>
      <c r="CE1154" s="2"/>
      <c r="CF1154" s="4"/>
      <c r="CG1154" s="4"/>
      <c r="CI1154" s="2"/>
    </row>
    <row r="1155" spans="1:87" s="101" customFormat="1" x14ac:dyDescent="0.35">
      <c r="A1155" s="1"/>
      <c r="C1155" s="1"/>
      <c r="G1155" s="2"/>
      <c r="H1155" s="2"/>
      <c r="I1155" s="2"/>
      <c r="J1155" s="2"/>
      <c r="K1155" s="81"/>
      <c r="L1155" s="4"/>
      <c r="M1155" s="4"/>
      <c r="N1155" s="4"/>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3"/>
      <c r="AP1155" s="2"/>
      <c r="AQ1155" s="2"/>
      <c r="AR1155" s="2"/>
      <c r="AS1155" s="2"/>
      <c r="AT1155" s="2"/>
      <c r="AU1155" s="2"/>
      <c r="AV1155" s="2"/>
      <c r="AW1155" s="2"/>
      <c r="AX1155" s="2"/>
      <c r="AY1155" s="2"/>
      <c r="AZ1155" s="5"/>
      <c r="BA1155" s="2"/>
      <c r="BD1155" s="2"/>
      <c r="BE1155" s="2"/>
      <c r="BF1155" s="2"/>
      <c r="BG1155" s="2"/>
      <c r="BH1155" s="2"/>
      <c r="BI1155" s="2"/>
      <c r="BJ1155" s="2"/>
      <c r="BK1155" s="2"/>
      <c r="BM1155" s="2"/>
      <c r="BN1155" s="2"/>
      <c r="BO1155" s="2"/>
      <c r="BP1155" s="2"/>
      <c r="BQ1155" s="2"/>
      <c r="BR1155" s="6"/>
      <c r="BS1155" s="6"/>
      <c r="BT1155" s="2"/>
      <c r="BU1155" s="2"/>
      <c r="BV1155" s="2"/>
      <c r="BW1155" s="2"/>
      <c r="BX1155" s="2"/>
      <c r="BY1155" s="2"/>
      <c r="BZ1155" s="2"/>
      <c r="CA1155" s="2"/>
      <c r="CB1155" s="2"/>
      <c r="CC1155" s="2"/>
      <c r="CD1155" s="3"/>
      <c r="CE1155" s="2"/>
      <c r="CF1155" s="4"/>
      <c r="CG1155" s="4"/>
      <c r="CI1155" s="2"/>
    </row>
    <row r="1156" spans="1:87" s="101" customFormat="1" x14ac:dyDescent="0.35">
      <c r="A1156" s="1"/>
      <c r="C1156" s="1"/>
      <c r="G1156" s="2"/>
      <c r="H1156" s="2"/>
      <c r="I1156" s="2"/>
      <c r="J1156" s="2"/>
      <c r="K1156" s="81"/>
      <c r="L1156" s="4"/>
      <c r="M1156" s="4"/>
      <c r="N1156" s="4"/>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3"/>
      <c r="AP1156" s="2"/>
      <c r="AQ1156" s="2"/>
      <c r="AR1156" s="2"/>
      <c r="AS1156" s="2"/>
      <c r="AT1156" s="2"/>
      <c r="AU1156" s="2"/>
      <c r="AV1156" s="2"/>
      <c r="AW1156" s="2"/>
      <c r="AX1156" s="2"/>
      <c r="AY1156" s="2"/>
      <c r="AZ1156" s="5"/>
      <c r="BA1156" s="2"/>
      <c r="BD1156" s="2"/>
      <c r="BE1156" s="2"/>
      <c r="BF1156" s="2"/>
      <c r="BG1156" s="2"/>
      <c r="BH1156" s="2"/>
      <c r="BI1156" s="2"/>
      <c r="BJ1156" s="2"/>
      <c r="BK1156" s="2"/>
      <c r="BM1156" s="2"/>
      <c r="BN1156" s="2"/>
      <c r="BO1156" s="2"/>
      <c r="BP1156" s="2"/>
      <c r="BQ1156" s="2"/>
      <c r="BR1156" s="6"/>
      <c r="BS1156" s="6"/>
      <c r="BT1156" s="2"/>
      <c r="BU1156" s="2"/>
      <c r="BV1156" s="2"/>
      <c r="BW1156" s="2"/>
      <c r="BX1156" s="2"/>
      <c r="BY1156" s="2"/>
      <c r="BZ1156" s="2"/>
      <c r="CA1156" s="2"/>
      <c r="CB1156" s="2"/>
      <c r="CC1156" s="2"/>
      <c r="CD1156" s="3"/>
      <c r="CE1156" s="2"/>
      <c r="CF1156" s="4"/>
      <c r="CG1156" s="4"/>
      <c r="CI1156" s="2"/>
    </row>
    <row r="1157" spans="1:87" s="101" customFormat="1" x14ac:dyDescent="0.35">
      <c r="A1157" s="1"/>
      <c r="C1157" s="1"/>
      <c r="G1157" s="2"/>
      <c r="H1157" s="2"/>
      <c r="I1157" s="2"/>
      <c r="J1157" s="2"/>
      <c r="K1157" s="81"/>
      <c r="L1157" s="4"/>
      <c r="M1157" s="4"/>
      <c r="N1157" s="4"/>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3"/>
      <c r="AP1157" s="2"/>
      <c r="AQ1157" s="2"/>
      <c r="AR1157" s="2"/>
      <c r="AS1157" s="2"/>
      <c r="AT1157" s="2"/>
      <c r="AU1157" s="2"/>
      <c r="AV1157" s="2"/>
      <c r="AW1157" s="2"/>
      <c r="AX1157" s="2"/>
      <c r="AY1157" s="2"/>
      <c r="AZ1157" s="5"/>
      <c r="BA1157" s="2"/>
      <c r="BD1157" s="2"/>
      <c r="BE1157" s="2"/>
      <c r="BF1157" s="2"/>
      <c r="BG1157" s="2"/>
      <c r="BH1157" s="2"/>
      <c r="BI1157" s="2"/>
      <c r="BJ1157" s="2"/>
      <c r="BK1157" s="2"/>
      <c r="BM1157" s="2"/>
      <c r="BN1157" s="2"/>
      <c r="BO1157" s="2"/>
      <c r="BP1157" s="2"/>
      <c r="BQ1157" s="2"/>
      <c r="BR1157" s="6"/>
      <c r="BS1157" s="6"/>
      <c r="BT1157" s="2"/>
      <c r="BU1157" s="2"/>
      <c r="BV1157" s="2"/>
      <c r="BW1157" s="2"/>
      <c r="BX1157" s="2"/>
      <c r="BY1157" s="2"/>
      <c r="BZ1157" s="2"/>
      <c r="CA1157" s="2"/>
      <c r="CB1157" s="2"/>
      <c r="CC1157" s="2"/>
      <c r="CD1157" s="3"/>
      <c r="CE1157" s="2"/>
      <c r="CF1157" s="4"/>
      <c r="CG1157" s="4"/>
      <c r="CI1157" s="2"/>
    </row>
    <row r="1158" spans="1:87" s="101" customFormat="1" x14ac:dyDescent="0.35">
      <c r="A1158" s="1"/>
      <c r="C1158" s="1"/>
      <c r="G1158" s="2"/>
      <c r="H1158" s="2"/>
      <c r="I1158" s="2"/>
      <c r="J1158" s="2"/>
      <c r="K1158" s="81"/>
      <c r="L1158" s="4"/>
      <c r="M1158" s="4"/>
      <c r="N1158" s="4"/>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3"/>
      <c r="AP1158" s="2"/>
      <c r="AQ1158" s="2"/>
      <c r="AR1158" s="2"/>
      <c r="AS1158" s="2"/>
      <c r="AT1158" s="2"/>
      <c r="AU1158" s="2"/>
      <c r="AV1158" s="2"/>
      <c r="AW1158" s="2"/>
      <c r="AX1158" s="2"/>
      <c r="AY1158" s="2"/>
      <c r="AZ1158" s="5"/>
      <c r="BA1158" s="2"/>
      <c r="BD1158" s="2"/>
      <c r="BE1158" s="2"/>
      <c r="BF1158" s="2"/>
      <c r="BG1158" s="2"/>
      <c r="BH1158" s="2"/>
      <c r="BI1158" s="2"/>
      <c r="BJ1158" s="2"/>
      <c r="BK1158" s="2"/>
      <c r="BM1158" s="2"/>
      <c r="BN1158" s="2"/>
      <c r="BO1158" s="2"/>
      <c r="BP1158" s="2"/>
      <c r="BQ1158" s="2"/>
      <c r="BR1158" s="6"/>
      <c r="BS1158" s="6"/>
      <c r="BT1158" s="2"/>
      <c r="BU1158" s="2"/>
      <c r="BV1158" s="2"/>
      <c r="BW1158" s="2"/>
      <c r="BX1158" s="2"/>
      <c r="BY1158" s="2"/>
      <c r="BZ1158" s="2"/>
      <c r="CA1158" s="2"/>
      <c r="CB1158" s="2"/>
      <c r="CC1158" s="2"/>
      <c r="CD1158" s="3"/>
      <c r="CE1158" s="2"/>
      <c r="CF1158" s="4"/>
      <c r="CG1158" s="4"/>
      <c r="CI1158" s="2"/>
    </row>
    <row r="1159" spans="1:87" s="101" customFormat="1" x14ac:dyDescent="0.35">
      <c r="A1159" s="1"/>
      <c r="C1159" s="1"/>
      <c r="G1159" s="2"/>
      <c r="H1159" s="2"/>
      <c r="I1159" s="2"/>
      <c r="J1159" s="2"/>
      <c r="K1159" s="81"/>
      <c r="L1159" s="4"/>
      <c r="M1159" s="4"/>
      <c r="N1159" s="4"/>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3"/>
      <c r="AP1159" s="2"/>
      <c r="AQ1159" s="2"/>
      <c r="AR1159" s="2"/>
      <c r="AS1159" s="2"/>
      <c r="AT1159" s="2"/>
      <c r="AU1159" s="2"/>
      <c r="AV1159" s="2"/>
      <c r="AW1159" s="2"/>
      <c r="AX1159" s="2"/>
      <c r="AY1159" s="2"/>
      <c r="AZ1159" s="5"/>
      <c r="BA1159" s="2"/>
      <c r="BD1159" s="2"/>
      <c r="BE1159" s="2"/>
      <c r="BF1159" s="2"/>
      <c r="BG1159" s="2"/>
      <c r="BH1159" s="2"/>
      <c r="BI1159" s="2"/>
      <c r="BJ1159" s="2"/>
      <c r="BK1159" s="2"/>
      <c r="BM1159" s="2"/>
      <c r="BN1159" s="2"/>
      <c r="BO1159" s="2"/>
      <c r="BP1159" s="2"/>
      <c r="BQ1159" s="2"/>
      <c r="BR1159" s="6"/>
      <c r="BS1159" s="6"/>
      <c r="BT1159" s="2"/>
      <c r="BU1159" s="2"/>
      <c r="BV1159" s="2"/>
      <c r="BW1159" s="2"/>
      <c r="BX1159" s="2"/>
      <c r="BY1159" s="2"/>
      <c r="BZ1159" s="2"/>
      <c r="CA1159" s="2"/>
      <c r="CB1159" s="2"/>
      <c r="CC1159" s="2"/>
      <c r="CD1159" s="3"/>
      <c r="CE1159" s="2"/>
      <c r="CF1159" s="4"/>
      <c r="CG1159" s="4"/>
      <c r="CI1159" s="2"/>
    </row>
    <row r="1160" spans="1:87" s="101" customFormat="1" x14ac:dyDescent="0.35">
      <c r="A1160" s="1"/>
      <c r="C1160" s="1"/>
      <c r="G1160" s="2"/>
      <c r="H1160" s="2"/>
      <c r="I1160" s="2"/>
      <c r="J1160" s="2"/>
      <c r="K1160" s="81"/>
      <c r="L1160" s="4"/>
      <c r="M1160" s="4"/>
      <c r="N1160" s="4"/>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3"/>
      <c r="AP1160" s="2"/>
      <c r="AQ1160" s="2"/>
      <c r="AR1160" s="2"/>
      <c r="AS1160" s="2"/>
      <c r="AT1160" s="2"/>
      <c r="AU1160" s="2"/>
      <c r="AV1160" s="2"/>
      <c r="AW1160" s="2"/>
      <c r="AX1160" s="2"/>
      <c r="AY1160" s="2"/>
      <c r="AZ1160" s="5"/>
      <c r="BA1160" s="2"/>
      <c r="BD1160" s="2"/>
      <c r="BE1160" s="2"/>
      <c r="BF1160" s="2"/>
      <c r="BG1160" s="2"/>
      <c r="BH1160" s="2"/>
      <c r="BI1160" s="2"/>
      <c r="BJ1160" s="2"/>
      <c r="BK1160" s="2"/>
      <c r="BM1160" s="2"/>
      <c r="BN1160" s="2"/>
      <c r="BO1160" s="2"/>
      <c r="BP1160" s="2"/>
      <c r="BQ1160" s="2"/>
      <c r="BR1160" s="6"/>
      <c r="BS1160" s="6"/>
      <c r="BT1160" s="2"/>
      <c r="BU1160" s="2"/>
      <c r="BV1160" s="2"/>
      <c r="BW1160" s="2"/>
      <c r="BX1160" s="2"/>
      <c r="BY1160" s="2"/>
      <c r="BZ1160" s="2"/>
      <c r="CA1160" s="2"/>
      <c r="CB1160" s="2"/>
      <c r="CC1160" s="2"/>
      <c r="CD1160" s="3"/>
      <c r="CE1160" s="2"/>
      <c r="CF1160" s="4"/>
      <c r="CG1160" s="4"/>
      <c r="CI1160" s="2"/>
    </row>
    <row r="1161" spans="1:87" s="101" customFormat="1" x14ac:dyDescent="0.35">
      <c r="A1161" s="1"/>
      <c r="C1161" s="1"/>
      <c r="G1161" s="2"/>
      <c r="H1161" s="2"/>
      <c r="I1161" s="2"/>
      <c r="J1161" s="2"/>
      <c r="K1161" s="81"/>
      <c r="L1161" s="4"/>
      <c r="M1161" s="4"/>
      <c r="N1161" s="4"/>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3"/>
      <c r="AP1161" s="2"/>
      <c r="AQ1161" s="2"/>
      <c r="AR1161" s="2"/>
      <c r="AS1161" s="2"/>
      <c r="AT1161" s="2"/>
      <c r="AU1161" s="2"/>
      <c r="AV1161" s="2"/>
      <c r="AW1161" s="2"/>
      <c r="AX1161" s="2"/>
      <c r="AY1161" s="2"/>
      <c r="AZ1161" s="5"/>
      <c r="BA1161" s="2"/>
      <c r="BD1161" s="2"/>
      <c r="BE1161" s="2"/>
      <c r="BF1161" s="2"/>
      <c r="BG1161" s="2"/>
      <c r="BH1161" s="2"/>
      <c r="BI1161" s="2"/>
      <c r="BJ1161" s="2"/>
      <c r="BK1161" s="2"/>
      <c r="BM1161" s="2"/>
      <c r="BN1161" s="2"/>
      <c r="BO1161" s="2"/>
      <c r="BP1161" s="2"/>
      <c r="BQ1161" s="2"/>
      <c r="BR1161" s="6"/>
      <c r="BS1161" s="6"/>
      <c r="BT1161" s="2"/>
      <c r="BU1161" s="2"/>
      <c r="BV1161" s="2"/>
      <c r="BW1161" s="2"/>
      <c r="BX1161" s="2"/>
      <c r="BY1161" s="2"/>
      <c r="BZ1161" s="2"/>
      <c r="CA1161" s="2"/>
      <c r="CB1161" s="2"/>
      <c r="CC1161" s="2"/>
      <c r="CD1161" s="3"/>
      <c r="CE1161" s="2"/>
      <c r="CF1161" s="4"/>
      <c r="CG1161" s="4"/>
      <c r="CI1161" s="2"/>
    </row>
    <row r="1162" spans="1:87" s="101" customFormat="1" x14ac:dyDescent="0.35">
      <c r="A1162" s="1"/>
      <c r="C1162" s="1"/>
      <c r="G1162" s="2"/>
      <c r="H1162" s="2"/>
      <c r="I1162" s="2"/>
      <c r="J1162" s="2"/>
      <c r="K1162" s="81"/>
      <c r="L1162" s="4"/>
      <c r="M1162" s="4"/>
      <c r="N1162" s="4"/>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3"/>
      <c r="AP1162" s="2"/>
      <c r="AQ1162" s="2"/>
      <c r="AR1162" s="2"/>
      <c r="AS1162" s="2"/>
      <c r="AT1162" s="2"/>
      <c r="AU1162" s="2"/>
      <c r="AV1162" s="2"/>
      <c r="AW1162" s="2"/>
      <c r="AX1162" s="2"/>
      <c r="AY1162" s="2"/>
      <c r="AZ1162" s="5"/>
      <c r="BA1162" s="2"/>
      <c r="BD1162" s="2"/>
      <c r="BE1162" s="2"/>
      <c r="BF1162" s="2"/>
      <c r="BG1162" s="2"/>
      <c r="BH1162" s="2"/>
      <c r="BI1162" s="2"/>
      <c r="BJ1162" s="2"/>
      <c r="BK1162" s="2"/>
      <c r="BM1162" s="2"/>
      <c r="BN1162" s="2"/>
      <c r="BO1162" s="2"/>
      <c r="BP1162" s="2"/>
      <c r="BQ1162" s="2"/>
      <c r="BR1162" s="6"/>
      <c r="BS1162" s="6"/>
      <c r="BT1162" s="2"/>
      <c r="BU1162" s="2"/>
      <c r="BV1162" s="2"/>
      <c r="BW1162" s="2"/>
      <c r="BX1162" s="2"/>
      <c r="BY1162" s="2"/>
      <c r="BZ1162" s="2"/>
      <c r="CA1162" s="2"/>
      <c r="CB1162" s="2"/>
      <c r="CC1162" s="2"/>
      <c r="CD1162" s="3"/>
      <c r="CE1162" s="2"/>
      <c r="CF1162" s="4"/>
      <c r="CG1162" s="4"/>
      <c r="CI1162" s="2"/>
    </row>
    <row r="1163" spans="1:87" s="101" customFormat="1" x14ac:dyDescent="0.35">
      <c r="A1163" s="1"/>
      <c r="C1163" s="1"/>
      <c r="G1163" s="2"/>
      <c r="H1163" s="2"/>
      <c r="I1163" s="2"/>
      <c r="J1163" s="2"/>
      <c r="K1163" s="81"/>
      <c r="L1163" s="4"/>
      <c r="M1163" s="4"/>
      <c r="N1163" s="4"/>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3"/>
      <c r="AP1163" s="2"/>
      <c r="AQ1163" s="2"/>
      <c r="AR1163" s="2"/>
      <c r="AS1163" s="2"/>
      <c r="AT1163" s="2"/>
      <c r="AU1163" s="2"/>
      <c r="AV1163" s="2"/>
      <c r="AW1163" s="2"/>
      <c r="AX1163" s="2"/>
      <c r="AY1163" s="2"/>
      <c r="AZ1163" s="5"/>
      <c r="BA1163" s="2"/>
      <c r="BD1163" s="2"/>
      <c r="BE1163" s="2"/>
      <c r="BF1163" s="2"/>
      <c r="BG1163" s="2"/>
      <c r="BH1163" s="2"/>
      <c r="BI1163" s="2"/>
      <c r="BJ1163" s="2"/>
      <c r="BK1163" s="2"/>
      <c r="BM1163" s="2"/>
      <c r="BN1163" s="2"/>
      <c r="BO1163" s="2"/>
      <c r="BP1163" s="2"/>
      <c r="BQ1163" s="2"/>
      <c r="BR1163" s="6"/>
      <c r="BS1163" s="6"/>
      <c r="BT1163" s="2"/>
      <c r="BU1163" s="2"/>
      <c r="BV1163" s="2"/>
      <c r="BW1163" s="2"/>
      <c r="BX1163" s="2"/>
      <c r="BY1163" s="2"/>
      <c r="BZ1163" s="2"/>
      <c r="CA1163" s="2"/>
      <c r="CB1163" s="2"/>
      <c r="CC1163" s="2"/>
      <c r="CD1163" s="3"/>
      <c r="CE1163" s="2"/>
      <c r="CF1163" s="4"/>
      <c r="CG1163" s="4"/>
      <c r="CI1163" s="2"/>
    </row>
    <row r="1164" spans="1:87" s="101" customFormat="1" x14ac:dyDescent="0.35">
      <c r="A1164" s="1"/>
      <c r="C1164" s="1"/>
      <c r="G1164" s="2"/>
      <c r="H1164" s="2"/>
      <c r="I1164" s="2"/>
      <c r="J1164" s="2"/>
      <c r="K1164" s="81"/>
      <c r="L1164" s="4"/>
      <c r="M1164" s="4"/>
      <c r="N1164" s="4"/>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3"/>
      <c r="AP1164" s="2"/>
      <c r="AQ1164" s="2"/>
      <c r="AR1164" s="2"/>
      <c r="AS1164" s="2"/>
      <c r="AT1164" s="2"/>
      <c r="AU1164" s="2"/>
      <c r="AV1164" s="2"/>
      <c r="AW1164" s="2"/>
      <c r="AX1164" s="2"/>
      <c r="AY1164" s="2"/>
      <c r="AZ1164" s="5"/>
      <c r="BA1164" s="2"/>
      <c r="BD1164" s="2"/>
      <c r="BE1164" s="2"/>
      <c r="BF1164" s="2"/>
      <c r="BG1164" s="2"/>
      <c r="BH1164" s="2"/>
      <c r="BI1164" s="2"/>
      <c r="BJ1164" s="2"/>
      <c r="BK1164" s="2"/>
      <c r="BM1164" s="2"/>
      <c r="BN1164" s="2"/>
      <c r="BO1164" s="2"/>
      <c r="BP1164" s="2"/>
      <c r="BQ1164" s="2"/>
      <c r="BR1164" s="6"/>
      <c r="BS1164" s="6"/>
      <c r="BT1164" s="2"/>
      <c r="BU1164" s="2"/>
      <c r="BV1164" s="2"/>
      <c r="BW1164" s="2"/>
      <c r="BX1164" s="2"/>
      <c r="BY1164" s="2"/>
      <c r="BZ1164" s="2"/>
      <c r="CA1164" s="2"/>
      <c r="CB1164" s="2"/>
      <c r="CC1164" s="2"/>
      <c r="CD1164" s="3"/>
      <c r="CE1164" s="2"/>
      <c r="CF1164" s="4"/>
      <c r="CG1164" s="4"/>
      <c r="CI1164" s="2"/>
    </row>
    <row r="1165" spans="1:87" s="101" customFormat="1" x14ac:dyDescent="0.35">
      <c r="A1165" s="1"/>
      <c r="C1165" s="1"/>
      <c r="G1165" s="2"/>
      <c r="H1165" s="2"/>
      <c r="I1165" s="2"/>
      <c r="J1165" s="2"/>
      <c r="K1165" s="81"/>
      <c r="L1165" s="4"/>
      <c r="M1165" s="4"/>
      <c r="N1165" s="4"/>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3"/>
      <c r="AP1165" s="2"/>
      <c r="AQ1165" s="2"/>
      <c r="AR1165" s="2"/>
      <c r="AS1165" s="2"/>
      <c r="AT1165" s="2"/>
      <c r="AU1165" s="2"/>
      <c r="AV1165" s="2"/>
      <c r="AW1165" s="2"/>
      <c r="AX1165" s="2"/>
      <c r="AY1165" s="2"/>
      <c r="AZ1165" s="5"/>
      <c r="BA1165" s="2"/>
      <c r="BD1165" s="2"/>
      <c r="BE1165" s="2"/>
      <c r="BF1165" s="2"/>
      <c r="BG1165" s="2"/>
      <c r="BH1165" s="2"/>
      <c r="BI1165" s="2"/>
      <c r="BJ1165" s="2"/>
      <c r="BK1165" s="2"/>
      <c r="BM1165" s="2"/>
      <c r="BN1165" s="2"/>
      <c r="BO1165" s="2"/>
      <c r="BP1165" s="2"/>
      <c r="BQ1165" s="2"/>
      <c r="BR1165" s="6"/>
      <c r="BS1165" s="6"/>
      <c r="BT1165" s="2"/>
      <c r="BU1165" s="2"/>
      <c r="BV1165" s="2"/>
      <c r="BW1165" s="2"/>
      <c r="BX1165" s="2"/>
      <c r="BY1165" s="2"/>
      <c r="BZ1165" s="2"/>
      <c r="CA1165" s="2"/>
      <c r="CB1165" s="2"/>
      <c r="CC1165" s="2"/>
      <c r="CD1165" s="3"/>
      <c r="CE1165" s="2"/>
      <c r="CF1165" s="4"/>
      <c r="CG1165" s="4"/>
      <c r="CI1165" s="2"/>
    </row>
    <row r="1166" spans="1:87" s="101" customFormat="1" x14ac:dyDescent="0.35">
      <c r="A1166" s="1"/>
      <c r="C1166" s="1"/>
      <c r="G1166" s="2"/>
      <c r="H1166" s="2"/>
      <c r="I1166" s="2"/>
      <c r="J1166" s="2"/>
      <c r="K1166" s="81"/>
      <c r="L1166" s="4"/>
      <c r="M1166" s="4"/>
      <c r="N1166" s="4"/>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3"/>
      <c r="AP1166" s="2"/>
      <c r="AQ1166" s="2"/>
      <c r="AR1166" s="2"/>
      <c r="AS1166" s="2"/>
      <c r="AT1166" s="2"/>
      <c r="AU1166" s="2"/>
      <c r="AV1166" s="2"/>
      <c r="AW1166" s="2"/>
      <c r="AX1166" s="2"/>
      <c r="AY1166" s="2"/>
      <c r="AZ1166" s="5"/>
      <c r="BA1166" s="2"/>
      <c r="BD1166" s="2"/>
      <c r="BE1166" s="2"/>
      <c r="BF1166" s="2"/>
      <c r="BG1166" s="2"/>
      <c r="BH1166" s="2"/>
      <c r="BI1166" s="2"/>
      <c r="BJ1166" s="2"/>
      <c r="BK1166" s="2"/>
      <c r="BM1166" s="2"/>
      <c r="BN1166" s="2"/>
      <c r="BO1166" s="2"/>
      <c r="BP1166" s="2"/>
      <c r="BQ1166" s="2"/>
      <c r="BR1166" s="6"/>
      <c r="BS1166" s="6"/>
      <c r="BT1166" s="2"/>
      <c r="BU1166" s="2"/>
      <c r="BV1166" s="2"/>
      <c r="BW1166" s="2"/>
      <c r="BX1166" s="2"/>
      <c r="BY1166" s="2"/>
      <c r="BZ1166" s="2"/>
      <c r="CA1166" s="2"/>
      <c r="CB1166" s="2"/>
      <c r="CC1166" s="2"/>
      <c r="CD1166" s="3"/>
      <c r="CE1166" s="2"/>
      <c r="CF1166" s="4"/>
      <c r="CG1166" s="4"/>
      <c r="CI1166" s="2"/>
    </row>
    <row r="1167" spans="1:87" s="101" customFormat="1" x14ac:dyDescent="0.35">
      <c r="A1167" s="1"/>
      <c r="C1167" s="1"/>
      <c r="G1167" s="2"/>
      <c r="H1167" s="2"/>
      <c r="I1167" s="2"/>
      <c r="J1167" s="2"/>
      <c r="K1167" s="81"/>
      <c r="L1167" s="4"/>
      <c r="M1167" s="4"/>
      <c r="N1167" s="4"/>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3"/>
      <c r="AP1167" s="2"/>
      <c r="AQ1167" s="2"/>
      <c r="AR1167" s="2"/>
      <c r="AS1167" s="2"/>
      <c r="AT1167" s="2"/>
      <c r="AU1167" s="2"/>
      <c r="AV1167" s="2"/>
      <c r="AW1167" s="2"/>
      <c r="AX1167" s="2"/>
      <c r="AY1167" s="2"/>
      <c r="AZ1167" s="5"/>
      <c r="BA1167" s="2"/>
      <c r="BD1167" s="2"/>
      <c r="BE1167" s="2"/>
      <c r="BF1167" s="2"/>
      <c r="BG1167" s="2"/>
      <c r="BH1167" s="2"/>
      <c r="BI1167" s="2"/>
      <c r="BJ1167" s="2"/>
      <c r="BK1167" s="2"/>
      <c r="BM1167" s="2"/>
      <c r="BN1167" s="2"/>
      <c r="BO1167" s="2"/>
      <c r="BP1167" s="2"/>
      <c r="BQ1167" s="2"/>
      <c r="BR1167" s="6"/>
      <c r="BS1167" s="6"/>
      <c r="BT1167" s="2"/>
      <c r="BU1167" s="2"/>
      <c r="BV1167" s="2"/>
      <c r="BW1167" s="2"/>
      <c r="BX1167" s="2"/>
      <c r="BY1167" s="2"/>
      <c r="BZ1167" s="2"/>
      <c r="CA1167" s="2"/>
      <c r="CB1167" s="2"/>
      <c r="CC1167" s="2"/>
      <c r="CD1167" s="3"/>
      <c r="CE1167" s="2"/>
      <c r="CF1167" s="4"/>
      <c r="CG1167" s="4"/>
      <c r="CI1167" s="2"/>
    </row>
    <row r="1168" spans="1:87" s="101" customFormat="1" x14ac:dyDescent="0.35">
      <c r="A1168" s="1"/>
      <c r="C1168" s="1"/>
      <c r="G1168" s="2"/>
      <c r="H1168" s="2"/>
      <c r="I1168" s="2"/>
      <c r="J1168" s="2"/>
      <c r="K1168" s="81"/>
      <c r="L1168" s="4"/>
      <c r="M1168" s="4"/>
      <c r="N1168" s="4"/>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3"/>
      <c r="AP1168" s="2"/>
      <c r="AQ1168" s="2"/>
      <c r="AR1168" s="2"/>
      <c r="AS1168" s="2"/>
      <c r="AT1168" s="2"/>
      <c r="AU1168" s="2"/>
      <c r="AV1168" s="2"/>
      <c r="AW1168" s="2"/>
      <c r="AX1168" s="2"/>
      <c r="AY1168" s="2"/>
      <c r="AZ1168" s="5"/>
      <c r="BA1168" s="2"/>
      <c r="BD1168" s="2"/>
      <c r="BE1168" s="2"/>
      <c r="BF1168" s="2"/>
      <c r="BG1168" s="2"/>
      <c r="BH1168" s="2"/>
      <c r="BI1168" s="2"/>
      <c r="BJ1168" s="2"/>
      <c r="BK1168" s="2"/>
      <c r="BM1168" s="2"/>
      <c r="BN1168" s="2"/>
      <c r="BO1168" s="2"/>
      <c r="BP1168" s="2"/>
      <c r="BQ1168" s="2"/>
      <c r="BR1168" s="6"/>
      <c r="BS1168" s="6"/>
      <c r="BT1168" s="2"/>
      <c r="BU1168" s="2"/>
      <c r="BV1168" s="2"/>
      <c r="BW1168" s="2"/>
      <c r="BX1168" s="2"/>
      <c r="BY1168" s="2"/>
      <c r="BZ1168" s="2"/>
      <c r="CA1168" s="2"/>
      <c r="CB1168" s="2"/>
      <c r="CC1168" s="2"/>
      <c r="CD1168" s="3"/>
      <c r="CE1168" s="2"/>
      <c r="CF1168" s="4"/>
      <c r="CG1168" s="4"/>
      <c r="CI1168" s="2"/>
    </row>
    <row r="1169" spans="1:87" s="101" customFormat="1" x14ac:dyDescent="0.35">
      <c r="A1169" s="1"/>
      <c r="C1169" s="1"/>
      <c r="G1169" s="2"/>
      <c r="H1169" s="2"/>
      <c r="I1169" s="2"/>
      <c r="J1169" s="2"/>
      <c r="K1169" s="81"/>
      <c r="L1169" s="4"/>
      <c r="M1169" s="4"/>
      <c r="N1169" s="4"/>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3"/>
      <c r="AP1169" s="2"/>
      <c r="AQ1169" s="2"/>
      <c r="AR1169" s="2"/>
      <c r="AS1169" s="2"/>
      <c r="AT1169" s="2"/>
      <c r="AU1169" s="2"/>
      <c r="AV1169" s="2"/>
      <c r="AW1169" s="2"/>
      <c r="AX1169" s="2"/>
      <c r="AY1169" s="2"/>
      <c r="AZ1169" s="5"/>
      <c r="BA1169" s="2"/>
      <c r="BD1169" s="2"/>
      <c r="BE1169" s="2"/>
      <c r="BF1169" s="2"/>
      <c r="BG1169" s="2"/>
      <c r="BH1169" s="2"/>
      <c r="BI1169" s="2"/>
      <c r="BJ1169" s="2"/>
      <c r="BK1169" s="2"/>
      <c r="BM1169" s="2"/>
      <c r="BN1169" s="2"/>
      <c r="BO1169" s="2"/>
      <c r="BP1169" s="2"/>
      <c r="BQ1169" s="2"/>
      <c r="BR1169" s="6"/>
      <c r="BS1169" s="6"/>
      <c r="BT1169" s="2"/>
      <c r="BU1169" s="2"/>
      <c r="BV1169" s="2"/>
      <c r="BW1169" s="2"/>
      <c r="BX1169" s="2"/>
      <c r="BY1169" s="2"/>
      <c r="BZ1169" s="2"/>
      <c r="CA1169" s="2"/>
      <c r="CB1169" s="2"/>
      <c r="CC1169" s="2"/>
      <c r="CD1169" s="3"/>
      <c r="CE1169" s="2"/>
      <c r="CF1169" s="4"/>
      <c r="CG1169" s="4"/>
      <c r="CI1169" s="2"/>
    </row>
    <row r="1170" spans="1:87" s="101" customFormat="1" x14ac:dyDescent="0.35">
      <c r="A1170" s="1"/>
      <c r="C1170" s="1"/>
      <c r="G1170" s="2"/>
      <c r="H1170" s="2"/>
      <c r="I1170" s="2"/>
      <c r="J1170" s="2"/>
      <c r="K1170" s="81"/>
      <c r="L1170" s="4"/>
      <c r="M1170" s="4"/>
      <c r="N1170" s="4"/>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3"/>
      <c r="AP1170" s="2"/>
      <c r="AQ1170" s="2"/>
      <c r="AR1170" s="2"/>
      <c r="AS1170" s="2"/>
      <c r="AT1170" s="2"/>
      <c r="AU1170" s="2"/>
      <c r="AV1170" s="2"/>
      <c r="AW1170" s="2"/>
      <c r="AX1170" s="2"/>
      <c r="AY1170" s="2"/>
      <c r="AZ1170" s="5"/>
      <c r="BA1170" s="2"/>
      <c r="BD1170" s="2"/>
      <c r="BE1170" s="2"/>
      <c r="BF1170" s="2"/>
      <c r="BG1170" s="2"/>
      <c r="BH1170" s="2"/>
      <c r="BI1170" s="2"/>
      <c r="BJ1170" s="2"/>
      <c r="BK1170" s="2"/>
      <c r="BM1170" s="2"/>
      <c r="BN1170" s="2"/>
      <c r="BO1170" s="2"/>
      <c r="BP1170" s="2"/>
      <c r="BQ1170" s="2"/>
      <c r="BR1170" s="6"/>
      <c r="BS1170" s="6"/>
      <c r="BT1170" s="2"/>
      <c r="BU1170" s="2"/>
      <c r="BV1170" s="2"/>
      <c r="BW1170" s="2"/>
      <c r="BX1170" s="2"/>
      <c r="BY1170" s="2"/>
      <c r="BZ1170" s="2"/>
      <c r="CA1170" s="2"/>
      <c r="CB1170" s="2"/>
      <c r="CC1170" s="2"/>
      <c r="CD1170" s="3"/>
      <c r="CE1170" s="2"/>
      <c r="CF1170" s="4"/>
      <c r="CG1170" s="4"/>
      <c r="CI1170" s="2"/>
    </row>
    <row r="1171" spans="1:87" s="101" customFormat="1" x14ac:dyDescent="0.35">
      <c r="A1171" s="1"/>
      <c r="C1171" s="1"/>
      <c r="G1171" s="2"/>
      <c r="H1171" s="2"/>
      <c r="I1171" s="2"/>
      <c r="J1171" s="2"/>
      <c r="K1171" s="81"/>
      <c r="L1171" s="4"/>
      <c r="M1171" s="4"/>
      <c r="N1171" s="4"/>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3"/>
      <c r="AP1171" s="2"/>
      <c r="AQ1171" s="2"/>
      <c r="AR1171" s="2"/>
      <c r="AS1171" s="2"/>
      <c r="AT1171" s="2"/>
      <c r="AU1171" s="2"/>
      <c r="AV1171" s="2"/>
      <c r="AW1171" s="2"/>
      <c r="AX1171" s="2"/>
      <c r="AY1171" s="2"/>
      <c r="AZ1171" s="5"/>
      <c r="BA1171" s="2"/>
      <c r="BD1171" s="2"/>
      <c r="BE1171" s="2"/>
      <c r="BF1171" s="2"/>
      <c r="BG1171" s="2"/>
      <c r="BH1171" s="2"/>
      <c r="BI1171" s="2"/>
      <c r="BJ1171" s="2"/>
      <c r="BK1171" s="2"/>
      <c r="BM1171" s="2"/>
      <c r="BN1171" s="2"/>
      <c r="BO1171" s="2"/>
      <c r="BP1171" s="2"/>
      <c r="BQ1171" s="2"/>
      <c r="BR1171" s="6"/>
      <c r="BS1171" s="6"/>
      <c r="BT1171" s="2"/>
      <c r="BU1171" s="2"/>
      <c r="BV1171" s="2"/>
      <c r="BW1171" s="2"/>
      <c r="BX1171" s="2"/>
      <c r="BY1171" s="2"/>
      <c r="BZ1171" s="2"/>
      <c r="CA1171" s="2"/>
      <c r="CB1171" s="2"/>
      <c r="CC1171" s="2"/>
      <c r="CD1171" s="3"/>
      <c r="CE1171" s="2"/>
      <c r="CF1171" s="4"/>
      <c r="CG1171" s="4"/>
      <c r="CI1171" s="2"/>
    </row>
    <row r="1172" spans="1:87" s="101" customFormat="1" x14ac:dyDescent="0.35">
      <c r="A1172" s="1"/>
      <c r="C1172" s="1"/>
      <c r="G1172" s="2"/>
      <c r="H1172" s="2"/>
      <c r="I1172" s="2"/>
      <c r="J1172" s="2"/>
      <c r="K1172" s="81"/>
      <c r="L1172" s="4"/>
      <c r="M1172" s="4"/>
      <c r="N1172" s="4"/>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3"/>
      <c r="AP1172" s="2"/>
      <c r="AQ1172" s="2"/>
      <c r="AR1172" s="2"/>
      <c r="AS1172" s="2"/>
      <c r="AT1172" s="2"/>
      <c r="AU1172" s="2"/>
      <c r="AV1172" s="2"/>
      <c r="AW1172" s="2"/>
      <c r="AX1172" s="2"/>
      <c r="AY1172" s="2"/>
      <c r="AZ1172" s="5"/>
      <c r="BA1172" s="2"/>
      <c r="BD1172" s="2"/>
      <c r="BE1172" s="2"/>
      <c r="BF1172" s="2"/>
      <c r="BG1172" s="2"/>
      <c r="BH1172" s="2"/>
      <c r="BI1172" s="2"/>
      <c r="BJ1172" s="2"/>
      <c r="BK1172" s="2"/>
      <c r="BM1172" s="2"/>
      <c r="BN1172" s="2"/>
      <c r="BO1172" s="2"/>
      <c r="BP1172" s="2"/>
      <c r="BQ1172" s="2"/>
      <c r="BR1172" s="6"/>
      <c r="BS1172" s="6"/>
      <c r="BT1172" s="2"/>
      <c r="BU1172" s="2"/>
      <c r="BV1172" s="2"/>
      <c r="BW1172" s="2"/>
      <c r="BX1172" s="2"/>
      <c r="BY1172" s="2"/>
      <c r="BZ1172" s="2"/>
      <c r="CA1172" s="2"/>
      <c r="CB1172" s="2"/>
      <c r="CC1172" s="2"/>
      <c r="CD1172" s="3"/>
      <c r="CE1172" s="2"/>
      <c r="CF1172" s="4"/>
      <c r="CG1172" s="4"/>
      <c r="CI1172" s="2"/>
    </row>
    <row r="1173" spans="1:87" s="101" customFormat="1" x14ac:dyDescent="0.35">
      <c r="A1173" s="1"/>
      <c r="C1173" s="1"/>
      <c r="G1173" s="2"/>
      <c r="H1173" s="2"/>
      <c r="I1173" s="2"/>
      <c r="J1173" s="2"/>
      <c r="K1173" s="81"/>
      <c r="L1173" s="4"/>
      <c r="M1173" s="4"/>
      <c r="N1173" s="4"/>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3"/>
      <c r="AP1173" s="2"/>
      <c r="AQ1173" s="2"/>
      <c r="AR1173" s="2"/>
      <c r="AS1173" s="2"/>
      <c r="AT1173" s="2"/>
      <c r="AU1173" s="2"/>
      <c r="AV1173" s="2"/>
      <c r="AW1173" s="2"/>
      <c r="AX1173" s="2"/>
      <c r="AY1173" s="2"/>
      <c r="AZ1173" s="5"/>
      <c r="BA1173" s="2"/>
      <c r="BD1173" s="2"/>
      <c r="BE1173" s="2"/>
      <c r="BF1173" s="2"/>
      <c r="BG1173" s="2"/>
      <c r="BH1173" s="2"/>
      <c r="BI1173" s="2"/>
      <c r="BJ1173" s="2"/>
      <c r="BK1173" s="2"/>
      <c r="BM1173" s="2"/>
      <c r="BN1173" s="2"/>
      <c r="BO1173" s="2"/>
      <c r="BP1173" s="2"/>
      <c r="BQ1173" s="2"/>
      <c r="BR1173" s="6"/>
      <c r="BS1173" s="6"/>
      <c r="BT1173" s="2"/>
      <c r="BU1173" s="2"/>
      <c r="BV1173" s="2"/>
      <c r="BW1173" s="2"/>
      <c r="BX1173" s="2"/>
      <c r="BY1173" s="2"/>
      <c r="BZ1173" s="2"/>
      <c r="CA1173" s="2"/>
      <c r="CB1173" s="2"/>
      <c r="CC1173" s="2"/>
      <c r="CD1173" s="3"/>
      <c r="CE1173" s="2"/>
      <c r="CF1173" s="4"/>
      <c r="CG1173" s="4"/>
      <c r="CI1173" s="2"/>
    </row>
    <row r="1174" spans="1:87" s="101" customFormat="1" x14ac:dyDescent="0.35">
      <c r="A1174" s="1"/>
      <c r="C1174" s="1"/>
      <c r="G1174" s="2"/>
      <c r="H1174" s="2"/>
      <c r="I1174" s="2"/>
      <c r="J1174" s="2"/>
      <c r="K1174" s="81"/>
      <c r="L1174" s="4"/>
      <c r="M1174" s="4"/>
      <c r="N1174" s="4"/>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3"/>
      <c r="AP1174" s="2"/>
      <c r="AQ1174" s="2"/>
      <c r="AR1174" s="2"/>
      <c r="AS1174" s="2"/>
      <c r="AT1174" s="2"/>
      <c r="AU1174" s="2"/>
      <c r="AV1174" s="2"/>
      <c r="AW1174" s="2"/>
      <c r="AX1174" s="2"/>
      <c r="AY1174" s="2"/>
      <c r="AZ1174" s="5"/>
      <c r="BA1174" s="2"/>
      <c r="BD1174" s="2"/>
      <c r="BE1174" s="2"/>
      <c r="BF1174" s="2"/>
      <c r="BG1174" s="2"/>
      <c r="BH1174" s="2"/>
      <c r="BI1174" s="2"/>
      <c r="BJ1174" s="2"/>
      <c r="BK1174" s="2"/>
      <c r="BM1174" s="2"/>
      <c r="BN1174" s="2"/>
      <c r="BO1174" s="2"/>
      <c r="BP1174" s="2"/>
      <c r="BQ1174" s="2"/>
      <c r="BR1174" s="6"/>
      <c r="BS1174" s="6"/>
      <c r="BT1174" s="2"/>
      <c r="BU1174" s="2"/>
      <c r="BV1174" s="2"/>
      <c r="BW1174" s="2"/>
      <c r="BX1174" s="2"/>
      <c r="BY1174" s="2"/>
      <c r="BZ1174" s="2"/>
      <c r="CA1174" s="2"/>
      <c r="CB1174" s="2"/>
      <c r="CC1174" s="2"/>
      <c r="CD1174" s="3"/>
      <c r="CE1174" s="2"/>
      <c r="CF1174" s="4"/>
      <c r="CG1174" s="4"/>
      <c r="CI1174" s="2"/>
    </row>
    <row r="1175" spans="1:87" s="101" customFormat="1" x14ac:dyDescent="0.35">
      <c r="A1175" s="1"/>
      <c r="C1175" s="1"/>
      <c r="G1175" s="2"/>
      <c r="H1175" s="2"/>
      <c r="I1175" s="2"/>
      <c r="J1175" s="2"/>
      <c r="K1175" s="81"/>
      <c r="L1175" s="4"/>
      <c r="M1175" s="4"/>
      <c r="N1175" s="4"/>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3"/>
      <c r="AP1175" s="2"/>
      <c r="AQ1175" s="2"/>
      <c r="AR1175" s="2"/>
      <c r="AS1175" s="2"/>
      <c r="AT1175" s="2"/>
      <c r="AU1175" s="2"/>
      <c r="AV1175" s="2"/>
      <c r="AW1175" s="2"/>
      <c r="AX1175" s="2"/>
      <c r="AY1175" s="2"/>
      <c r="AZ1175" s="5"/>
      <c r="BA1175" s="2"/>
      <c r="BD1175" s="2"/>
      <c r="BE1175" s="2"/>
      <c r="BF1175" s="2"/>
      <c r="BG1175" s="2"/>
      <c r="BH1175" s="2"/>
      <c r="BI1175" s="2"/>
      <c r="BJ1175" s="2"/>
      <c r="BK1175" s="2"/>
      <c r="BM1175" s="2"/>
      <c r="BN1175" s="2"/>
      <c r="BO1175" s="2"/>
      <c r="BP1175" s="2"/>
      <c r="BQ1175" s="2"/>
      <c r="BR1175" s="6"/>
      <c r="BS1175" s="6"/>
      <c r="BT1175" s="2"/>
      <c r="BU1175" s="2"/>
      <c r="BV1175" s="2"/>
      <c r="BW1175" s="2"/>
      <c r="BX1175" s="2"/>
      <c r="BY1175" s="2"/>
      <c r="BZ1175" s="2"/>
      <c r="CA1175" s="2"/>
      <c r="CB1175" s="2"/>
      <c r="CC1175" s="2"/>
      <c r="CD1175" s="3"/>
      <c r="CE1175" s="2"/>
      <c r="CF1175" s="4"/>
      <c r="CG1175" s="4"/>
      <c r="CI1175" s="2"/>
    </row>
    <row r="1176" spans="1:87" s="101" customFormat="1" x14ac:dyDescent="0.35">
      <c r="A1176" s="1"/>
      <c r="C1176" s="1"/>
      <c r="G1176" s="2"/>
      <c r="H1176" s="2"/>
      <c r="I1176" s="2"/>
      <c r="J1176" s="2"/>
      <c r="K1176" s="81"/>
      <c r="L1176" s="4"/>
      <c r="M1176" s="4"/>
      <c r="N1176" s="4"/>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3"/>
      <c r="AP1176" s="2"/>
      <c r="AQ1176" s="2"/>
      <c r="AR1176" s="2"/>
      <c r="AS1176" s="2"/>
      <c r="AT1176" s="2"/>
      <c r="AU1176" s="2"/>
      <c r="AV1176" s="2"/>
      <c r="AW1176" s="2"/>
      <c r="AX1176" s="2"/>
      <c r="AY1176" s="2"/>
      <c r="AZ1176" s="5"/>
      <c r="BA1176" s="2"/>
      <c r="BD1176" s="2"/>
      <c r="BE1176" s="2"/>
      <c r="BF1176" s="2"/>
      <c r="BG1176" s="2"/>
      <c r="BH1176" s="2"/>
      <c r="BI1176" s="2"/>
      <c r="BJ1176" s="2"/>
      <c r="BK1176" s="2"/>
      <c r="BM1176" s="2"/>
      <c r="BN1176" s="2"/>
      <c r="BO1176" s="2"/>
      <c r="BP1176" s="2"/>
      <c r="BQ1176" s="2"/>
      <c r="BR1176" s="6"/>
      <c r="BS1176" s="6"/>
      <c r="BT1176" s="2"/>
      <c r="BU1176" s="2"/>
      <c r="BV1176" s="2"/>
      <c r="BW1176" s="2"/>
      <c r="BX1176" s="2"/>
      <c r="BY1176" s="2"/>
      <c r="BZ1176" s="2"/>
      <c r="CA1176" s="2"/>
      <c r="CB1176" s="2"/>
      <c r="CC1176" s="2"/>
      <c r="CD1176" s="3"/>
      <c r="CE1176" s="2"/>
      <c r="CF1176" s="4"/>
      <c r="CG1176" s="4"/>
      <c r="CI1176" s="2"/>
    </row>
    <row r="1177" spans="1:87" s="101" customFormat="1" x14ac:dyDescent="0.35">
      <c r="A1177" s="1"/>
      <c r="C1177" s="1"/>
      <c r="G1177" s="2"/>
      <c r="H1177" s="2"/>
      <c r="I1177" s="2"/>
      <c r="J1177" s="2"/>
      <c r="K1177" s="81"/>
      <c r="L1177" s="4"/>
      <c r="M1177" s="4"/>
      <c r="N1177" s="4"/>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3"/>
      <c r="AP1177" s="2"/>
      <c r="AQ1177" s="2"/>
      <c r="AR1177" s="2"/>
      <c r="AS1177" s="2"/>
      <c r="AT1177" s="2"/>
      <c r="AU1177" s="2"/>
      <c r="AV1177" s="2"/>
      <c r="AW1177" s="2"/>
      <c r="AX1177" s="2"/>
      <c r="AY1177" s="2"/>
      <c r="AZ1177" s="5"/>
      <c r="BA1177" s="2"/>
      <c r="BD1177" s="2"/>
      <c r="BE1177" s="2"/>
      <c r="BF1177" s="2"/>
      <c r="BG1177" s="2"/>
      <c r="BH1177" s="2"/>
      <c r="BI1177" s="2"/>
      <c r="BJ1177" s="2"/>
      <c r="BK1177" s="2"/>
      <c r="BM1177" s="2"/>
      <c r="BN1177" s="2"/>
      <c r="BO1177" s="2"/>
      <c r="BP1177" s="2"/>
      <c r="BQ1177" s="2"/>
      <c r="BR1177" s="6"/>
      <c r="BS1177" s="6"/>
      <c r="BT1177" s="2"/>
      <c r="BU1177" s="2"/>
      <c r="BV1177" s="2"/>
      <c r="BW1177" s="2"/>
      <c r="BX1177" s="2"/>
      <c r="BY1177" s="2"/>
      <c r="BZ1177" s="2"/>
      <c r="CA1177" s="2"/>
      <c r="CB1177" s="2"/>
      <c r="CC1177" s="2"/>
      <c r="CD1177" s="3"/>
      <c r="CE1177" s="2"/>
      <c r="CF1177" s="4"/>
      <c r="CG1177" s="4"/>
      <c r="CI1177" s="2"/>
    </row>
    <row r="1178" spans="1:87" s="101" customFormat="1" x14ac:dyDescent="0.35">
      <c r="A1178" s="1"/>
      <c r="C1178" s="1"/>
      <c r="G1178" s="2"/>
      <c r="H1178" s="2"/>
      <c r="I1178" s="2"/>
      <c r="J1178" s="2"/>
      <c r="K1178" s="81"/>
      <c r="L1178" s="4"/>
      <c r="M1178" s="4"/>
      <c r="N1178" s="4"/>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3"/>
      <c r="AP1178" s="2"/>
      <c r="AQ1178" s="2"/>
      <c r="AR1178" s="2"/>
      <c r="AS1178" s="2"/>
      <c r="AT1178" s="2"/>
      <c r="AU1178" s="2"/>
      <c r="AV1178" s="2"/>
      <c r="AW1178" s="2"/>
      <c r="AX1178" s="2"/>
      <c r="AY1178" s="2"/>
      <c r="AZ1178" s="5"/>
      <c r="BA1178" s="2"/>
      <c r="BD1178" s="2"/>
      <c r="BE1178" s="2"/>
      <c r="BF1178" s="2"/>
      <c r="BG1178" s="2"/>
      <c r="BH1178" s="2"/>
      <c r="BI1178" s="2"/>
      <c r="BJ1178" s="2"/>
      <c r="BK1178" s="2"/>
      <c r="BM1178" s="2"/>
      <c r="BN1178" s="2"/>
      <c r="BO1178" s="2"/>
      <c r="BP1178" s="2"/>
      <c r="BQ1178" s="2"/>
      <c r="BR1178" s="6"/>
      <c r="BS1178" s="6"/>
      <c r="BT1178" s="2"/>
      <c r="BU1178" s="2"/>
      <c r="BV1178" s="2"/>
      <c r="BW1178" s="2"/>
      <c r="BX1178" s="2"/>
      <c r="BY1178" s="2"/>
      <c r="BZ1178" s="2"/>
      <c r="CA1178" s="2"/>
      <c r="CB1178" s="2"/>
      <c r="CC1178" s="2"/>
      <c r="CD1178" s="3"/>
      <c r="CE1178" s="2"/>
      <c r="CF1178" s="4"/>
      <c r="CG1178" s="4"/>
      <c r="CI1178" s="2"/>
    </row>
    <row r="1179" spans="1:87" s="101" customFormat="1" x14ac:dyDescent="0.35">
      <c r="A1179" s="1"/>
      <c r="C1179" s="1"/>
      <c r="G1179" s="2"/>
      <c r="H1179" s="2"/>
      <c r="I1179" s="2"/>
      <c r="J1179" s="2"/>
      <c r="K1179" s="81"/>
      <c r="L1179" s="4"/>
      <c r="M1179" s="4"/>
      <c r="N1179" s="4"/>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3"/>
      <c r="AP1179" s="2"/>
      <c r="AQ1179" s="2"/>
      <c r="AR1179" s="2"/>
      <c r="AS1179" s="2"/>
      <c r="AT1179" s="2"/>
      <c r="AU1179" s="2"/>
      <c r="AV1179" s="2"/>
      <c r="AW1179" s="2"/>
      <c r="AX1179" s="2"/>
      <c r="AY1179" s="2"/>
      <c r="AZ1179" s="5"/>
      <c r="BA1179" s="2"/>
      <c r="BD1179" s="2"/>
      <c r="BE1179" s="2"/>
      <c r="BF1179" s="2"/>
      <c r="BG1179" s="2"/>
      <c r="BH1179" s="2"/>
      <c r="BI1179" s="2"/>
      <c r="BJ1179" s="2"/>
      <c r="BK1179" s="2"/>
      <c r="BM1179" s="2"/>
      <c r="BN1179" s="2"/>
      <c r="BO1179" s="2"/>
      <c r="BP1179" s="2"/>
      <c r="BQ1179" s="2"/>
      <c r="BR1179" s="6"/>
      <c r="BS1179" s="6"/>
      <c r="BT1179" s="2"/>
      <c r="BU1179" s="2"/>
      <c r="BV1179" s="2"/>
      <c r="BW1179" s="2"/>
      <c r="BX1179" s="2"/>
      <c r="BY1179" s="2"/>
      <c r="BZ1179" s="2"/>
      <c r="CA1179" s="2"/>
      <c r="CB1179" s="2"/>
      <c r="CC1179" s="2"/>
      <c r="CD1179" s="3"/>
      <c r="CE1179" s="2"/>
      <c r="CF1179" s="4"/>
      <c r="CG1179" s="4"/>
      <c r="CI1179" s="2"/>
    </row>
    <row r="1180" spans="1:87" s="101" customFormat="1" x14ac:dyDescent="0.35">
      <c r="A1180" s="1"/>
      <c r="C1180" s="1"/>
      <c r="G1180" s="2"/>
      <c r="H1180" s="2"/>
      <c r="I1180" s="2"/>
      <c r="J1180" s="2"/>
      <c r="K1180" s="81"/>
      <c r="L1180" s="4"/>
      <c r="M1180" s="4"/>
      <c r="N1180" s="4"/>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3"/>
      <c r="AP1180" s="2"/>
      <c r="AQ1180" s="2"/>
      <c r="AR1180" s="2"/>
      <c r="AS1180" s="2"/>
      <c r="AT1180" s="2"/>
      <c r="AU1180" s="2"/>
      <c r="AV1180" s="2"/>
      <c r="AW1180" s="2"/>
      <c r="AX1180" s="2"/>
      <c r="AY1180" s="2"/>
      <c r="AZ1180" s="5"/>
      <c r="BA1180" s="2"/>
      <c r="BD1180" s="2"/>
      <c r="BE1180" s="2"/>
      <c r="BF1180" s="2"/>
      <c r="BG1180" s="2"/>
      <c r="BH1180" s="2"/>
      <c r="BI1180" s="2"/>
      <c r="BJ1180" s="2"/>
      <c r="BK1180" s="2"/>
      <c r="BM1180" s="2"/>
      <c r="BN1180" s="2"/>
      <c r="BO1180" s="2"/>
      <c r="BP1180" s="2"/>
      <c r="BQ1180" s="2"/>
      <c r="BR1180" s="6"/>
      <c r="BS1180" s="6"/>
      <c r="BT1180" s="2"/>
      <c r="BU1180" s="2"/>
      <c r="BV1180" s="2"/>
      <c r="BW1180" s="2"/>
      <c r="BX1180" s="2"/>
      <c r="BY1180" s="2"/>
      <c r="BZ1180" s="2"/>
      <c r="CA1180" s="2"/>
      <c r="CB1180" s="2"/>
      <c r="CC1180" s="2"/>
      <c r="CD1180" s="3"/>
      <c r="CE1180" s="2"/>
      <c r="CF1180" s="4"/>
      <c r="CG1180" s="4"/>
      <c r="CI1180" s="2"/>
    </row>
    <row r="1181" spans="1:87" s="101" customFormat="1" x14ac:dyDescent="0.35">
      <c r="A1181" s="1"/>
      <c r="C1181" s="1"/>
      <c r="G1181" s="2"/>
      <c r="H1181" s="2"/>
      <c r="I1181" s="2"/>
      <c r="J1181" s="2"/>
      <c r="K1181" s="81"/>
      <c r="L1181" s="4"/>
      <c r="M1181" s="4"/>
      <c r="N1181" s="4"/>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3"/>
      <c r="AP1181" s="2"/>
      <c r="AQ1181" s="2"/>
      <c r="AR1181" s="2"/>
      <c r="AS1181" s="2"/>
      <c r="AT1181" s="2"/>
      <c r="AU1181" s="2"/>
      <c r="AV1181" s="2"/>
      <c r="AW1181" s="2"/>
      <c r="AX1181" s="2"/>
      <c r="AY1181" s="2"/>
      <c r="AZ1181" s="5"/>
      <c r="BA1181" s="2"/>
      <c r="BD1181" s="2"/>
      <c r="BE1181" s="2"/>
      <c r="BF1181" s="2"/>
      <c r="BG1181" s="2"/>
      <c r="BH1181" s="2"/>
      <c r="BI1181" s="2"/>
      <c r="BJ1181" s="2"/>
      <c r="BK1181" s="2"/>
      <c r="BM1181" s="2"/>
      <c r="BN1181" s="2"/>
      <c r="BO1181" s="2"/>
      <c r="BP1181" s="2"/>
      <c r="BQ1181" s="2"/>
      <c r="BR1181" s="6"/>
      <c r="BS1181" s="6"/>
      <c r="BT1181" s="2"/>
      <c r="BU1181" s="2"/>
      <c r="BV1181" s="2"/>
      <c r="BW1181" s="2"/>
      <c r="BX1181" s="2"/>
      <c r="BY1181" s="2"/>
      <c r="BZ1181" s="2"/>
      <c r="CA1181" s="2"/>
      <c r="CB1181" s="2"/>
      <c r="CC1181" s="2"/>
      <c r="CD1181" s="3"/>
      <c r="CE1181" s="2"/>
      <c r="CF1181" s="4"/>
      <c r="CG1181" s="4"/>
      <c r="CI1181" s="2"/>
    </row>
    <row r="1182" spans="1:87" s="101" customFormat="1" x14ac:dyDescent="0.35">
      <c r="A1182" s="1"/>
      <c r="C1182" s="1"/>
      <c r="G1182" s="2"/>
      <c r="H1182" s="2"/>
      <c r="I1182" s="2"/>
      <c r="J1182" s="2"/>
      <c r="K1182" s="81"/>
      <c r="L1182" s="4"/>
      <c r="M1182" s="4"/>
      <c r="N1182" s="4"/>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3"/>
      <c r="AP1182" s="2"/>
      <c r="AQ1182" s="2"/>
      <c r="AR1182" s="2"/>
      <c r="AS1182" s="2"/>
      <c r="AT1182" s="2"/>
      <c r="AU1182" s="2"/>
      <c r="AV1182" s="2"/>
      <c r="AW1182" s="2"/>
      <c r="AX1182" s="2"/>
      <c r="AY1182" s="2"/>
      <c r="AZ1182" s="5"/>
      <c r="BA1182" s="2"/>
      <c r="BD1182" s="2"/>
      <c r="BE1182" s="2"/>
      <c r="BF1182" s="2"/>
      <c r="BG1182" s="2"/>
      <c r="BH1182" s="2"/>
      <c r="BI1182" s="2"/>
      <c r="BJ1182" s="2"/>
      <c r="BK1182" s="2"/>
      <c r="BM1182" s="2"/>
      <c r="BN1182" s="2"/>
      <c r="BO1182" s="2"/>
      <c r="BP1182" s="2"/>
      <c r="BQ1182" s="2"/>
      <c r="BR1182" s="6"/>
      <c r="BS1182" s="6"/>
      <c r="BT1182" s="2"/>
      <c r="BU1182" s="2"/>
      <c r="BV1182" s="2"/>
      <c r="BW1182" s="2"/>
      <c r="BX1182" s="2"/>
      <c r="BY1182" s="2"/>
      <c r="BZ1182" s="2"/>
      <c r="CA1182" s="2"/>
      <c r="CB1182" s="2"/>
      <c r="CC1182" s="2"/>
      <c r="CD1182" s="3"/>
      <c r="CE1182" s="2"/>
      <c r="CF1182" s="4"/>
      <c r="CG1182" s="4"/>
      <c r="CI1182" s="2"/>
    </row>
    <row r="1183" spans="1:87" s="101" customFormat="1" x14ac:dyDescent="0.35">
      <c r="A1183" s="1"/>
      <c r="C1183" s="1"/>
      <c r="G1183" s="2"/>
      <c r="H1183" s="2"/>
      <c r="I1183" s="2"/>
      <c r="J1183" s="2"/>
      <c r="K1183" s="81"/>
      <c r="L1183" s="4"/>
      <c r="M1183" s="4"/>
      <c r="N1183" s="4"/>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3"/>
      <c r="AP1183" s="2"/>
      <c r="AQ1183" s="2"/>
      <c r="AR1183" s="2"/>
      <c r="AS1183" s="2"/>
      <c r="AT1183" s="2"/>
      <c r="AU1183" s="2"/>
      <c r="AV1183" s="2"/>
      <c r="AW1183" s="2"/>
      <c r="AX1183" s="2"/>
      <c r="AY1183" s="2"/>
      <c r="AZ1183" s="5"/>
      <c r="BA1183" s="2"/>
      <c r="BD1183" s="2"/>
      <c r="BE1183" s="2"/>
      <c r="BF1183" s="2"/>
      <c r="BG1183" s="2"/>
      <c r="BH1183" s="2"/>
      <c r="BI1183" s="2"/>
      <c r="BJ1183" s="2"/>
      <c r="BK1183" s="2"/>
      <c r="BM1183" s="2"/>
      <c r="BN1183" s="2"/>
      <c r="BO1183" s="2"/>
      <c r="BP1183" s="2"/>
      <c r="BQ1183" s="2"/>
      <c r="BR1183" s="6"/>
      <c r="BS1183" s="6"/>
      <c r="BT1183" s="2"/>
      <c r="BU1183" s="2"/>
      <c r="BV1183" s="2"/>
      <c r="BW1183" s="2"/>
      <c r="BX1183" s="2"/>
      <c r="BY1183" s="2"/>
      <c r="BZ1183" s="2"/>
      <c r="CA1183" s="2"/>
      <c r="CB1183" s="2"/>
      <c r="CC1183" s="2"/>
      <c r="CD1183" s="3"/>
      <c r="CE1183" s="2"/>
      <c r="CF1183" s="4"/>
      <c r="CG1183" s="4"/>
      <c r="CI1183" s="2"/>
    </row>
    <row r="1184" spans="1:87" s="101" customFormat="1" x14ac:dyDescent="0.35">
      <c r="A1184" s="1"/>
      <c r="C1184" s="1"/>
      <c r="G1184" s="2"/>
      <c r="H1184" s="2"/>
      <c r="I1184" s="2"/>
      <c r="J1184" s="2"/>
      <c r="K1184" s="81"/>
      <c r="L1184" s="4"/>
      <c r="M1184" s="4"/>
      <c r="N1184" s="4"/>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3"/>
      <c r="AP1184" s="2"/>
      <c r="AQ1184" s="2"/>
      <c r="AR1184" s="2"/>
      <c r="AS1184" s="2"/>
      <c r="AT1184" s="2"/>
      <c r="AU1184" s="2"/>
      <c r="AV1184" s="2"/>
      <c r="AW1184" s="2"/>
      <c r="AX1184" s="2"/>
      <c r="AY1184" s="2"/>
      <c r="AZ1184" s="5"/>
      <c r="BA1184" s="2"/>
      <c r="BD1184" s="2"/>
      <c r="BE1184" s="2"/>
      <c r="BF1184" s="2"/>
      <c r="BG1184" s="2"/>
      <c r="BH1184" s="2"/>
      <c r="BI1184" s="2"/>
      <c r="BJ1184" s="2"/>
      <c r="BK1184" s="2"/>
      <c r="BM1184" s="2"/>
      <c r="BN1184" s="2"/>
      <c r="BO1184" s="2"/>
      <c r="BP1184" s="2"/>
      <c r="BQ1184" s="2"/>
      <c r="BR1184" s="6"/>
      <c r="BS1184" s="6"/>
      <c r="BT1184" s="2"/>
      <c r="BU1184" s="2"/>
      <c r="BV1184" s="2"/>
      <c r="BW1184" s="2"/>
      <c r="BX1184" s="2"/>
      <c r="BY1184" s="2"/>
      <c r="BZ1184" s="2"/>
      <c r="CA1184" s="2"/>
      <c r="CB1184" s="2"/>
      <c r="CC1184" s="2"/>
      <c r="CD1184" s="3"/>
      <c r="CE1184" s="2"/>
      <c r="CF1184" s="4"/>
      <c r="CG1184" s="4"/>
      <c r="CI1184" s="2"/>
    </row>
    <row r="1185" spans="1:87" s="101" customFormat="1" x14ac:dyDescent="0.35">
      <c r="A1185" s="1"/>
      <c r="C1185" s="1"/>
      <c r="G1185" s="2"/>
      <c r="H1185" s="2"/>
      <c r="I1185" s="2"/>
      <c r="J1185" s="2"/>
      <c r="K1185" s="81"/>
      <c r="L1185" s="4"/>
      <c r="M1185" s="4"/>
      <c r="N1185" s="4"/>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3"/>
      <c r="AP1185" s="2"/>
      <c r="AQ1185" s="2"/>
      <c r="AR1185" s="2"/>
      <c r="AS1185" s="2"/>
      <c r="AT1185" s="2"/>
      <c r="AU1185" s="2"/>
      <c r="AV1185" s="2"/>
      <c r="AW1185" s="2"/>
      <c r="AX1185" s="2"/>
      <c r="AY1185" s="2"/>
      <c r="AZ1185" s="5"/>
      <c r="BA1185" s="2"/>
      <c r="BD1185" s="2"/>
      <c r="BE1185" s="2"/>
      <c r="BF1185" s="2"/>
      <c r="BG1185" s="2"/>
      <c r="BH1185" s="2"/>
      <c r="BI1185" s="2"/>
      <c r="BJ1185" s="2"/>
      <c r="BK1185" s="2"/>
      <c r="BM1185" s="2"/>
      <c r="BN1185" s="2"/>
      <c r="BO1185" s="2"/>
      <c r="BP1185" s="2"/>
      <c r="BQ1185" s="2"/>
      <c r="BR1185" s="6"/>
      <c r="BS1185" s="6"/>
      <c r="BT1185" s="2"/>
      <c r="BU1185" s="2"/>
      <c r="BV1185" s="2"/>
      <c r="BW1185" s="2"/>
      <c r="BX1185" s="2"/>
      <c r="BY1185" s="2"/>
      <c r="BZ1185" s="2"/>
      <c r="CA1185" s="2"/>
      <c r="CB1185" s="2"/>
      <c r="CC1185" s="2"/>
      <c r="CD1185" s="3"/>
      <c r="CE1185" s="2"/>
      <c r="CF1185" s="4"/>
      <c r="CG1185" s="4"/>
      <c r="CI1185" s="2"/>
    </row>
    <row r="1186" spans="1:87" s="101" customFormat="1" x14ac:dyDescent="0.35">
      <c r="A1186" s="1"/>
      <c r="C1186" s="1"/>
      <c r="G1186" s="2"/>
      <c r="H1186" s="2"/>
      <c r="I1186" s="2"/>
      <c r="J1186" s="2"/>
      <c r="K1186" s="81"/>
      <c r="L1186" s="4"/>
      <c r="M1186" s="4"/>
      <c r="N1186" s="4"/>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3"/>
      <c r="AP1186" s="2"/>
      <c r="AQ1186" s="2"/>
      <c r="AR1186" s="2"/>
      <c r="AS1186" s="2"/>
      <c r="AT1186" s="2"/>
      <c r="AU1186" s="2"/>
      <c r="AV1186" s="2"/>
      <c r="AW1186" s="2"/>
      <c r="AX1186" s="2"/>
      <c r="AY1186" s="2"/>
      <c r="AZ1186" s="5"/>
      <c r="BA1186" s="2"/>
      <c r="BD1186" s="2"/>
      <c r="BE1186" s="2"/>
      <c r="BF1186" s="2"/>
      <c r="BG1186" s="2"/>
      <c r="BH1186" s="2"/>
      <c r="BI1186" s="2"/>
      <c r="BJ1186" s="2"/>
      <c r="BK1186" s="2"/>
      <c r="BM1186" s="2"/>
      <c r="BN1186" s="2"/>
      <c r="BO1186" s="2"/>
      <c r="BP1186" s="2"/>
      <c r="BQ1186" s="2"/>
      <c r="BR1186" s="6"/>
      <c r="BS1186" s="6"/>
      <c r="BT1186" s="2"/>
      <c r="BU1186" s="2"/>
      <c r="BV1186" s="2"/>
      <c r="BW1186" s="2"/>
      <c r="BX1186" s="2"/>
      <c r="BY1186" s="2"/>
      <c r="BZ1186" s="2"/>
      <c r="CA1186" s="2"/>
      <c r="CB1186" s="2"/>
      <c r="CC1186" s="2"/>
      <c r="CD1186" s="3"/>
      <c r="CE1186" s="2"/>
      <c r="CF1186" s="4"/>
      <c r="CG1186" s="4"/>
      <c r="CI1186" s="2"/>
    </row>
    <row r="1187" spans="1:87" s="101" customFormat="1" x14ac:dyDescent="0.35">
      <c r="A1187" s="1"/>
      <c r="C1187" s="1"/>
      <c r="G1187" s="2"/>
      <c r="H1187" s="2"/>
      <c r="I1187" s="2"/>
      <c r="J1187" s="2"/>
      <c r="K1187" s="81"/>
      <c r="L1187" s="4"/>
      <c r="M1187" s="4"/>
      <c r="N1187" s="4"/>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3"/>
      <c r="AP1187" s="2"/>
      <c r="AQ1187" s="2"/>
      <c r="AR1187" s="2"/>
      <c r="AS1187" s="2"/>
      <c r="AT1187" s="2"/>
      <c r="AU1187" s="2"/>
      <c r="AV1187" s="2"/>
      <c r="AW1187" s="2"/>
      <c r="AX1187" s="2"/>
      <c r="AY1187" s="2"/>
      <c r="AZ1187" s="5"/>
      <c r="BA1187" s="2"/>
      <c r="BD1187" s="2"/>
      <c r="BE1187" s="2"/>
      <c r="BF1187" s="2"/>
      <c r="BG1187" s="2"/>
      <c r="BH1187" s="2"/>
      <c r="BI1187" s="2"/>
      <c r="BJ1187" s="2"/>
      <c r="BK1187" s="2"/>
      <c r="BM1187" s="2"/>
      <c r="BN1187" s="2"/>
      <c r="BO1187" s="2"/>
      <c r="BP1187" s="2"/>
      <c r="BQ1187" s="2"/>
      <c r="BR1187" s="6"/>
      <c r="BS1187" s="6"/>
      <c r="BT1187" s="2"/>
      <c r="BU1187" s="2"/>
      <c r="BV1187" s="2"/>
      <c r="BW1187" s="2"/>
      <c r="BX1187" s="2"/>
      <c r="BY1187" s="2"/>
      <c r="BZ1187" s="2"/>
      <c r="CA1187" s="2"/>
      <c r="CB1187" s="2"/>
      <c r="CC1187" s="2"/>
      <c r="CD1187" s="3"/>
      <c r="CE1187" s="2"/>
      <c r="CF1187" s="4"/>
      <c r="CG1187" s="4"/>
      <c r="CI1187" s="2"/>
    </row>
    <row r="1188" spans="1:87" s="101" customFormat="1" x14ac:dyDescent="0.35">
      <c r="A1188" s="1"/>
      <c r="C1188" s="1"/>
      <c r="G1188" s="2"/>
      <c r="H1188" s="2"/>
      <c r="I1188" s="2"/>
      <c r="J1188" s="2"/>
      <c r="K1188" s="81"/>
      <c r="L1188" s="4"/>
      <c r="M1188" s="4"/>
      <c r="N1188" s="4"/>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3"/>
      <c r="AP1188" s="2"/>
      <c r="AQ1188" s="2"/>
      <c r="AR1188" s="2"/>
      <c r="AS1188" s="2"/>
      <c r="AT1188" s="2"/>
      <c r="AU1188" s="2"/>
      <c r="AV1188" s="2"/>
      <c r="AW1188" s="2"/>
      <c r="AX1188" s="2"/>
      <c r="AY1188" s="2"/>
      <c r="AZ1188" s="5"/>
      <c r="BA1188" s="2"/>
      <c r="BD1188" s="2"/>
      <c r="BE1188" s="2"/>
      <c r="BF1188" s="2"/>
      <c r="BG1188" s="2"/>
      <c r="BH1188" s="2"/>
      <c r="BI1188" s="2"/>
      <c r="BJ1188" s="2"/>
      <c r="BK1188" s="2"/>
      <c r="BM1188" s="2"/>
      <c r="BN1188" s="2"/>
      <c r="BO1188" s="2"/>
      <c r="BP1188" s="2"/>
      <c r="BQ1188" s="2"/>
      <c r="BR1188" s="6"/>
      <c r="BS1188" s="6"/>
      <c r="BT1188" s="2"/>
      <c r="BU1188" s="2"/>
      <c r="BV1188" s="2"/>
      <c r="BW1188" s="2"/>
      <c r="BX1188" s="2"/>
      <c r="BY1188" s="2"/>
      <c r="BZ1188" s="2"/>
      <c r="CA1188" s="2"/>
      <c r="CB1188" s="2"/>
      <c r="CC1188" s="2"/>
      <c r="CD1188" s="3"/>
      <c r="CE1188" s="2"/>
      <c r="CF1188" s="4"/>
      <c r="CG1188" s="4"/>
      <c r="CI1188" s="2"/>
    </row>
    <row r="1189" spans="1:87" s="101" customFormat="1" x14ac:dyDescent="0.35">
      <c r="A1189" s="1"/>
      <c r="C1189" s="1"/>
      <c r="G1189" s="2"/>
      <c r="H1189" s="2"/>
      <c r="I1189" s="2"/>
      <c r="J1189" s="2"/>
      <c r="K1189" s="81"/>
      <c r="L1189" s="4"/>
      <c r="M1189" s="4"/>
      <c r="N1189" s="4"/>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3"/>
      <c r="AP1189" s="2"/>
      <c r="AQ1189" s="2"/>
      <c r="AR1189" s="2"/>
      <c r="AS1189" s="2"/>
      <c r="AT1189" s="2"/>
      <c r="AU1189" s="2"/>
      <c r="AV1189" s="2"/>
      <c r="AW1189" s="2"/>
      <c r="AX1189" s="2"/>
      <c r="AY1189" s="2"/>
      <c r="AZ1189" s="5"/>
      <c r="BA1189" s="2"/>
      <c r="BD1189" s="2"/>
      <c r="BE1189" s="2"/>
      <c r="BF1189" s="2"/>
      <c r="BG1189" s="2"/>
      <c r="BH1189" s="2"/>
      <c r="BI1189" s="2"/>
      <c r="BJ1189" s="2"/>
      <c r="BK1189" s="2"/>
      <c r="BM1189" s="2"/>
      <c r="BN1189" s="2"/>
      <c r="BO1189" s="2"/>
      <c r="BP1189" s="2"/>
      <c r="BQ1189" s="2"/>
      <c r="BR1189" s="6"/>
      <c r="BS1189" s="6"/>
      <c r="BT1189" s="2"/>
      <c r="BU1189" s="2"/>
      <c r="BV1189" s="2"/>
      <c r="BW1189" s="2"/>
      <c r="BX1189" s="2"/>
      <c r="BY1189" s="2"/>
      <c r="BZ1189" s="2"/>
      <c r="CA1189" s="2"/>
      <c r="CB1189" s="2"/>
      <c r="CC1189" s="2"/>
      <c r="CD1189" s="3"/>
      <c r="CE1189" s="2"/>
      <c r="CF1189" s="4"/>
      <c r="CG1189" s="4"/>
      <c r="CI1189" s="2"/>
    </row>
    <row r="1190" spans="1:87" s="101" customFormat="1" x14ac:dyDescent="0.35">
      <c r="A1190" s="1"/>
      <c r="C1190" s="1"/>
      <c r="G1190" s="2"/>
      <c r="H1190" s="2"/>
      <c r="I1190" s="2"/>
      <c r="J1190" s="2"/>
      <c r="K1190" s="81"/>
      <c r="L1190" s="4"/>
      <c r="M1190" s="4"/>
      <c r="N1190" s="4"/>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3"/>
      <c r="AP1190" s="2"/>
      <c r="AQ1190" s="2"/>
      <c r="AR1190" s="2"/>
      <c r="AS1190" s="2"/>
      <c r="AT1190" s="2"/>
      <c r="AU1190" s="2"/>
      <c r="AV1190" s="2"/>
      <c r="AW1190" s="2"/>
      <c r="AX1190" s="2"/>
      <c r="AY1190" s="2"/>
      <c r="AZ1190" s="5"/>
      <c r="BA1190" s="2"/>
      <c r="BD1190" s="2"/>
      <c r="BE1190" s="2"/>
      <c r="BF1190" s="2"/>
      <c r="BG1190" s="2"/>
      <c r="BH1190" s="2"/>
      <c r="BI1190" s="2"/>
      <c r="BJ1190" s="2"/>
      <c r="BK1190" s="2"/>
      <c r="BM1190" s="2"/>
      <c r="BN1190" s="2"/>
      <c r="BO1190" s="2"/>
      <c r="BP1190" s="2"/>
      <c r="BQ1190" s="2"/>
      <c r="BR1190" s="6"/>
      <c r="BS1190" s="6"/>
      <c r="BT1190" s="2"/>
      <c r="BU1190" s="2"/>
      <c r="BV1190" s="2"/>
      <c r="BW1190" s="2"/>
      <c r="BX1190" s="2"/>
      <c r="BY1190" s="2"/>
      <c r="BZ1190" s="2"/>
      <c r="CA1190" s="2"/>
      <c r="CB1190" s="2"/>
      <c r="CC1190" s="2"/>
      <c r="CD1190" s="3"/>
      <c r="CE1190" s="2"/>
      <c r="CF1190" s="4"/>
      <c r="CG1190" s="4"/>
      <c r="CI1190" s="2"/>
    </row>
    <row r="1191" spans="1:87" s="101" customFormat="1" x14ac:dyDescent="0.35">
      <c r="A1191" s="1"/>
      <c r="C1191" s="1"/>
      <c r="G1191" s="2"/>
      <c r="H1191" s="2"/>
      <c r="I1191" s="2"/>
      <c r="J1191" s="2"/>
      <c r="K1191" s="81"/>
      <c r="L1191" s="4"/>
      <c r="M1191" s="4"/>
      <c r="N1191" s="4"/>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3"/>
      <c r="AP1191" s="2"/>
      <c r="AQ1191" s="2"/>
      <c r="AR1191" s="2"/>
      <c r="AS1191" s="2"/>
      <c r="AT1191" s="2"/>
      <c r="AU1191" s="2"/>
      <c r="AV1191" s="2"/>
      <c r="AW1191" s="2"/>
      <c r="AX1191" s="2"/>
      <c r="AY1191" s="2"/>
      <c r="AZ1191" s="5"/>
      <c r="BA1191" s="2"/>
      <c r="BD1191" s="2"/>
      <c r="BE1191" s="2"/>
      <c r="BF1191" s="2"/>
      <c r="BG1191" s="2"/>
      <c r="BH1191" s="2"/>
      <c r="BI1191" s="2"/>
      <c r="BJ1191" s="2"/>
      <c r="BK1191" s="2"/>
      <c r="BM1191" s="2"/>
      <c r="BN1191" s="2"/>
      <c r="BO1191" s="2"/>
      <c r="BP1191" s="2"/>
      <c r="BQ1191" s="2"/>
      <c r="BR1191" s="6"/>
      <c r="BS1191" s="6"/>
      <c r="BT1191" s="2"/>
      <c r="BU1191" s="2"/>
      <c r="BV1191" s="2"/>
      <c r="BW1191" s="2"/>
      <c r="BX1191" s="2"/>
      <c r="BY1191" s="2"/>
      <c r="BZ1191" s="2"/>
      <c r="CA1191" s="2"/>
      <c r="CB1191" s="2"/>
      <c r="CC1191" s="2"/>
      <c r="CD1191" s="3"/>
      <c r="CE1191" s="2"/>
      <c r="CF1191" s="4"/>
      <c r="CG1191" s="4"/>
      <c r="CI1191" s="2"/>
    </row>
    <row r="1192" spans="1:87" s="101" customFormat="1" x14ac:dyDescent="0.35">
      <c r="A1192" s="1"/>
      <c r="C1192" s="1"/>
      <c r="G1192" s="2"/>
      <c r="H1192" s="2"/>
      <c r="I1192" s="2"/>
      <c r="J1192" s="2"/>
      <c r="K1192" s="81"/>
      <c r="L1192" s="4"/>
      <c r="M1192" s="4"/>
      <c r="N1192" s="4"/>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3"/>
      <c r="AP1192" s="2"/>
      <c r="AQ1192" s="2"/>
      <c r="AR1192" s="2"/>
      <c r="AS1192" s="2"/>
      <c r="AT1192" s="2"/>
      <c r="AU1192" s="2"/>
      <c r="AV1192" s="2"/>
      <c r="AW1192" s="2"/>
      <c r="AX1192" s="2"/>
      <c r="AY1192" s="2"/>
      <c r="AZ1192" s="5"/>
      <c r="BA1192" s="2"/>
      <c r="BD1192" s="2"/>
      <c r="BE1192" s="2"/>
      <c r="BF1192" s="2"/>
      <c r="BG1192" s="2"/>
      <c r="BH1192" s="2"/>
      <c r="BI1192" s="2"/>
      <c r="BJ1192" s="2"/>
      <c r="BK1192" s="2"/>
      <c r="BM1192" s="2"/>
      <c r="BN1192" s="2"/>
      <c r="BO1192" s="2"/>
      <c r="BP1192" s="2"/>
      <c r="BQ1192" s="2"/>
      <c r="BR1192" s="6"/>
      <c r="BS1192" s="6"/>
      <c r="BT1192" s="2"/>
      <c r="BU1192" s="2"/>
      <c r="BV1192" s="2"/>
      <c r="BW1192" s="2"/>
      <c r="BX1192" s="2"/>
      <c r="BY1192" s="2"/>
      <c r="BZ1192" s="2"/>
      <c r="CA1192" s="2"/>
      <c r="CB1192" s="2"/>
      <c r="CC1192" s="2"/>
      <c r="CD1192" s="3"/>
      <c r="CE1192" s="2"/>
      <c r="CF1192" s="4"/>
      <c r="CG1192" s="4"/>
      <c r="CI1192" s="2"/>
    </row>
    <row r="1193" spans="1:87" s="101" customFormat="1" x14ac:dyDescent="0.35">
      <c r="A1193" s="1"/>
      <c r="C1193" s="1"/>
      <c r="G1193" s="2"/>
      <c r="H1193" s="2"/>
      <c r="I1193" s="2"/>
      <c r="J1193" s="2"/>
      <c r="K1193" s="81"/>
      <c r="L1193" s="4"/>
      <c r="M1193" s="4"/>
      <c r="N1193" s="4"/>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3"/>
      <c r="AP1193" s="2"/>
      <c r="AQ1193" s="2"/>
      <c r="AR1193" s="2"/>
      <c r="AS1193" s="2"/>
      <c r="AT1193" s="2"/>
      <c r="AU1193" s="2"/>
      <c r="AV1193" s="2"/>
      <c r="AW1193" s="2"/>
      <c r="AX1193" s="2"/>
      <c r="AY1193" s="2"/>
      <c r="AZ1193" s="5"/>
      <c r="BA1193" s="2"/>
      <c r="BD1193" s="2"/>
      <c r="BE1193" s="2"/>
      <c r="BF1193" s="2"/>
      <c r="BG1193" s="2"/>
      <c r="BH1193" s="2"/>
      <c r="BI1193" s="2"/>
      <c r="BJ1193" s="2"/>
      <c r="BK1193" s="2"/>
      <c r="BM1193" s="2"/>
      <c r="BN1193" s="2"/>
      <c r="BO1193" s="2"/>
      <c r="BP1193" s="2"/>
      <c r="BQ1193" s="2"/>
      <c r="BR1193" s="6"/>
      <c r="BS1193" s="6"/>
      <c r="BT1193" s="2"/>
      <c r="BU1193" s="2"/>
      <c r="BV1193" s="2"/>
      <c r="BW1193" s="2"/>
      <c r="BX1193" s="2"/>
      <c r="BY1193" s="2"/>
      <c r="BZ1193" s="2"/>
      <c r="CA1193" s="2"/>
      <c r="CB1193" s="2"/>
      <c r="CC1193" s="2"/>
      <c r="CD1193" s="3"/>
      <c r="CE1193" s="2"/>
      <c r="CF1193" s="4"/>
      <c r="CG1193" s="4"/>
      <c r="CI1193" s="2"/>
    </row>
    <row r="1194" spans="1:87" s="101" customFormat="1" x14ac:dyDescent="0.35">
      <c r="A1194" s="1"/>
      <c r="C1194" s="1"/>
      <c r="G1194" s="2"/>
      <c r="H1194" s="2"/>
      <c r="I1194" s="2"/>
      <c r="J1194" s="2"/>
      <c r="K1194" s="81"/>
      <c r="L1194" s="4"/>
      <c r="M1194" s="4"/>
      <c r="N1194" s="4"/>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3"/>
      <c r="AP1194" s="2"/>
      <c r="AQ1194" s="2"/>
      <c r="AR1194" s="2"/>
      <c r="AS1194" s="2"/>
      <c r="AT1194" s="2"/>
      <c r="AU1194" s="2"/>
      <c r="AV1194" s="2"/>
      <c r="AW1194" s="2"/>
      <c r="AX1194" s="2"/>
      <c r="AY1194" s="2"/>
      <c r="AZ1194" s="5"/>
      <c r="BA1194" s="2"/>
      <c r="BD1194" s="2"/>
      <c r="BE1194" s="2"/>
      <c r="BF1194" s="2"/>
      <c r="BG1194" s="2"/>
      <c r="BH1194" s="2"/>
      <c r="BI1194" s="2"/>
      <c r="BJ1194" s="2"/>
      <c r="BK1194" s="2"/>
      <c r="BM1194" s="2"/>
      <c r="BN1194" s="2"/>
      <c r="BO1194" s="2"/>
      <c r="BP1194" s="2"/>
      <c r="BQ1194" s="2"/>
      <c r="BR1194" s="6"/>
      <c r="BS1194" s="6"/>
      <c r="BT1194" s="2"/>
      <c r="BU1194" s="2"/>
      <c r="BV1194" s="2"/>
      <c r="BW1194" s="2"/>
      <c r="BX1194" s="2"/>
      <c r="BY1194" s="2"/>
      <c r="BZ1194" s="2"/>
      <c r="CA1194" s="2"/>
      <c r="CB1194" s="2"/>
      <c r="CC1194" s="2"/>
      <c r="CD1194" s="3"/>
      <c r="CE1194" s="2"/>
      <c r="CF1194" s="4"/>
      <c r="CG1194" s="4"/>
      <c r="CI1194" s="2"/>
    </row>
    <row r="1195" spans="1:87" s="101" customFormat="1" x14ac:dyDescent="0.35">
      <c r="A1195" s="1"/>
      <c r="C1195" s="1"/>
      <c r="G1195" s="2"/>
      <c r="H1195" s="2"/>
      <c r="I1195" s="2"/>
      <c r="J1195" s="2"/>
      <c r="K1195" s="81"/>
      <c r="L1195" s="4"/>
      <c r="M1195" s="4"/>
      <c r="N1195" s="4"/>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3"/>
      <c r="AP1195" s="2"/>
      <c r="AQ1195" s="2"/>
      <c r="AR1195" s="2"/>
      <c r="AS1195" s="2"/>
      <c r="AT1195" s="2"/>
      <c r="AU1195" s="2"/>
      <c r="AV1195" s="2"/>
      <c r="AW1195" s="2"/>
      <c r="AX1195" s="2"/>
      <c r="AY1195" s="2"/>
      <c r="AZ1195" s="5"/>
      <c r="BA1195" s="2"/>
      <c r="BD1195" s="2"/>
      <c r="BE1195" s="2"/>
      <c r="BF1195" s="2"/>
      <c r="BG1195" s="2"/>
      <c r="BH1195" s="2"/>
      <c r="BI1195" s="2"/>
      <c r="BJ1195" s="2"/>
      <c r="BK1195" s="2"/>
      <c r="BM1195" s="2"/>
      <c r="BN1195" s="2"/>
      <c r="BO1195" s="2"/>
      <c r="BP1195" s="2"/>
      <c r="BQ1195" s="2"/>
      <c r="BR1195" s="6"/>
      <c r="BS1195" s="6"/>
      <c r="BT1195" s="2"/>
      <c r="BU1195" s="2"/>
      <c r="BV1195" s="2"/>
      <c r="BW1195" s="2"/>
      <c r="BX1195" s="2"/>
      <c r="BY1195" s="2"/>
      <c r="BZ1195" s="2"/>
      <c r="CA1195" s="2"/>
      <c r="CB1195" s="2"/>
      <c r="CC1195" s="2"/>
      <c r="CD1195" s="3"/>
      <c r="CE1195" s="2"/>
      <c r="CF1195" s="4"/>
      <c r="CG1195" s="4"/>
      <c r="CI1195" s="2"/>
    </row>
    <row r="1196" spans="1:87" s="101" customFormat="1" x14ac:dyDescent="0.35">
      <c r="A1196" s="1"/>
      <c r="C1196" s="1"/>
      <c r="G1196" s="2"/>
      <c r="H1196" s="2"/>
      <c r="I1196" s="2"/>
      <c r="J1196" s="2"/>
      <c r="K1196" s="81"/>
      <c r="L1196" s="4"/>
      <c r="M1196" s="4"/>
      <c r="N1196" s="4"/>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3"/>
      <c r="AP1196" s="2"/>
      <c r="AQ1196" s="2"/>
      <c r="AR1196" s="2"/>
      <c r="AS1196" s="2"/>
      <c r="AT1196" s="2"/>
      <c r="AU1196" s="2"/>
      <c r="AV1196" s="2"/>
      <c r="AW1196" s="2"/>
      <c r="AX1196" s="2"/>
      <c r="AY1196" s="2"/>
      <c r="AZ1196" s="5"/>
      <c r="BA1196" s="2"/>
      <c r="BD1196" s="2"/>
      <c r="BE1196" s="2"/>
      <c r="BF1196" s="2"/>
      <c r="BG1196" s="2"/>
      <c r="BH1196" s="2"/>
      <c r="BI1196" s="2"/>
      <c r="BJ1196" s="2"/>
      <c r="BK1196" s="2"/>
      <c r="BM1196" s="2"/>
      <c r="BN1196" s="2"/>
      <c r="BO1196" s="2"/>
      <c r="BP1196" s="2"/>
      <c r="BQ1196" s="2"/>
      <c r="BR1196" s="6"/>
      <c r="BS1196" s="6"/>
      <c r="BT1196" s="2"/>
      <c r="BU1196" s="2"/>
      <c r="BV1196" s="2"/>
      <c r="BW1196" s="2"/>
      <c r="BX1196" s="2"/>
      <c r="BY1196" s="2"/>
      <c r="BZ1196" s="2"/>
      <c r="CA1196" s="2"/>
      <c r="CB1196" s="2"/>
      <c r="CC1196" s="2"/>
      <c r="CD1196" s="3"/>
      <c r="CE1196" s="2"/>
      <c r="CF1196" s="4"/>
      <c r="CG1196" s="4"/>
      <c r="CI1196" s="2"/>
    </row>
    <row r="1197" spans="1:87" s="101" customFormat="1" x14ac:dyDescent="0.35">
      <c r="A1197" s="1"/>
      <c r="C1197" s="1"/>
      <c r="G1197" s="2"/>
      <c r="H1197" s="2"/>
      <c r="I1197" s="2"/>
      <c r="J1197" s="2"/>
      <c r="K1197" s="81"/>
      <c r="L1197" s="4"/>
      <c r="M1197" s="4"/>
      <c r="N1197" s="4"/>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3"/>
      <c r="AP1197" s="2"/>
      <c r="AQ1197" s="2"/>
      <c r="AR1197" s="2"/>
      <c r="AS1197" s="2"/>
      <c r="AT1197" s="2"/>
      <c r="AU1197" s="2"/>
      <c r="AV1197" s="2"/>
      <c r="AW1197" s="2"/>
      <c r="AX1197" s="2"/>
      <c r="AY1197" s="2"/>
      <c r="AZ1197" s="5"/>
      <c r="BA1197" s="2"/>
      <c r="BD1197" s="2"/>
      <c r="BE1197" s="2"/>
      <c r="BF1197" s="2"/>
      <c r="BG1197" s="2"/>
      <c r="BH1197" s="2"/>
      <c r="BI1197" s="2"/>
      <c r="BJ1197" s="2"/>
      <c r="BK1197" s="2"/>
      <c r="BM1197" s="2"/>
      <c r="BN1197" s="2"/>
      <c r="BO1197" s="2"/>
      <c r="BP1197" s="2"/>
      <c r="BQ1197" s="2"/>
      <c r="BR1197" s="6"/>
      <c r="BS1197" s="6"/>
      <c r="BT1197" s="2"/>
      <c r="BU1197" s="2"/>
      <c r="BV1197" s="2"/>
      <c r="BW1197" s="2"/>
      <c r="BX1197" s="2"/>
      <c r="BY1197" s="2"/>
      <c r="BZ1197" s="2"/>
      <c r="CA1197" s="2"/>
      <c r="CB1197" s="2"/>
      <c r="CC1197" s="2"/>
      <c r="CD1197" s="3"/>
      <c r="CE1197" s="2"/>
      <c r="CF1197" s="4"/>
      <c r="CG1197" s="4"/>
      <c r="CI1197" s="2"/>
    </row>
    <row r="1198" spans="1:87" s="101" customFormat="1" x14ac:dyDescent="0.35">
      <c r="A1198" s="1"/>
      <c r="C1198" s="1"/>
      <c r="G1198" s="2"/>
      <c r="H1198" s="2"/>
      <c r="I1198" s="2"/>
      <c r="J1198" s="2"/>
      <c r="K1198" s="81"/>
      <c r="L1198" s="4"/>
      <c r="M1198" s="4"/>
      <c r="N1198" s="4"/>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3"/>
      <c r="AP1198" s="2"/>
      <c r="AQ1198" s="2"/>
      <c r="AR1198" s="2"/>
      <c r="AS1198" s="2"/>
      <c r="AT1198" s="2"/>
      <c r="AU1198" s="2"/>
      <c r="AV1198" s="2"/>
      <c r="AW1198" s="2"/>
      <c r="AX1198" s="2"/>
      <c r="AY1198" s="2"/>
      <c r="AZ1198" s="5"/>
      <c r="BA1198" s="2"/>
      <c r="BD1198" s="2"/>
      <c r="BE1198" s="2"/>
      <c r="BF1198" s="2"/>
      <c r="BG1198" s="2"/>
      <c r="BH1198" s="2"/>
      <c r="BI1198" s="2"/>
      <c r="BJ1198" s="2"/>
      <c r="BK1198" s="2"/>
      <c r="BM1198" s="2"/>
      <c r="BN1198" s="2"/>
      <c r="BO1198" s="2"/>
      <c r="BP1198" s="2"/>
      <c r="BQ1198" s="2"/>
      <c r="BR1198" s="6"/>
      <c r="BS1198" s="6"/>
      <c r="BT1198" s="2"/>
      <c r="BU1198" s="2"/>
      <c r="BV1198" s="2"/>
      <c r="BW1198" s="2"/>
      <c r="BX1198" s="2"/>
      <c r="BY1198" s="2"/>
      <c r="BZ1198" s="2"/>
      <c r="CA1198" s="2"/>
      <c r="CB1198" s="2"/>
      <c r="CC1198" s="2"/>
      <c r="CD1198" s="3"/>
      <c r="CE1198" s="2"/>
      <c r="CF1198" s="4"/>
      <c r="CG1198" s="4"/>
      <c r="CI1198" s="2"/>
    </row>
    <row r="1199" spans="1:87" s="101" customFormat="1" x14ac:dyDescent="0.35">
      <c r="A1199" s="1"/>
      <c r="C1199" s="1"/>
      <c r="G1199" s="2"/>
      <c r="H1199" s="2"/>
      <c r="I1199" s="2"/>
      <c r="J1199" s="2"/>
      <c r="K1199" s="81"/>
      <c r="L1199" s="4"/>
      <c r="M1199" s="4"/>
      <c r="N1199" s="4"/>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3"/>
      <c r="AP1199" s="2"/>
      <c r="AQ1199" s="2"/>
      <c r="AR1199" s="2"/>
      <c r="AS1199" s="2"/>
      <c r="AT1199" s="2"/>
      <c r="AU1199" s="2"/>
      <c r="AV1199" s="2"/>
      <c r="AW1199" s="2"/>
      <c r="AX1199" s="2"/>
      <c r="AY1199" s="2"/>
      <c r="AZ1199" s="5"/>
      <c r="BA1199" s="2"/>
      <c r="BD1199" s="2"/>
      <c r="BE1199" s="2"/>
      <c r="BF1199" s="2"/>
      <c r="BG1199" s="2"/>
      <c r="BH1199" s="2"/>
      <c r="BI1199" s="2"/>
      <c r="BJ1199" s="2"/>
      <c r="BK1199" s="2"/>
      <c r="BM1199" s="2"/>
      <c r="BN1199" s="2"/>
      <c r="BO1199" s="2"/>
      <c r="BP1199" s="2"/>
      <c r="BQ1199" s="2"/>
      <c r="BR1199" s="6"/>
      <c r="BS1199" s="6"/>
      <c r="BT1199" s="2"/>
      <c r="BU1199" s="2"/>
      <c r="BV1199" s="2"/>
      <c r="BW1199" s="2"/>
      <c r="BX1199" s="2"/>
      <c r="BY1199" s="2"/>
      <c r="BZ1199" s="2"/>
      <c r="CA1199" s="2"/>
      <c r="CB1199" s="2"/>
      <c r="CC1199" s="2"/>
      <c r="CD1199" s="3"/>
      <c r="CE1199" s="2"/>
      <c r="CF1199" s="4"/>
      <c r="CG1199" s="4"/>
      <c r="CI1199" s="2"/>
    </row>
    <row r="1200" spans="1:87" s="101" customFormat="1" x14ac:dyDescent="0.35">
      <c r="A1200" s="1"/>
      <c r="C1200" s="1"/>
      <c r="G1200" s="2"/>
      <c r="H1200" s="2"/>
      <c r="I1200" s="2"/>
      <c r="J1200" s="2"/>
      <c r="K1200" s="81"/>
      <c r="L1200" s="4"/>
      <c r="M1200" s="4"/>
      <c r="N1200" s="4"/>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3"/>
      <c r="AP1200" s="2"/>
      <c r="AQ1200" s="2"/>
      <c r="AR1200" s="2"/>
      <c r="AS1200" s="2"/>
      <c r="AT1200" s="2"/>
      <c r="AU1200" s="2"/>
      <c r="AV1200" s="2"/>
      <c r="AW1200" s="2"/>
      <c r="AX1200" s="2"/>
      <c r="AY1200" s="2"/>
      <c r="AZ1200" s="5"/>
      <c r="BA1200" s="2"/>
      <c r="BD1200" s="2"/>
      <c r="BE1200" s="2"/>
      <c r="BF1200" s="2"/>
      <c r="BG1200" s="2"/>
      <c r="BH1200" s="2"/>
      <c r="BI1200" s="2"/>
      <c r="BJ1200" s="2"/>
      <c r="BK1200" s="2"/>
      <c r="BM1200" s="2"/>
      <c r="BN1200" s="2"/>
      <c r="BO1200" s="2"/>
      <c r="BP1200" s="2"/>
      <c r="BQ1200" s="2"/>
      <c r="BR1200" s="6"/>
      <c r="BS1200" s="6"/>
      <c r="BT1200" s="2"/>
      <c r="BU1200" s="2"/>
      <c r="BV1200" s="2"/>
      <c r="BW1200" s="2"/>
      <c r="BX1200" s="2"/>
      <c r="BY1200" s="2"/>
      <c r="BZ1200" s="2"/>
      <c r="CA1200" s="2"/>
      <c r="CB1200" s="2"/>
      <c r="CC1200" s="2"/>
      <c r="CD1200" s="3"/>
      <c r="CE1200" s="2"/>
      <c r="CF1200" s="4"/>
      <c r="CG1200" s="4"/>
      <c r="CI1200" s="2"/>
    </row>
    <row r="1201" spans="1:87" s="101" customFormat="1" x14ac:dyDescent="0.35">
      <c r="A1201" s="1"/>
      <c r="C1201" s="1"/>
      <c r="G1201" s="2"/>
      <c r="H1201" s="2"/>
      <c r="I1201" s="2"/>
      <c r="J1201" s="2"/>
      <c r="K1201" s="81"/>
      <c r="L1201" s="4"/>
      <c r="M1201" s="4"/>
      <c r="N1201" s="4"/>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3"/>
      <c r="AP1201" s="2"/>
      <c r="AQ1201" s="2"/>
      <c r="AR1201" s="2"/>
      <c r="AS1201" s="2"/>
      <c r="AT1201" s="2"/>
      <c r="AU1201" s="2"/>
      <c r="AV1201" s="2"/>
      <c r="AW1201" s="2"/>
      <c r="AX1201" s="2"/>
      <c r="AY1201" s="2"/>
      <c r="AZ1201" s="5"/>
      <c r="BA1201" s="2"/>
      <c r="BD1201" s="2"/>
      <c r="BE1201" s="2"/>
      <c r="BF1201" s="2"/>
      <c r="BG1201" s="2"/>
      <c r="BH1201" s="2"/>
      <c r="BI1201" s="2"/>
      <c r="BJ1201" s="2"/>
      <c r="BK1201" s="2"/>
      <c r="BM1201" s="2"/>
      <c r="BN1201" s="2"/>
      <c r="BO1201" s="2"/>
      <c r="BP1201" s="2"/>
      <c r="BQ1201" s="2"/>
      <c r="BR1201" s="6"/>
      <c r="BS1201" s="6"/>
      <c r="BT1201" s="2"/>
      <c r="BU1201" s="2"/>
      <c r="BV1201" s="2"/>
      <c r="BW1201" s="2"/>
      <c r="BX1201" s="2"/>
      <c r="BY1201" s="2"/>
      <c r="BZ1201" s="2"/>
      <c r="CA1201" s="2"/>
      <c r="CB1201" s="2"/>
      <c r="CC1201" s="2"/>
      <c r="CD1201" s="3"/>
      <c r="CE1201" s="2"/>
      <c r="CF1201" s="4"/>
      <c r="CG1201" s="4"/>
      <c r="CI1201" s="2"/>
    </row>
    <row r="1202" spans="1:87" s="101" customFormat="1" x14ac:dyDescent="0.35">
      <c r="A1202" s="1"/>
      <c r="C1202" s="1"/>
      <c r="G1202" s="2"/>
      <c r="H1202" s="2"/>
      <c r="I1202" s="2"/>
      <c r="J1202" s="2"/>
      <c r="K1202" s="81"/>
      <c r="L1202" s="4"/>
      <c r="M1202" s="4"/>
      <c r="N1202" s="4"/>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3"/>
      <c r="AP1202" s="2"/>
      <c r="AQ1202" s="2"/>
      <c r="AR1202" s="2"/>
      <c r="AS1202" s="2"/>
      <c r="AT1202" s="2"/>
      <c r="AU1202" s="2"/>
      <c r="AV1202" s="2"/>
      <c r="AW1202" s="2"/>
      <c r="AX1202" s="2"/>
      <c r="AY1202" s="2"/>
      <c r="AZ1202" s="5"/>
      <c r="BA1202" s="2"/>
      <c r="BD1202" s="2"/>
      <c r="BE1202" s="2"/>
      <c r="BF1202" s="2"/>
      <c r="BG1202" s="2"/>
      <c r="BH1202" s="2"/>
      <c r="BI1202" s="2"/>
      <c r="BJ1202" s="2"/>
      <c r="BK1202" s="2"/>
      <c r="BM1202" s="2"/>
      <c r="BN1202" s="2"/>
      <c r="BO1202" s="2"/>
      <c r="BP1202" s="2"/>
      <c r="BQ1202" s="2"/>
      <c r="BR1202" s="6"/>
      <c r="BS1202" s="6"/>
      <c r="BT1202" s="2"/>
      <c r="BU1202" s="2"/>
      <c r="BV1202" s="2"/>
      <c r="BW1202" s="2"/>
      <c r="BX1202" s="2"/>
      <c r="BY1202" s="2"/>
      <c r="BZ1202" s="2"/>
      <c r="CA1202" s="2"/>
      <c r="CB1202" s="2"/>
      <c r="CC1202" s="2"/>
      <c r="CD1202" s="3"/>
      <c r="CE1202" s="2"/>
      <c r="CF1202" s="4"/>
      <c r="CG1202" s="4"/>
      <c r="CI1202" s="2"/>
    </row>
    <row r="1203" spans="1:87" s="101" customFormat="1" x14ac:dyDescent="0.35">
      <c r="A1203" s="1"/>
      <c r="C1203" s="1"/>
      <c r="G1203" s="2"/>
      <c r="H1203" s="2"/>
      <c r="I1203" s="2"/>
      <c r="J1203" s="2"/>
      <c r="K1203" s="81"/>
      <c r="L1203" s="4"/>
      <c r="M1203" s="4"/>
      <c r="N1203" s="4"/>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3"/>
      <c r="AP1203" s="2"/>
      <c r="AQ1203" s="2"/>
      <c r="AR1203" s="2"/>
      <c r="AS1203" s="2"/>
      <c r="AT1203" s="2"/>
      <c r="AU1203" s="2"/>
      <c r="AV1203" s="2"/>
      <c r="AW1203" s="2"/>
      <c r="AX1203" s="2"/>
      <c r="AY1203" s="2"/>
      <c r="AZ1203" s="5"/>
      <c r="BA1203" s="2"/>
      <c r="BD1203" s="2"/>
      <c r="BE1203" s="2"/>
      <c r="BF1203" s="2"/>
      <c r="BG1203" s="2"/>
      <c r="BH1203" s="2"/>
      <c r="BI1203" s="2"/>
      <c r="BJ1203" s="2"/>
      <c r="BK1203" s="2"/>
      <c r="BM1203" s="2"/>
      <c r="BN1203" s="2"/>
      <c r="BO1203" s="2"/>
      <c r="BP1203" s="2"/>
      <c r="BQ1203" s="2"/>
      <c r="BR1203" s="6"/>
      <c r="BS1203" s="6"/>
      <c r="BT1203" s="2"/>
      <c r="BU1203" s="2"/>
      <c r="BV1203" s="2"/>
      <c r="BW1203" s="2"/>
      <c r="BX1203" s="2"/>
      <c r="BY1203" s="2"/>
      <c r="BZ1203" s="2"/>
      <c r="CA1203" s="2"/>
      <c r="CB1203" s="2"/>
      <c r="CC1203" s="2"/>
      <c r="CD1203" s="3"/>
      <c r="CE1203" s="2"/>
      <c r="CF1203" s="4"/>
      <c r="CG1203" s="4"/>
      <c r="CI1203" s="2"/>
    </row>
    <row r="1204" spans="1:87" s="101" customFormat="1" x14ac:dyDescent="0.35">
      <c r="A1204" s="1"/>
      <c r="C1204" s="1"/>
      <c r="G1204" s="2"/>
      <c r="H1204" s="2"/>
      <c r="I1204" s="2"/>
      <c r="J1204" s="2"/>
      <c r="K1204" s="81"/>
      <c r="L1204" s="4"/>
      <c r="M1204" s="4"/>
      <c r="N1204" s="4"/>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3"/>
      <c r="AP1204" s="2"/>
      <c r="AQ1204" s="2"/>
      <c r="AR1204" s="2"/>
      <c r="AS1204" s="2"/>
      <c r="AT1204" s="2"/>
      <c r="AU1204" s="2"/>
      <c r="AV1204" s="2"/>
      <c r="AW1204" s="2"/>
      <c r="AX1204" s="2"/>
      <c r="AY1204" s="2"/>
      <c r="AZ1204" s="5"/>
      <c r="BA1204" s="2"/>
      <c r="BD1204" s="2"/>
      <c r="BE1204" s="2"/>
      <c r="BF1204" s="2"/>
      <c r="BG1204" s="2"/>
      <c r="BH1204" s="2"/>
      <c r="BI1204" s="2"/>
      <c r="BJ1204" s="2"/>
      <c r="BK1204" s="2"/>
      <c r="BM1204" s="2"/>
      <c r="BN1204" s="2"/>
      <c r="BO1204" s="2"/>
      <c r="BP1204" s="2"/>
      <c r="BQ1204" s="2"/>
      <c r="BR1204" s="6"/>
      <c r="BS1204" s="6"/>
      <c r="BT1204" s="2"/>
      <c r="BU1204" s="2"/>
      <c r="BV1204" s="2"/>
      <c r="BW1204" s="2"/>
      <c r="BX1204" s="2"/>
      <c r="BY1204" s="2"/>
      <c r="BZ1204" s="2"/>
      <c r="CA1204" s="2"/>
      <c r="CB1204" s="2"/>
      <c r="CC1204" s="2"/>
      <c r="CD1204" s="3"/>
      <c r="CE1204" s="2"/>
      <c r="CF1204" s="4"/>
      <c r="CG1204" s="4"/>
      <c r="CI1204" s="2"/>
    </row>
    <row r="1205" spans="1:87" s="101" customFormat="1" x14ac:dyDescent="0.35">
      <c r="A1205" s="1"/>
      <c r="C1205" s="1"/>
      <c r="G1205" s="2"/>
      <c r="H1205" s="2"/>
      <c r="I1205" s="2"/>
      <c r="J1205" s="2"/>
      <c r="K1205" s="81"/>
      <c r="L1205" s="4"/>
      <c r="M1205" s="4"/>
      <c r="N1205" s="4"/>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3"/>
      <c r="AP1205" s="2"/>
      <c r="AQ1205" s="2"/>
      <c r="AR1205" s="2"/>
      <c r="AS1205" s="2"/>
      <c r="AT1205" s="2"/>
      <c r="AU1205" s="2"/>
      <c r="AV1205" s="2"/>
      <c r="AW1205" s="2"/>
      <c r="AX1205" s="2"/>
      <c r="AY1205" s="2"/>
      <c r="AZ1205" s="5"/>
      <c r="BA1205" s="2"/>
      <c r="BD1205" s="2"/>
      <c r="BE1205" s="2"/>
      <c r="BF1205" s="2"/>
      <c r="BG1205" s="2"/>
      <c r="BH1205" s="2"/>
      <c r="BI1205" s="2"/>
      <c r="BJ1205" s="2"/>
      <c r="BK1205" s="2"/>
      <c r="BM1205" s="2"/>
      <c r="BN1205" s="2"/>
      <c r="BO1205" s="2"/>
      <c r="BP1205" s="2"/>
      <c r="BQ1205" s="2"/>
      <c r="BR1205" s="6"/>
      <c r="BS1205" s="6"/>
      <c r="BT1205" s="2"/>
      <c r="BU1205" s="2"/>
      <c r="BV1205" s="2"/>
      <c r="BW1205" s="2"/>
      <c r="BX1205" s="2"/>
      <c r="BY1205" s="2"/>
      <c r="BZ1205" s="2"/>
      <c r="CA1205" s="2"/>
      <c r="CB1205" s="2"/>
      <c r="CC1205" s="2"/>
      <c r="CD1205" s="3"/>
      <c r="CE1205" s="2"/>
      <c r="CF1205" s="4"/>
      <c r="CG1205" s="4"/>
      <c r="CI1205" s="2"/>
    </row>
    <row r="1206" spans="1:87" s="101" customFormat="1" x14ac:dyDescent="0.35">
      <c r="A1206" s="1"/>
      <c r="C1206" s="1"/>
      <c r="G1206" s="2"/>
      <c r="H1206" s="2"/>
      <c r="I1206" s="2"/>
      <c r="J1206" s="2"/>
      <c r="K1206" s="81"/>
      <c r="L1206" s="4"/>
      <c r="M1206" s="4"/>
      <c r="N1206" s="4"/>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3"/>
      <c r="AP1206" s="2"/>
      <c r="AQ1206" s="2"/>
      <c r="AR1206" s="2"/>
      <c r="AS1206" s="2"/>
      <c r="AT1206" s="2"/>
      <c r="AU1206" s="2"/>
      <c r="AV1206" s="2"/>
      <c r="AW1206" s="2"/>
      <c r="AX1206" s="2"/>
      <c r="AY1206" s="2"/>
      <c r="AZ1206" s="5"/>
      <c r="BA1206" s="2"/>
      <c r="BD1206" s="2"/>
      <c r="BE1206" s="2"/>
      <c r="BF1206" s="2"/>
      <c r="BG1206" s="2"/>
      <c r="BH1206" s="2"/>
      <c r="BI1206" s="2"/>
      <c r="BJ1206" s="2"/>
      <c r="BK1206" s="2"/>
      <c r="BM1206" s="2"/>
      <c r="BN1206" s="2"/>
      <c r="BO1206" s="2"/>
      <c r="BP1206" s="2"/>
      <c r="BQ1206" s="2"/>
      <c r="BR1206" s="6"/>
      <c r="BS1206" s="6"/>
      <c r="BT1206" s="2"/>
      <c r="BU1206" s="2"/>
      <c r="BV1206" s="2"/>
      <c r="BW1206" s="2"/>
      <c r="BX1206" s="2"/>
      <c r="BY1206" s="2"/>
      <c r="BZ1206" s="2"/>
      <c r="CA1206" s="2"/>
      <c r="CB1206" s="2"/>
      <c r="CC1206" s="2"/>
      <c r="CD1206" s="3"/>
      <c r="CE1206" s="2"/>
      <c r="CF1206" s="4"/>
      <c r="CG1206" s="4"/>
      <c r="CI1206" s="2"/>
    </row>
    <row r="1207" spans="1:87" s="101" customFormat="1" x14ac:dyDescent="0.35">
      <c r="A1207" s="1"/>
      <c r="C1207" s="1"/>
      <c r="G1207" s="2"/>
      <c r="H1207" s="2"/>
      <c r="I1207" s="2"/>
      <c r="J1207" s="2"/>
      <c r="K1207" s="81"/>
      <c r="L1207" s="4"/>
      <c r="M1207" s="4"/>
      <c r="N1207" s="4"/>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3"/>
      <c r="AP1207" s="2"/>
      <c r="AQ1207" s="2"/>
      <c r="AR1207" s="2"/>
      <c r="AS1207" s="2"/>
      <c r="AT1207" s="2"/>
      <c r="AU1207" s="2"/>
      <c r="AV1207" s="2"/>
      <c r="AW1207" s="2"/>
      <c r="AX1207" s="2"/>
      <c r="AY1207" s="2"/>
      <c r="AZ1207" s="5"/>
      <c r="BA1207" s="2"/>
      <c r="BD1207" s="2"/>
      <c r="BE1207" s="2"/>
      <c r="BF1207" s="2"/>
      <c r="BG1207" s="2"/>
      <c r="BH1207" s="2"/>
      <c r="BI1207" s="2"/>
      <c r="BJ1207" s="2"/>
      <c r="BK1207" s="2"/>
      <c r="BM1207" s="2"/>
      <c r="BN1207" s="2"/>
      <c r="BO1207" s="2"/>
      <c r="BP1207" s="2"/>
      <c r="BQ1207" s="2"/>
      <c r="BR1207" s="6"/>
      <c r="BS1207" s="6"/>
      <c r="BT1207" s="2"/>
      <c r="BU1207" s="2"/>
      <c r="BV1207" s="2"/>
      <c r="BW1207" s="2"/>
      <c r="BX1207" s="2"/>
      <c r="BY1207" s="2"/>
      <c r="BZ1207" s="2"/>
      <c r="CA1207" s="2"/>
      <c r="CB1207" s="2"/>
      <c r="CC1207" s="2"/>
      <c r="CD1207" s="3"/>
      <c r="CE1207" s="2"/>
      <c r="CF1207" s="4"/>
      <c r="CG1207" s="4"/>
      <c r="CI1207" s="2"/>
    </row>
    <row r="1208" spans="1:87" s="101" customFormat="1" x14ac:dyDescent="0.35">
      <c r="A1208" s="1"/>
      <c r="C1208" s="1"/>
      <c r="G1208" s="2"/>
      <c r="H1208" s="2"/>
      <c r="I1208" s="2"/>
      <c r="J1208" s="2"/>
      <c r="K1208" s="81"/>
      <c r="L1208" s="4"/>
      <c r="M1208" s="4"/>
      <c r="N1208" s="4"/>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3"/>
      <c r="AP1208" s="2"/>
      <c r="AQ1208" s="2"/>
      <c r="AR1208" s="2"/>
      <c r="AS1208" s="2"/>
      <c r="AT1208" s="2"/>
      <c r="AU1208" s="2"/>
      <c r="AV1208" s="2"/>
      <c r="AW1208" s="2"/>
      <c r="AX1208" s="2"/>
      <c r="AY1208" s="2"/>
      <c r="AZ1208" s="5"/>
      <c r="BA1208" s="2"/>
      <c r="BD1208" s="2"/>
      <c r="BE1208" s="2"/>
      <c r="BF1208" s="2"/>
      <c r="BG1208" s="2"/>
      <c r="BH1208" s="2"/>
      <c r="BI1208" s="2"/>
      <c r="BJ1208" s="2"/>
      <c r="BK1208" s="2"/>
      <c r="BM1208" s="2"/>
      <c r="BN1208" s="2"/>
      <c r="BO1208" s="2"/>
      <c r="BP1208" s="2"/>
      <c r="BQ1208" s="2"/>
      <c r="BR1208" s="6"/>
      <c r="BS1208" s="6"/>
      <c r="BT1208" s="2"/>
      <c r="BU1208" s="2"/>
      <c r="BV1208" s="2"/>
      <c r="BW1208" s="2"/>
      <c r="BX1208" s="2"/>
      <c r="BY1208" s="2"/>
      <c r="BZ1208" s="2"/>
      <c r="CA1208" s="2"/>
      <c r="CB1208" s="2"/>
      <c r="CC1208" s="2"/>
      <c r="CD1208" s="3"/>
      <c r="CE1208" s="2"/>
      <c r="CF1208" s="4"/>
      <c r="CG1208" s="4"/>
      <c r="CI1208" s="2"/>
    </row>
    <row r="1209" spans="1:87" s="101" customFormat="1" x14ac:dyDescent="0.35">
      <c r="A1209" s="1"/>
      <c r="C1209" s="1"/>
      <c r="G1209" s="2"/>
      <c r="H1209" s="2"/>
      <c r="I1209" s="2"/>
      <c r="J1209" s="2"/>
      <c r="K1209" s="81"/>
      <c r="L1209" s="4"/>
      <c r="M1209" s="4"/>
      <c r="N1209" s="4"/>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3"/>
      <c r="AP1209" s="2"/>
      <c r="AQ1209" s="2"/>
      <c r="AR1209" s="2"/>
      <c r="AS1209" s="2"/>
      <c r="AT1209" s="2"/>
      <c r="AU1209" s="2"/>
      <c r="AV1209" s="2"/>
      <c r="AW1209" s="2"/>
      <c r="AX1209" s="2"/>
      <c r="AY1209" s="2"/>
      <c r="AZ1209" s="5"/>
      <c r="BA1209" s="2"/>
      <c r="BD1209" s="2"/>
      <c r="BE1209" s="2"/>
      <c r="BF1209" s="2"/>
      <c r="BG1209" s="2"/>
      <c r="BH1209" s="2"/>
      <c r="BI1209" s="2"/>
      <c r="BJ1209" s="2"/>
      <c r="BK1209" s="2"/>
      <c r="BM1209" s="2"/>
      <c r="BN1209" s="2"/>
      <c r="BO1209" s="2"/>
      <c r="BP1209" s="2"/>
      <c r="BQ1209" s="2"/>
      <c r="BR1209" s="6"/>
      <c r="BS1209" s="6"/>
      <c r="BT1209" s="2"/>
      <c r="BU1209" s="2"/>
      <c r="BV1209" s="2"/>
      <c r="BW1209" s="2"/>
      <c r="BX1209" s="2"/>
      <c r="BY1209" s="2"/>
      <c r="BZ1209" s="2"/>
      <c r="CA1209" s="2"/>
      <c r="CB1209" s="2"/>
      <c r="CC1209" s="2"/>
      <c r="CD1209" s="3"/>
      <c r="CE1209" s="2"/>
      <c r="CF1209" s="4"/>
      <c r="CG1209" s="4"/>
      <c r="CI1209" s="2"/>
    </row>
    <row r="1210" spans="1:87" s="101" customFormat="1" x14ac:dyDescent="0.35">
      <c r="A1210" s="1"/>
      <c r="C1210" s="1"/>
      <c r="G1210" s="2"/>
      <c r="H1210" s="2"/>
      <c r="I1210" s="2"/>
      <c r="J1210" s="2"/>
      <c r="K1210" s="81"/>
      <c r="L1210" s="4"/>
      <c r="M1210" s="4"/>
      <c r="N1210" s="4"/>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3"/>
      <c r="AP1210" s="2"/>
      <c r="AQ1210" s="2"/>
      <c r="AR1210" s="2"/>
      <c r="AS1210" s="2"/>
      <c r="AT1210" s="2"/>
      <c r="AU1210" s="2"/>
      <c r="AV1210" s="2"/>
      <c r="AW1210" s="2"/>
      <c r="AX1210" s="2"/>
      <c r="AY1210" s="2"/>
      <c r="AZ1210" s="5"/>
      <c r="BA1210" s="2"/>
      <c r="BD1210" s="2"/>
      <c r="BE1210" s="2"/>
      <c r="BF1210" s="2"/>
      <c r="BG1210" s="2"/>
      <c r="BH1210" s="2"/>
      <c r="BI1210" s="2"/>
      <c r="BJ1210" s="2"/>
      <c r="BK1210" s="2"/>
      <c r="BM1210" s="2"/>
      <c r="BN1210" s="2"/>
      <c r="BO1210" s="2"/>
      <c r="BP1210" s="2"/>
      <c r="BQ1210" s="2"/>
      <c r="BR1210" s="6"/>
      <c r="BS1210" s="6"/>
      <c r="BT1210" s="2"/>
      <c r="BU1210" s="2"/>
      <c r="BV1210" s="2"/>
      <c r="BW1210" s="2"/>
      <c r="BX1210" s="2"/>
      <c r="BY1210" s="2"/>
      <c r="BZ1210" s="2"/>
      <c r="CA1210" s="2"/>
      <c r="CB1210" s="2"/>
      <c r="CC1210" s="2"/>
      <c r="CD1210" s="3"/>
      <c r="CE1210" s="2"/>
      <c r="CF1210" s="4"/>
      <c r="CG1210" s="4"/>
      <c r="CI1210" s="2"/>
    </row>
    <row r="1211" spans="1:87" s="101" customFormat="1" x14ac:dyDescent="0.35">
      <c r="A1211" s="1"/>
      <c r="C1211" s="1"/>
      <c r="G1211" s="2"/>
      <c r="H1211" s="2"/>
      <c r="I1211" s="2"/>
      <c r="J1211" s="2"/>
      <c r="K1211" s="81"/>
      <c r="L1211" s="4"/>
      <c r="M1211" s="4"/>
      <c r="N1211" s="4"/>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3"/>
      <c r="AP1211" s="2"/>
      <c r="AQ1211" s="2"/>
      <c r="AR1211" s="2"/>
      <c r="AS1211" s="2"/>
      <c r="AT1211" s="2"/>
      <c r="AU1211" s="2"/>
      <c r="AV1211" s="2"/>
      <c r="AW1211" s="2"/>
      <c r="AX1211" s="2"/>
      <c r="AY1211" s="2"/>
      <c r="AZ1211" s="5"/>
      <c r="BA1211" s="2"/>
      <c r="BD1211" s="2"/>
      <c r="BE1211" s="2"/>
      <c r="BF1211" s="2"/>
      <c r="BG1211" s="2"/>
      <c r="BH1211" s="2"/>
      <c r="BI1211" s="2"/>
      <c r="BJ1211" s="2"/>
      <c r="BK1211" s="2"/>
      <c r="BM1211" s="2"/>
      <c r="BN1211" s="2"/>
      <c r="BO1211" s="2"/>
      <c r="BP1211" s="2"/>
      <c r="BQ1211" s="2"/>
      <c r="BR1211" s="6"/>
      <c r="BS1211" s="6"/>
      <c r="BT1211" s="2"/>
      <c r="BU1211" s="2"/>
      <c r="BV1211" s="2"/>
      <c r="BW1211" s="2"/>
      <c r="BX1211" s="2"/>
      <c r="BY1211" s="2"/>
      <c r="BZ1211" s="2"/>
      <c r="CA1211" s="2"/>
      <c r="CB1211" s="2"/>
      <c r="CC1211" s="2"/>
      <c r="CD1211" s="3"/>
      <c r="CE1211" s="2"/>
      <c r="CF1211" s="4"/>
      <c r="CG1211" s="4"/>
      <c r="CI1211" s="2"/>
    </row>
    <row r="1212" spans="1:87" s="101" customFormat="1" x14ac:dyDescent="0.35">
      <c r="A1212" s="1"/>
      <c r="C1212" s="1"/>
      <c r="G1212" s="2"/>
      <c r="H1212" s="2"/>
      <c r="I1212" s="2"/>
      <c r="J1212" s="2"/>
      <c r="K1212" s="81"/>
      <c r="L1212" s="4"/>
      <c r="M1212" s="4"/>
      <c r="N1212" s="4"/>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3"/>
      <c r="AP1212" s="2"/>
      <c r="AQ1212" s="2"/>
      <c r="AR1212" s="2"/>
      <c r="AS1212" s="2"/>
      <c r="AT1212" s="2"/>
      <c r="AU1212" s="2"/>
      <c r="AV1212" s="2"/>
      <c r="AW1212" s="2"/>
      <c r="AX1212" s="2"/>
      <c r="AY1212" s="2"/>
      <c r="AZ1212" s="5"/>
      <c r="BA1212" s="2"/>
      <c r="BD1212" s="2"/>
      <c r="BE1212" s="2"/>
      <c r="BF1212" s="2"/>
      <c r="BG1212" s="2"/>
      <c r="BH1212" s="2"/>
      <c r="BI1212" s="2"/>
      <c r="BJ1212" s="2"/>
      <c r="BK1212" s="2"/>
      <c r="BM1212" s="2"/>
      <c r="BN1212" s="2"/>
      <c r="BO1212" s="2"/>
      <c r="BP1212" s="2"/>
      <c r="BQ1212" s="2"/>
      <c r="BR1212" s="6"/>
      <c r="BS1212" s="6"/>
      <c r="BT1212" s="2"/>
      <c r="BU1212" s="2"/>
      <c r="BV1212" s="2"/>
      <c r="BW1212" s="2"/>
      <c r="BX1212" s="2"/>
      <c r="BY1212" s="2"/>
      <c r="BZ1212" s="2"/>
      <c r="CA1212" s="2"/>
      <c r="CB1212" s="2"/>
      <c r="CC1212" s="2"/>
      <c r="CD1212" s="3"/>
      <c r="CE1212" s="2"/>
      <c r="CF1212" s="4"/>
      <c r="CG1212" s="4"/>
      <c r="CI1212" s="2"/>
    </row>
    <row r="1213" spans="1:87" s="101" customFormat="1" x14ac:dyDescent="0.35">
      <c r="A1213" s="1"/>
      <c r="C1213" s="1"/>
      <c r="G1213" s="2"/>
      <c r="H1213" s="2"/>
      <c r="I1213" s="2"/>
      <c r="J1213" s="2"/>
      <c r="K1213" s="81"/>
      <c r="L1213" s="4"/>
      <c r="M1213" s="4"/>
      <c r="N1213" s="4"/>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3"/>
      <c r="AP1213" s="2"/>
      <c r="AQ1213" s="2"/>
      <c r="AR1213" s="2"/>
      <c r="AS1213" s="2"/>
      <c r="AT1213" s="2"/>
      <c r="AU1213" s="2"/>
      <c r="AV1213" s="2"/>
      <c r="AW1213" s="2"/>
      <c r="AX1213" s="2"/>
      <c r="AY1213" s="2"/>
      <c r="AZ1213" s="5"/>
      <c r="BA1213" s="2"/>
      <c r="BD1213" s="2"/>
      <c r="BE1213" s="2"/>
      <c r="BF1213" s="2"/>
      <c r="BG1213" s="2"/>
      <c r="BH1213" s="2"/>
      <c r="BI1213" s="2"/>
      <c r="BJ1213" s="2"/>
      <c r="BK1213" s="2"/>
      <c r="BM1213" s="2"/>
      <c r="BN1213" s="2"/>
      <c r="BO1213" s="2"/>
      <c r="BP1213" s="2"/>
      <c r="BQ1213" s="2"/>
      <c r="BR1213" s="6"/>
      <c r="BS1213" s="6"/>
      <c r="BT1213" s="2"/>
      <c r="BU1213" s="2"/>
      <c r="BV1213" s="2"/>
      <c r="BW1213" s="2"/>
      <c r="BX1213" s="2"/>
      <c r="BY1213" s="2"/>
      <c r="BZ1213" s="2"/>
      <c r="CA1213" s="2"/>
      <c r="CB1213" s="2"/>
      <c r="CC1213" s="2"/>
      <c r="CD1213" s="3"/>
      <c r="CE1213" s="2"/>
      <c r="CF1213" s="4"/>
      <c r="CG1213" s="4"/>
      <c r="CI1213" s="2"/>
    </row>
    <row r="1214" spans="1:87" s="101" customFormat="1" x14ac:dyDescent="0.35">
      <c r="A1214" s="1"/>
      <c r="C1214" s="1"/>
      <c r="G1214" s="2"/>
      <c r="H1214" s="2"/>
      <c r="I1214" s="2"/>
      <c r="J1214" s="2"/>
      <c r="K1214" s="81"/>
      <c r="L1214" s="4"/>
      <c r="M1214" s="4"/>
      <c r="N1214" s="4"/>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3"/>
      <c r="AP1214" s="2"/>
      <c r="AQ1214" s="2"/>
      <c r="AR1214" s="2"/>
      <c r="AS1214" s="2"/>
      <c r="AT1214" s="2"/>
      <c r="AU1214" s="2"/>
      <c r="AV1214" s="2"/>
      <c r="AW1214" s="2"/>
      <c r="AX1214" s="2"/>
      <c r="AY1214" s="2"/>
      <c r="AZ1214" s="5"/>
      <c r="BA1214" s="2"/>
      <c r="BD1214" s="2"/>
      <c r="BE1214" s="2"/>
      <c r="BF1214" s="2"/>
      <c r="BG1214" s="2"/>
      <c r="BH1214" s="2"/>
      <c r="BI1214" s="2"/>
      <c r="BJ1214" s="2"/>
      <c r="BK1214" s="2"/>
      <c r="BM1214" s="2"/>
      <c r="BN1214" s="2"/>
      <c r="BO1214" s="2"/>
      <c r="BP1214" s="2"/>
      <c r="BQ1214" s="2"/>
      <c r="BR1214" s="6"/>
      <c r="BS1214" s="6"/>
      <c r="BT1214" s="2"/>
      <c r="BU1214" s="2"/>
      <c r="BV1214" s="2"/>
      <c r="BW1214" s="2"/>
      <c r="BX1214" s="2"/>
      <c r="BY1214" s="2"/>
      <c r="BZ1214" s="2"/>
      <c r="CA1214" s="2"/>
      <c r="CB1214" s="2"/>
      <c r="CC1214" s="2"/>
      <c r="CD1214" s="3"/>
      <c r="CE1214" s="2"/>
      <c r="CF1214" s="4"/>
      <c r="CG1214" s="4"/>
      <c r="CI1214" s="2"/>
    </row>
    <row r="1215" spans="1:87" s="101" customFormat="1" x14ac:dyDescent="0.35">
      <c r="A1215" s="1"/>
      <c r="C1215" s="1"/>
      <c r="G1215" s="2"/>
      <c r="H1215" s="2"/>
      <c r="I1215" s="2"/>
      <c r="J1215" s="2"/>
      <c r="K1215" s="81"/>
      <c r="L1215" s="4"/>
      <c r="M1215" s="4"/>
      <c r="N1215" s="4"/>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3"/>
      <c r="AP1215" s="2"/>
      <c r="AQ1215" s="2"/>
      <c r="AR1215" s="2"/>
      <c r="AS1215" s="2"/>
      <c r="AT1215" s="2"/>
      <c r="AU1215" s="2"/>
      <c r="AV1215" s="2"/>
      <c r="AW1215" s="2"/>
      <c r="AX1215" s="2"/>
      <c r="AY1215" s="2"/>
      <c r="AZ1215" s="5"/>
      <c r="BA1215" s="2"/>
      <c r="BD1215" s="2"/>
      <c r="BE1215" s="2"/>
      <c r="BF1215" s="2"/>
      <c r="BG1215" s="2"/>
      <c r="BH1215" s="2"/>
      <c r="BI1215" s="2"/>
      <c r="BJ1215" s="2"/>
      <c r="BK1215" s="2"/>
      <c r="BM1215" s="2"/>
      <c r="BN1215" s="2"/>
      <c r="BO1215" s="2"/>
      <c r="BP1215" s="2"/>
      <c r="BQ1215" s="2"/>
      <c r="BR1215" s="6"/>
      <c r="BS1215" s="6"/>
      <c r="BT1215" s="2"/>
      <c r="BU1215" s="2"/>
      <c r="BV1215" s="2"/>
      <c r="BW1215" s="2"/>
      <c r="BX1215" s="2"/>
      <c r="BY1215" s="2"/>
      <c r="BZ1215" s="2"/>
      <c r="CA1215" s="2"/>
      <c r="CB1215" s="2"/>
      <c r="CC1215" s="2"/>
      <c r="CD1215" s="3"/>
      <c r="CE1215" s="2"/>
      <c r="CF1215" s="4"/>
      <c r="CG1215" s="4"/>
      <c r="CI1215" s="2"/>
    </row>
    <row r="1216" spans="1:87" s="101" customFormat="1" x14ac:dyDescent="0.35">
      <c r="A1216" s="1"/>
      <c r="C1216" s="1"/>
      <c r="G1216" s="2"/>
      <c r="H1216" s="2"/>
      <c r="I1216" s="2"/>
      <c r="J1216" s="2"/>
      <c r="K1216" s="81"/>
      <c r="L1216" s="4"/>
      <c r="M1216" s="4"/>
      <c r="N1216" s="4"/>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3"/>
      <c r="AP1216" s="2"/>
      <c r="AQ1216" s="2"/>
      <c r="AR1216" s="2"/>
      <c r="AS1216" s="2"/>
      <c r="AT1216" s="2"/>
      <c r="AU1216" s="2"/>
      <c r="AV1216" s="2"/>
      <c r="AW1216" s="2"/>
      <c r="AX1216" s="2"/>
      <c r="AY1216" s="2"/>
      <c r="AZ1216" s="5"/>
      <c r="BA1216" s="2"/>
      <c r="BD1216" s="2"/>
      <c r="BE1216" s="2"/>
      <c r="BF1216" s="2"/>
      <c r="BG1216" s="2"/>
      <c r="BH1216" s="2"/>
      <c r="BI1216" s="2"/>
      <c r="BJ1216" s="2"/>
      <c r="BK1216" s="2"/>
      <c r="BM1216" s="2"/>
      <c r="BN1216" s="2"/>
      <c r="BO1216" s="2"/>
      <c r="BP1216" s="2"/>
      <c r="BQ1216" s="2"/>
      <c r="BR1216" s="6"/>
      <c r="BS1216" s="6"/>
      <c r="BT1216" s="2"/>
      <c r="BU1216" s="2"/>
      <c r="BV1216" s="2"/>
      <c r="BW1216" s="2"/>
      <c r="BX1216" s="2"/>
      <c r="BY1216" s="2"/>
      <c r="BZ1216" s="2"/>
      <c r="CA1216" s="2"/>
      <c r="CB1216" s="2"/>
      <c r="CC1216" s="2"/>
      <c r="CD1216" s="3"/>
      <c r="CE1216" s="2"/>
      <c r="CF1216" s="4"/>
      <c r="CG1216" s="4"/>
      <c r="CI1216" s="2"/>
    </row>
    <row r="1217" spans="1:87" s="101" customFormat="1" x14ac:dyDescent="0.35">
      <c r="A1217" s="1"/>
      <c r="C1217" s="1"/>
      <c r="G1217" s="2"/>
      <c r="H1217" s="2"/>
      <c r="I1217" s="2"/>
      <c r="J1217" s="2"/>
      <c r="K1217" s="81"/>
      <c r="L1217" s="4"/>
      <c r="M1217" s="4"/>
      <c r="N1217" s="4"/>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3"/>
      <c r="AP1217" s="2"/>
      <c r="AQ1217" s="2"/>
      <c r="AR1217" s="2"/>
      <c r="AS1217" s="2"/>
      <c r="AT1217" s="2"/>
      <c r="AU1217" s="2"/>
      <c r="AV1217" s="2"/>
      <c r="AW1217" s="2"/>
      <c r="AX1217" s="2"/>
      <c r="AY1217" s="2"/>
      <c r="AZ1217" s="5"/>
      <c r="BA1217" s="2"/>
      <c r="BD1217" s="2"/>
      <c r="BE1217" s="2"/>
      <c r="BF1217" s="2"/>
      <c r="BG1217" s="2"/>
      <c r="BH1217" s="2"/>
      <c r="BI1217" s="2"/>
      <c r="BJ1217" s="2"/>
      <c r="BK1217" s="2"/>
      <c r="BM1217" s="2"/>
      <c r="BN1217" s="2"/>
      <c r="BO1217" s="2"/>
      <c r="BP1217" s="2"/>
      <c r="BQ1217" s="2"/>
      <c r="BR1217" s="6"/>
      <c r="BS1217" s="6"/>
      <c r="BT1217" s="2"/>
      <c r="BU1217" s="2"/>
      <c r="BV1217" s="2"/>
      <c r="BW1217" s="2"/>
      <c r="BX1217" s="2"/>
      <c r="BY1217" s="2"/>
      <c r="BZ1217" s="2"/>
      <c r="CA1217" s="2"/>
      <c r="CB1217" s="2"/>
      <c r="CC1217" s="2"/>
      <c r="CD1217" s="3"/>
      <c r="CE1217" s="2"/>
      <c r="CF1217" s="4"/>
      <c r="CG1217" s="4"/>
      <c r="CI1217" s="2"/>
    </row>
    <row r="1218" spans="1:87" s="101" customFormat="1" x14ac:dyDescent="0.35">
      <c r="A1218" s="1"/>
      <c r="C1218" s="1"/>
      <c r="G1218" s="2"/>
      <c r="H1218" s="2"/>
      <c r="I1218" s="2"/>
      <c r="J1218" s="2"/>
      <c r="K1218" s="81"/>
      <c r="L1218" s="4"/>
      <c r="M1218" s="4"/>
      <c r="N1218" s="4"/>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3"/>
      <c r="AP1218" s="2"/>
      <c r="AQ1218" s="2"/>
      <c r="AR1218" s="2"/>
      <c r="AS1218" s="2"/>
      <c r="AT1218" s="2"/>
      <c r="AU1218" s="2"/>
      <c r="AV1218" s="2"/>
      <c r="AW1218" s="2"/>
      <c r="AX1218" s="2"/>
      <c r="AY1218" s="2"/>
      <c r="AZ1218" s="5"/>
      <c r="BA1218" s="2"/>
      <c r="BD1218" s="2"/>
      <c r="BE1218" s="2"/>
      <c r="BF1218" s="2"/>
      <c r="BG1218" s="2"/>
      <c r="BH1218" s="2"/>
      <c r="BI1218" s="2"/>
      <c r="BJ1218" s="2"/>
      <c r="BK1218" s="2"/>
      <c r="BM1218" s="2"/>
      <c r="BN1218" s="2"/>
      <c r="BO1218" s="2"/>
      <c r="BP1218" s="2"/>
      <c r="BQ1218" s="2"/>
      <c r="BR1218" s="6"/>
      <c r="BS1218" s="6"/>
      <c r="BT1218" s="2"/>
      <c r="BU1218" s="2"/>
      <c r="BV1218" s="2"/>
      <c r="BW1218" s="2"/>
      <c r="BX1218" s="2"/>
      <c r="BY1218" s="2"/>
      <c r="BZ1218" s="2"/>
      <c r="CA1218" s="2"/>
      <c r="CB1218" s="2"/>
      <c r="CC1218" s="2"/>
      <c r="CD1218" s="3"/>
      <c r="CE1218" s="2"/>
      <c r="CF1218" s="4"/>
      <c r="CG1218" s="4"/>
      <c r="CI1218" s="2"/>
    </row>
    <row r="1219" spans="1:87" s="101" customFormat="1" x14ac:dyDescent="0.35">
      <c r="A1219" s="1"/>
      <c r="C1219" s="1"/>
      <c r="G1219" s="2"/>
      <c r="H1219" s="2"/>
      <c r="I1219" s="2"/>
      <c r="J1219" s="2"/>
      <c r="K1219" s="81"/>
      <c r="L1219" s="4"/>
      <c r="M1219" s="4"/>
      <c r="N1219" s="4"/>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3"/>
      <c r="AP1219" s="2"/>
      <c r="AQ1219" s="2"/>
      <c r="AR1219" s="2"/>
      <c r="AS1219" s="2"/>
      <c r="AT1219" s="2"/>
      <c r="AU1219" s="2"/>
      <c r="AV1219" s="2"/>
      <c r="AW1219" s="2"/>
      <c r="AX1219" s="2"/>
      <c r="AY1219" s="2"/>
      <c r="AZ1219" s="5"/>
      <c r="BA1219" s="2"/>
      <c r="BD1219" s="2"/>
      <c r="BE1219" s="2"/>
      <c r="BF1219" s="2"/>
      <c r="BG1219" s="2"/>
      <c r="BH1219" s="2"/>
      <c r="BI1219" s="2"/>
      <c r="BJ1219" s="2"/>
      <c r="BK1219" s="2"/>
      <c r="BM1219" s="2"/>
      <c r="BN1219" s="2"/>
      <c r="BO1219" s="2"/>
      <c r="BP1219" s="2"/>
      <c r="BQ1219" s="2"/>
      <c r="BR1219" s="6"/>
      <c r="BS1219" s="6"/>
      <c r="BT1219" s="2"/>
      <c r="BU1219" s="2"/>
      <c r="BV1219" s="2"/>
      <c r="BW1219" s="2"/>
      <c r="BX1219" s="2"/>
      <c r="BY1219" s="2"/>
      <c r="BZ1219" s="2"/>
      <c r="CA1219" s="2"/>
      <c r="CB1219" s="2"/>
      <c r="CC1219" s="2"/>
      <c r="CD1219" s="3"/>
      <c r="CE1219" s="2"/>
      <c r="CF1219" s="4"/>
      <c r="CG1219" s="4"/>
      <c r="CI1219" s="2"/>
    </row>
    <row r="1220" spans="1:87" s="101" customFormat="1" x14ac:dyDescent="0.35">
      <c r="A1220" s="1"/>
      <c r="C1220" s="1"/>
      <c r="G1220" s="2"/>
      <c r="H1220" s="2"/>
      <c r="I1220" s="2"/>
      <c r="J1220" s="2"/>
      <c r="K1220" s="81"/>
      <c r="L1220" s="4"/>
      <c r="M1220" s="4"/>
      <c r="N1220" s="4"/>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3"/>
      <c r="AP1220" s="2"/>
      <c r="AQ1220" s="2"/>
      <c r="AR1220" s="2"/>
      <c r="AS1220" s="2"/>
      <c r="AT1220" s="2"/>
      <c r="AU1220" s="2"/>
      <c r="AV1220" s="2"/>
      <c r="AW1220" s="2"/>
      <c r="AX1220" s="2"/>
      <c r="AY1220" s="2"/>
      <c r="AZ1220" s="5"/>
      <c r="BA1220" s="2"/>
      <c r="BD1220" s="2"/>
      <c r="BE1220" s="2"/>
      <c r="BF1220" s="2"/>
      <c r="BG1220" s="2"/>
      <c r="BH1220" s="2"/>
      <c r="BI1220" s="2"/>
      <c r="BJ1220" s="2"/>
      <c r="BK1220" s="2"/>
      <c r="BM1220" s="2"/>
      <c r="BN1220" s="2"/>
      <c r="BO1220" s="2"/>
      <c r="BP1220" s="2"/>
      <c r="BQ1220" s="2"/>
      <c r="BR1220" s="6"/>
      <c r="BS1220" s="6"/>
      <c r="BT1220" s="2"/>
      <c r="BU1220" s="2"/>
      <c r="BV1220" s="2"/>
      <c r="BW1220" s="2"/>
      <c r="BX1220" s="2"/>
      <c r="BY1220" s="2"/>
      <c r="BZ1220" s="2"/>
      <c r="CA1220" s="2"/>
      <c r="CB1220" s="2"/>
      <c r="CC1220" s="2"/>
      <c r="CD1220" s="3"/>
      <c r="CE1220" s="2"/>
      <c r="CF1220" s="4"/>
      <c r="CG1220" s="4"/>
      <c r="CI1220" s="2"/>
    </row>
    <row r="1221" spans="1:87" s="101" customFormat="1" x14ac:dyDescent="0.35">
      <c r="A1221" s="1"/>
      <c r="C1221" s="1"/>
      <c r="G1221" s="2"/>
      <c r="H1221" s="2"/>
      <c r="I1221" s="2"/>
      <c r="J1221" s="2"/>
      <c r="K1221" s="81"/>
      <c r="L1221" s="4"/>
      <c r="M1221" s="4"/>
      <c r="N1221" s="4"/>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3"/>
      <c r="AP1221" s="2"/>
      <c r="AQ1221" s="2"/>
      <c r="AR1221" s="2"/>
      <c r="AS1221" s="2"/>
      <c r="AT1221" s="2"/>
      <c r="AU1221" s="2"/>
      <c r="AV1221" s="2"/>
      <c r="AW1221" s="2"/>
      <c r="AX1221" s="2"/>
      <c r="AY1221" s="2"/>
      <c r="AZ1221" s="5"/>
      <c r="BA1221" s="2"/>
      <c r="BD1221" s="2"/>
      <c r="BE1221" s="2"/>
      <c r="BF1221" s="2"/>
      <c r="BG1221" s="2"/>
      <c r="BH1221" s="2"/>
      <c r="BI1221" s="2"/>
      <c r="BJ1221" s="2"/>
      <c r="BK1221" s="2"/>
      <c r="BM1221" s="2"/>
      <c r="BN1221" s="2"/>
      <c r="BO1221" s="2"/>
      <c r="BP1221" s="2"/>
      <c r="BQ1221" s="2"/>
      <c r="BR1221" s="6"/>
      <c r="BS1221" s="6"/>
      <c r="BT1221" s="2"/>
      <c r="BU1221" s="2"/>
      <c r="BV1221" s="2"/>
      <c r="BW1221" s="2"/>
      <c r="BX1221" s="2"/>
      <c r="BY1221" s="2"/>
      <c r="BZ1221" s="2"/>
      <c r="CA1221" s="2"/>
      <c r="CB1221" s="2"/>
      <c r="CC1221" s="2"/>
      <c r="CD1221" s="3"/>
      <c r="CE1221" s="2"/>
      <c r="CF1221" s="4"/>
      <c r="CG1221" s="4"/>
      <c r="CI1221" s="2"/>
    </row>
    <row r="1222" spans="1:87" s="101" customFormat="1" x14ac:dyDescent="0.35">
      <c r="A1222" s="1"/>
      <c r="C1222" s="1"/>
      <c r="G1222" s="2"/>
      <c r="H1222" s="2"/>
      <c r="I1222" s="2"/>
      <c r="J1222" s="2"/>
      <c r="K1222" s="81"/>
      <c r="L1222" s="4"/>
      <c r="M1222" s="4"/>
      <c r="N1222" s="4"/>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3"/>
      <c r="AP1222" s="2"/>
      <c r="AQ1222" s="2"/>
      <c r="AR1222" s="2"/>
      <c r="AS1222" s="2"/>
      <c r="AT1222" s="2"/>
      <c r="AU1222" s="2"/>
      <c r="AV1222" s="2"/>
      <c r="AW1222" s="2"/>
      <c r="AX1222" s="2"/>
      <c r="AY1222" s="2"/>
      <c r="AZ1222" s="5"/>
      <c r="BA1222" s="2"/>
      <c r="BD1222" s="2"/>
      <c r="BE1222" s="2"/>
      <c r="BF1222" s="2"/>
      <c r="BG1222" s="2"/>
      <c r="BH1222" s="2"/>
      <c r="BI1222" s="2"/>
      <c r="BJ1222" s="2"/>
      <c r="BK1222" s="2"/>
      <c r="BM1222" s="2"/>
      <c r="BN1222" s="2"/>
      <c r="BO1222" s="2"/>
      <c r="BP1222" s="2"/>
      <c r="BQ1222" s="2"/>
      <c r="BR1222" s="6"/>
      <c r="BS1222" s="6"/>
      <c r="BT1222" s="2"/>
      <c r="BU1222" s="2"/>
      <c r="BV1222" s="2"/>
      <c r="BW1222" s="2"/>
      <c r="BX1222" s="2"/>
      <c r="BY1222" s="2"/>
      <c r="BZ1222" s="2"/>
      <c r="CA1222" s="2"/>
      <c r="CB1222" s="2"/>
      <c r="CC1222" s="2"/>
      <c r="CD1222" s="3"/>
      <c r="CE1222" s="2"/>
      <c r="CF1222" s="4"/>
      <c r="CG1222" s="4"/>
      <c r="CI1222" s="2"/>
    </row>
    <row r="1223" spans="1:87" s="101" customFormat="1" x14ac:dyDescent="0.35">
      <c r="A1223" s="1"/>
      <c r="C1223" s="1"/>
      <c r="G1223" s="2"/>
      <c r="H1223" s="2"/>
      <c r="I1223" s="2"/>
      <c r="J1223" s="2"/>
      <c r="K1223" s="81"/>
      <c r="L1223" s="4"/>
      <c r="M1223" s="4"/>
      <c r="N1223" s="4"/>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3"/>
      <c r="AP1223" s="2"/>
      <c r="AQ1223" s="2"/>
      <c r="AR1223" s="2"/>
      <c r="AS1223" s="2"/>
      <c r="AT1223" s="2"/>
      <c r="AU1223" s="2"/>
      <c r="AV1223" s="2"/>
      <c r="AW1223" s="2"/>
      <c r="AX1223" s="2"/>
      <c r="AY1223" s="2"/>
      <c r="AZ1223" s="5"/>
      <c r="BA1223" s="2"/>
      <c r="BD1223" s="2"/>
      <c r="BE1223" s="2"/>
      <c r="BF1223" s="2"/>
      <c r="BG1223" s="2"/>
      <c r="BH1223" s="2"/>
      <c r="BI1223" s="2"/>
      <c r="BJ1223" s="2"/>
      <c r="BK1223" s="2"/>
      <c r="BM1223" s="2"/>
      <c r="BN1223" s="2"/>
      <c r="BO1223" s="2"/>
      <c r="BP1223" s="2"/>
      <c r="BQ1223" s="2"/>
      <c r="BR1223" s="6"/>
      <c r="BS1223" s="6"/>
      <c r="BT1223" s="2"/>
      <c r="BU1223" s="2"/>
      <c r="BV1223" s="2"/>
      <c r="BW1223" s="2"/>
      <c r="BX1223" s="2"/>
      <c r="BY1223" s="2"/>
      <c r="BZ1223" s="2"/>
      <c r="CA1223" s="2"/>
      <c r="CB1223" s="2"/>
      <c r="CC1223" s="2"/>
      <c r="CD1223" s="3"/>
      <c r="CE1223" s="2"/>
      <c r="CF1223" s="4"/>
      <c r="CG1223" s="4"/>
      <c r="CI1223" s="2"/>
    </row>
    <row r="1224" spans="1:87" s="101" customFormat="1" x14ac:dyDescent="0.35">
      <c r="A1224" s="1"/>
      <c r="C1224" s="1"/>
      <c r="G1224" s="2"/>
      <c r="H1224" s="2"/>
      <c r="I1224" s="2"/>
      <c r="J1224" s="2"/>
      <c r="K1224" s="81"/>
      <c r="L1224" s="4"/>
      <c r="M1224" s="4"/>
      <c r="N1224" s="4"/>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3"/>
      <c r="AP1224" s="2"/>
      <c r="AQ1224" s="2"/>
      <c r="AR1224" s="2"/>
      <c r="AS1224" s="2"/>
      <c r="AT1224" s="2"/>
      <c r="AU1224" s="2"/>
      <c r="AV1224" s="2"/>
      <c r="AW1224" s="2"/>
      <c r="AX1224" s="2"/>
      <c r="AY1224" s="2"/>
      <c r="AZ1224" s="5"/>
      <c r="BA1224" s="2"/>
      <c r="BD1224" s="2"/>
      <c r="BE1224" s="2"/>
      <c r="BF1224" s="2"/>
      <c r="BG1224" s="2"/>
      <c r="BH1224" s="2"/>
      <c r="BI1224" s="2"/>
      <c r="BJ1224" s="2"/>
      <c r="BK1224" s="2"/>
      <c r="BM1224" s="2"/>
      <c r="BN1224" s="2"/>
      <c r="BO1224" s="2"/>
      <c r="BP1224" s="2"/>
      <c r="BQ1224" s="2"/>
      <c r="BR1224" s="6"/>
      <c r="BS1224" s="6"/>
      <c r="BT1224" s="2"/>
      <c r="BU1224" s="2"/>
      <c r="BV1224" s="2"/>
      <c r="BW1224" s="2"/>
      <c r="BX1224" s="2"/>
      <c r="BY1224" s="2"/>
      <c r="BZ1224" s="2"/>
      <c r="CA1224" s="2"/>
      <c r="CB1224" s="2"/>
      <c r="CC1224" s="2"/>
      <c r="CD1224" s="3"/>
      <c r="CE1224" s="2"/>
      <c r="CF1224" s="4"/>
      <c r="CG1224" s="4"/>
      <c r="CI1224" s="2"/>
    </row>
    <row r="1225" spans="1:87" s="101" customFormat="1" x14ac:dyDescent="0.35">
      <c r="A1225" s="1"/>
      <c r="C1225" s="1"/>
      <c r="G1225" s="2"/>
      <c r="H1225" s="2"/>
      <c r="I1225" s="2"/>
      <c r="J1225" s="2"/>
      <c r="K1225" s="81"/>
      <c r="L1225" s="4"/>
      <c r="M1225" s="4"/>
      <c r="N1225" s="4"/>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3"/>
      <c r="AP1225" s="2"/>
      <c r="AQ1225" s="2"/>
      <c r="AR1225" s="2"/>
      <c r="AS1225" s="2"/>
      <c r="AT1225" s="2"/>
      <c r="AU1225" s="2"/>
      <c r="AV1225" s="2"/>
      <c r="AW1225" s="2"/>
      <c r="AX1225" s="2"/>
      <c r="AY1225" s="2"/>
      <c r="AZ1225" s="5"/>
      <c r="BA1225" s="2"/>
      <c r="BD1225" s="2"/>
      <c r="BE1225" s="2"/>
      <c r="BF1225" s="2"/>
      <c r="BG1225" s="2"/>
      <c r="BH1225" s="2"/>
      <c r="BI1225" s="2"/>
      <c r="BJ1225" s="2"/>
      <c r="BK1225" s="2"/>
      <c r="BM1225" s="2"/>
      <c r="BN1225" s="2"/>
      <c r="BO1225" s="2"/>
      <c r="BP1225" s="2"/>
      <c r="BQ1225" s="2"/>
      <c r="BR1225" s="6"/>
      <c r="BS1225" s="6"/>
      <c r="BT1225" s="2"/>
      <c r="BU1225" s="2"/>
      <c r="BV1225" s="2"/>
      <c r="BW1225" s="2"/>
      <c r="BX1225" s="2"/>
      <c r="BY1225" s="2"/>
      <c r="BZ1225" s="2"/>
      <c r="CA1225" s="2"/>
      <c r="CB1225" s="2"/>
      <c r="CC1225" s="2"/>
      <c r="CD1225" s="3"/>
      <c r="CE1225" s="2"/>
      <c r="CF1225" s="4"/>
      <c r="CG1225" s="4"/>
      <c r="CI1225" s="2"/>
    </row>
    <row r="1226" spans="1:87" s="101" customFormat="1" x14ac:dyDescent="0.35">
      <c r="A1226" s="1"/>
      <c r="C1226" s="1"/>
      <c r="G1226" s="2"/>
      <c r="H1226" s="2"/>
      <c r="I1226" s="2"/>
      <c r="J1226" s="2"/>
      <c r="K1226" s="81"/>
      <c r="L1226" s="4"/>
      <c r="M1226" s="4"/>
      <c r="N1226" s="4"/>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3"/>
      <c r="AP1226" s="2"/>
      <c r="AQ1226" s="2"/>
      <c r="AR1226" s="2"/>
      <c r="AS1226" s="2"/>
      <c r="AT1226" s="2"/>
      <c r="AU1226" s="2"/>
      <c r="AV1226" s="2"/>
      <c r="AW1226" s="2"/>
      <c r="AX1226" s="2"/>
      <c r="AY1226" s="2"/>
      <c r="AZ1226" s="5"/>
      <c r="BA1226" s="2"/>
      <c r="BD1226" s="2"/>
      <c r="BE1226" s="2"/>
      <c r="BF1226" s="2"/>
      <c r="BG1226" s="2"/>
      <c r="BH1226" s="2"/>
      <c r="BI1226" s="2"/>
      <c r="BJ1226" s="2"/>
      <c r="BK1226" s="2"/>
      <c r="BM1226" s="2"/>
      <c r="BN1226" s="2"/>
      <c r="BO1226" s="2"/>
      <c r="BP1226" s="2"/>
      <c r="BQ1226" s="2"/>
      <c r="BR1226" s="6"/>
      <c r="BS1226" s="6"/>
      <c r="BT1226" s="2"/>
      <c r="BU1226" s="2"/>
      <c r="BV1226" s="2"/>
      <c r="BW1226" s="2"/>
      <c r="BX1226" s="2"/>
      <c r="BY1226" s="2"/>
      <c r="BZ1226" s="2"/>
      <c r="CA1226" s="2"/>
      <c r="CB1226" s="2"/>
      <c r="CC1226" s="2"/>
      <c r="CD1226" s="3"/>
      <c r="CE1226" s="2"/>
      <c r="CF1226" s="4"/>
      <c r="CG1226" s="4"/>
      <c r="CI1226" s="2"/>
    </row>
    <row r="1227" spans="1:87" s="101" customFormat="1" x14ac:dyDescent="0.35">
      <c r="A1227" s="1"/>
      <c r="C1227" s="1"/>
      <c r="G1227" s="2"/>
      <c r="H1227" s="2"/>
      <c r="I1227" s="2"/>
      <c r="J1227" s="2"/>
      <c r="K1227" s="81"/>
      <c r="L1227" s="4"/>
      <c r="M1227" s="4"/>
      <c r="N1227" s="4"/>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3"/>
      <c r="AP1227" s="2"/>
      <c r="AQ1227" s="2"/>
      <c r="AR1227" s="2"/>
      <c r="AS1227" s="2"/>
      <c r="AT1227" s="2"/>
      <c r="AU1227" s="2"/>
      <c r="AV1227" s="2"/>
      <c r="AW1227" s="2"/>
      <c r="AX1227" s="2"/>
      <c r="AY1227" s="2"/>
      <c r="AZ1227" s="5"/>
      <c r="BA1227" s="2"/>
      <c r="BD1227" s="2"/>
      <c r="BE1227" s="2"/>
      <c r="BF1227" s="2"/>
      <c r="BG1227" s="2"/>
      <c r="BH1227" s="2"/>
      <c r="BI1227" s="2"/>
      <c r="BJ1227" s="2"/>
      <c r="BK1227" s="2"/>
      <c r="BM1227" s="2"/>
      <c r="BN1227" s="2"/>
      <c r="BO1227" s="2"/>
      <c r="BP1227" s="2"/>
      <c r="BQ1227" s="2"/>
      <c r="BR1227" s="6"/>
      <c r="BS1227" s="6"/>
      <c r="BT1227" s="2"/>
      <c r="BU1227" s="2"/>
      <c r="BV1227" s="2"/>
      <c r="BW1227" s="2"/>
      <c r="BX1227" s="2"/>
      <c r="BY1227" s="2"/>
      <c r="BZ1227" s="2"/>
      <c r="CA1227" s="2"/>
      <c r="CB1227" s="2"/>
      <c r="CC1227" s="2"/>
      <c r="CD1227" s="3"/>
      <c r="CE1227" s="2"/>
      <c r="CF1227" s="4"/>
      <c r="CG1227" s="4"/>
      <c r="CI1227" s="2"/>
    </row>
    <row r="1228" spans="1:87" s="101" customFormat="1" x14ac:dyDescent="0.35">
      <c r="A1228" s="1"/>
      <c r="C1228" s="1"/>
      <c r="G1228" s="2"/>
      <c r="H1228" s="2"/>
      <c r="I1228" s="2"/>
      <c r="J1228" s="2"/>
      <c r="K1228" s="81"/>
      <c r="L1228" s="4"/>
      <c r="M1228" s="4"/>
      <c r="N1228" s="4"/>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3"/>
      <c r="AP1228" s="2"/>
      <c r="AQ1228" s="2"/>
      <c r="AR1228" s="2"/>
      <c r="AS1228" s="2"/>
      <c r="AT1228" s="2"/>
      <c r="AU1228" s="2"/>
      <c r="AV1228" s="2"/>
      <c r="AW1228" s="2"/>
      <c r="AX1228" s="2"/>
      <c r="AY1228" s="2"/>
      <c r="AZ1228" s="5"/>
      <c r="BA1228" s="2"/>
      <c r="BD1228" s="2"/>
      <c r="BE1228" s="2"/>
      <c r="BF1228" s="2"/>
      <c r="BG1228" s="2"/>
      <c r="BH1228" s="2"/>
      <c r="BI1228" s="2"/>
      <c r="BJ1228" s="2"/>
      <c r="BK1228" s="2"/>
      <c r="BM1228" s="2"/>
      <c r="BN1228" s="2"/>
      <c r="BO1228" s="2"/>
      <c r="BP1228" s="2"/>
      <c r="BQ1228" s="2"/>
      <c r="BR1228" s="6"/>
      <c r="BS1228" s="6"/>
      <c r="BT1228" s="2"/>
      <c r="BU1228" s="2"/>
      <c r="BV1228" s="2"/>
      <c r="BW1228" s="2"/>
      <c r="BX1228" s="2"/>
      <c r="BY1228" s="2"/>
      <c r="BZ1228" s="2"/>
      <c r="CA1228" s="2"/>
      <c r="CB1228" s="2"/>
      <c r="CC1228" s="2"/>
      <c r="CD1228" s="3"/>
      <c r="CE1228" s="2"/>
      <c r="CF1228" s="4"/>
      <c r="CG1228" s="4"/>
      <c r="CI1228" s="2"/>
    </row>
    <row r="1229" spans="1:87" s="101" customFormat="1" x14ac:dyDescent="0.35">
      <c r="A1229" s="1"/>
      <c r="C1229" s="1"/>
      <c r="G1229" s="2"/>
      <c r="H1229" s="2"/>
      <c r="I1229" s="2"/>
      <c r="J1229" s="2"/>
      <c r="K1229" s="81"/>
      <c r="L1229" s="4"/>
      <c r="M1229" s="4"/>
      <c r="N1229" s="4"/>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3"/>
      <c r="AP1229" s="2"/>
      <c r="AQ1229" s="2"/>
      <c r="AR1229" s="2"/>
      <c r="AS1229" s="2"/>
      <c r="AT1229" s="2"/>
      <c r="AU1229" s="2"/>
      <c r="AV1229" s="2"/>
      <c r="AW1229" s="2"/>
      <c r="AX1229" s="2"/>
      <c r="AY1229" s="2"/>
      <c r="AZ1229" s="5"/>
      <c r="BA1229" s="2"/>
      <c r="BD1229" s="2"/>
      <c r="BE1229" s="2"/>
      <c r="BF1229" s="2"/>
      <c r="BG1229" s="2"/>
      <c r="BH1229" s="2"/>
      <c r="BI1229" s="2"/>
      <c r="BJ1229" s="2"/>
      <c r="BK1229" s="2"/>
      <c r="BM1229" s="2"/>
      <c r="BN1229" s="2"/>
      <c r="BO1229" s="2"/>
      <c r="BP1229" s="2"/>
      <c r="BQ1229" s="2"/>
      <c r="BR1229" s="6"/>
      <c r="BS1229" s="6"/>
      <c r="BT1229" s="2"/>
      <c r="BU1229" s="2"/>
      <c r="BV1229" s="2"/>
      <c r="BW1229" s="2"/>
      <c r="BX1229" s="2"/>
      <c r="BY1229" s="2"/>
      <c r="BZ1229" s="2"/>
      <c r="CA1229" s="2"/>
      <c r="CB1229" s="2"/>
      <c r="CC1229" s="2"/>
      <c r="CD1229" s="3"/>
      <c r="CE1229" s="2"/>
      <c r="CF1229" s="4"/>
      <c r="CG1229" s="4"/>
      <c r="CI1229" s="2"/>
    </row>
    <row r="1230" spans="1:87" s="101" customFormat="1" x14ac:dyDescent="0.35">
      <c r="A1230" s="1"/>
      <c r="C1230" s="1"/>
      <c r="G1230" s="2"/>
      <c r="H1230" s="2"/>
      <c r="I1230" s="2"/>
      <c r="J1230" s="2"/>
      <c r="K1230" s="81"/>
      <c r="L1230" s="4"/>
      <c r="M1230" s="4"/>
      <c r="N1230" s="4"/>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3"/>
      <c r="AP1230" s="2"/>
      <c r="AQ1230" s="2"/>
      <c r="AR1230" s="2"/>
      <c r="AS1230" s="2"/>
      <c r="AT1230" s="2"/>
      <c r="AU1230" s="2"/>
      <c r="AV1230" s="2"/>
      <c r="AW1230" s="2"/>
      <c r="AX1230" s="2"/>
      <c r="AY1230" s="2"/>
      <c r="AZ1230" s="5"/>
      <c r="BA1230" s="2"/>
      <c r="BD1230" s="2"/>
      <c r="BE1230" s="2"/>
      <c r="BF1230" s="2"/>
      <c r="BG1230" s="2"/>
      <c r="BH1230" s="2"/>
      <c r="BI1230" s="2"/>
      <c r="BJ1230" s="2"/>
      <c r="BK1230" s="2"/>
      <c r="BM1230" s="2"/>
      <c r="BN1230" s="2"/>
      <c r="BO1230" s="2"/>
      <c r="BP1230" s="2"/>
      <c r="BQ1230" s="2"/>
      <c r="BR1230" s="6"/>
      <c r="BS1230" s="6"/>
      <c r="BT1230" s="2"/>
      <c r="BU1230" s="2"/>
      <c r="BV1230" s="2"/>
      <c r="BW1230" s="2"/>
      <c r="BX1230" s="2"/>
      <c r="BY1230" s="2"/>
      <c r="BZ1230" s="2"/>
      <c r="CA1230" s="2"/>
      <c r="CB1230" s="2"/>
      <c r="CC1230" s="2"/>
      <c r="CD1230" s="3"/>
      <c r="CE1230" s="2"/>
      <c r="CF1230" s="4"/>
      <c r="CG1230" s="4"/>
      <c r="CI1230" s="2"/>
    </row>
    <row r="1231" spans="1:87" s="101" customFormat="1" x14ac:dyDescent="0.35">
      <c r="A1231" s="1"/>
      <c r="C1231" s="1"/>
      <c r="G1231" s="2"/>
      <c r="H1231" s="2"/>
      <c r="I1231" s="2"/>
      <c r="J1231" s="2"/>
      <c r="K1231" s="81"/>
      <c r="L1231" s="4"/>
      <c r="M1231" s="4"/>
      <c r="N1231" s="4"/>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3"/>
      <c r="AP1231" s="2"/>
      <c r="AQ1231" s="2"/>
      <c r="AR1231" s="2"/>
      <c r="AS1231" s="2"/>
      <c r="AT1231" s="2"/>
      <c r="AU1231" s="2"/>
      <c r="AV1231" s="2"/>
      <c r="AW1231" s="2"/>
      <c r="AX1231" s="2"/>
      <c r="AY1231" s="2"/>
      <c r="AZ1231" s="5"/>
      <c r="BA1231" s="2"/>
      <c r="BD1231" s="2"/>
      <c r="BE1231" s="2"/>
      <c r="BF1231" s="2"/>
      <c r="BG1231" s="2"/>
      <c r="BH1231" s="2"/>
      <c r="BI1231" s="2"/>
      <c r="BJ1231" s="2"/>
      <c r="BK1231" s="2"/>
      <c r="BM1231" s="2"/>
      <c r="BN1231" s="2"/>
      <c r="BO1231" s="2"/>
      <c r="BP1231" s="2"/>
      <c r="BQ1231" s="2"/>
      <c r="BR1231" s="6"/>
      <c r="BS1231" s="6"/>
      <c r="BT1231" s="2"/>
      <c r="BU1231" s="2"/>
      <c r="BV1231" s="2"/>
      <c r="BW1231" s="2"/>
      <c r="BX1231" s="2"/>
      <c r="BY1231" s="2"/>
      <c r="BZ1231" s="2"/>
      <c r="CA1231" s="2"/>
      <c r="CB1231" s="2"/>
      <c r="CC1231" s="2"/>
      <c r="CD1231" s="3"/>
      <c r="CE1231" s="2"/>
      <c r="CF1231" s="4"/>
      <c r="CG1231" s="4"/>
      <c r="CI1231" s="2"/>
    </row>
    <row r="1232" spans="1:87" s="101" customFormat="1" x14ac:dyDescent="0.35">
      <c r="A1232" s="1"/>
      <c r="C1232" s="1"/>
      <c r="G1232" s="2"/>
      <c r="H1232" s="2"/>
      <c r="I1232" s="2"/>
      <c r="J1232" s="2"/>
      <c r="K1232" s="81"/>
      <c r="L1232" s="4"/>
      <c r="M1232" s="4"/>
      <c r="N1232" s="4"/>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3"/>
      <c r="AP1232" s="2"/>
      <c r="AQ1232" s="2"/>
      <c r="AR1232" s="2"/>
      <c r="AS1232" s="2"/>
      <c r="AT1232" s="2"/>
      <c r="AU1232" s="2"/>
      <c r="AV1232" s="2"/>
      <c r="AW1232" s="2"/>
      <c r="AX1232" s="2"/>
      <c r="AY1232" s="2"/>
      <c r="AZ1232" s="5"/>
      <c r="BA1232" s="2"/>
      <c r="BD1232" s="2"/>
      <c r="BE1232" s="2"/>
      <c r="BF1232" s="2"/>
      <c r="BG1232" s="2"/>
      <c r="BH1232" s="2"/>
      <c r="BI1232" s="2"/>
      <c r="BJ1232" s="2"/>
      <c r="BK1232" s="2"/>
      <c r="BM1232" s="2"/>
      <c r="BN1232" s="2"/>
      <c r="BO1232" s="2"/>
      <c r="BP1232" s="2"/>
      <c r="BQ1232" s="2"/>
      <c r="BR1232" s="6"/>
      <c r="BS1232" s="6"/>
      <c r="BT1232" s="2"/>
      <c r="BU1232" s="2"/>
      <c r="BV1232" s="2"/>
      <c r="BW1232" s="2"/>
      <c r="BX1232" s="2"/>
      <c r="BY1232" s="2"/>
      <c r="BZ1232" s="2"/>
      <c r="CA1232" s="2"/>
      <c r="CB1232" s="2"/>
      <c r="CC1232" s="2"/>
      <c r="CD1232" s="3"/>
      <c r="CE1232" s="2"/>
      <c r="CF1232" s="4"/>
      <c r="CG1232" s="4"/>
      <c r="CI1232" s="2"/>
    </row>
    <row r="1233" spans="1:87" s="101" customFormat="1" x14ac:dyDescent="0.35">
      <c r="A1233" s="1"/>
      <c r="C1233" s="1"/>
      <c r="G1233" s="2"/>
      <c r="H1233" s="2"/>
      <c r="I1233" s="2"/>
      <c r="J1233" s="2"/>
      <c r="K1233" s="81"/>
      <c r="L1233" s="4"/>
      <c r="M1233" s="4"/>
      <c r="N1233" s="4"/>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3"/>
      <c r="AP1233" s="2"/>
      <c r="AQ1233" s="2"/>
      <c r="AR1233" s="2"/>
      <c r="AS1233" s="2"/>
      <c r="AT1233" s="2"/>
      <c r="AU1233" s="2"/>
      <c r="AV1233" s="2"/>
      <c r="AW1233" s="2"/>
      <c r="AX1233" s="2"/>
      <c r="AY1233" s="2"/>
      <c r="AZ1233" s="5"/>
      <c r="BA1233" s="2"/>
      <c r="BD1233" s="2"/>
      <c r="BE1233" s="2"/>
      <c r="BF1233" s="2"/>
      <c r="BG1233" s="2"/>
      <c r="BH1233" s="2"/>
      <c r="BI1233" s="2"/>
      <c r="BJ1233" s="2"/>
      <c r="BK1233" s="2"/>
      <c r="BM1233" s="2"/>
      <c r="BN1233" s="2"/>
      <c r="BO1233" s="2"/>
      <c r="BP1233" s="2"/>
      <c r="BQ1233" s="2"/>
      <c r="BR1233" s="6"/>
      <c r="BS1233" s="6"/>
      <c r="BT1233" s="2"/>
      <c r="BU1233" s="2"/>
      <c r="BV1233" s="2"/>
      <c r="BW1233" s="2"/>
      <c r="BX1233" s="2"/>
      <c r="BY1233" s="2"/>
      <c r="BZ1233" s="2"/>
      <c r="CA1233" s="2"/>
      <c r="CB1233" s="2"/>
      <c r="CC1233" s="2"/>
      <c r="CD1233" s="3"/>
      <c r="CE1233" s="2"/>
      <c r="CF1233" s="4"/>
      <c r="CG1233" s="4"/>
      <c r="CI1233" s="2"/>
    </row>
    <row r="1234" spans="1:87" s="101" customFormat="1" x14ac:dyDescent="0.35">
      <c r="A1234" s="1"/>
      <c r="C1234" s="1"/>
      <c r="G1234" s="2"/>
      <c r="H1234" s="2"/>
      <c r="I1234" s="2"/>
      <c r="J1234" s="2"/>
      <c r="K1234" s="81"/>
      <c r="L1234" s="4"/>
      <c r="M1234" s="4"/>
      <c r="N1234" s="4"/>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3"/>
      <c r="AP1234" s="2"/>
      <c r="AQ1234" s="2"/>
      <c r="AR1234" s="2"/>
      <c r="AS1234" s="2"/>
      <c r="AT1234" s="2"/>
      <c r="AU1234" s="2"/>
      <c r="AV1234" s="2"/>
      <c r="AW1234" s="2"/>
      <c r="AX1234" s="2"/>
      <c r="AY1234" s="2"/>
      <c r="AZ1234" s="5"/>
      <c r="BA1234" s="2"/>
      <c r="BD1234" s="2"/>
      <c r="BE1234" s="2"/>
      <c r="BF1234" s="2"/>
      <c r="BG1234" s="2"/>
      <c r="BH1234" s="2"/>
      <c r="BI1234" s="2"/>
      <c r="BJ1234" s="2"/>
      <c r="BK1234" s="2"/>
      <c r="BM1234" s="2"/>
      <c r="BN1234" s="2"/>
      <c r="BO1234" s="2"/>
      <c r="BP1234" s="2"/>
      <c r="BQ1234" s="2"/>
      <c r="BR1234" s="6"/>
      <c r="BS1234" s="6"/>
      <c r="BT1234" s="2"/>
      <c r="BU1234" s="2"/>
      <c r="BV1234" s="2"/>
      <c r="BW1234" s="2"/>
      <c r="BX1234" s="2"/>
      <c r="BY1234" s="2"/>
      <c r="BZ1234" s="2"/>
      <c r="CA1234" s="2"/>
      <c r="CB1234" s="2"/>
      <c r="CC1234" s="2"/>
      <c r="CD1234" s="3"/>
      <c r="CE1234" s="2"/>
      <c r="CF1234" s="4"/>
      <c r="CG1234" s="4"/>
      <c r="CI1234" s="2"/>
    </row>
    <row r="1235" spans="1:87" s="101" customFormat="1" x14ac:dyDescent="0.35">
      <c r="A1235" s="1"/>
      <c r="C1235" s="1"/>
      <c r="G1235" s="2"/>
      <c r="H1235" s="2"/>
      <c r="I1235" s="2"/>
      <c r="J1235" s="2"/>
      <c r="K1235" s="81"/>
      <c r="L1235" s="4"/>
      <c r="M1235" s="4"/>
      <c r="N1235" s="4"/>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3"/>
      <c r="AP1235" s="2"/>
      <c r="AQ1235" s="2"/>
      <c r="AR1235" s="2"/>
      <c r="AS1235" s="2"/>
      <c r="AT1235" s="2"/>
      <c r="AU1235" s="2"/>
      <c r="AV1235" s="2"/>
      <c r="AW1235" s="2"/>
      <c r="AX1235" s="2"/>
      <c r="AY1235" s="2"/>
      <c r="AZ1235" s="5"/>
      <c r="BA1235" s="2"/>
      <c r="BD1235" s="2"/>
      <c r="BE1235" s="2"/>
      <c r="BF1235" s="2"/>
      <c r="BG1235" s="2"/>
      <c r="BH1235" s="2"/>
      <c r="BI1235" s="2"/>
      <c r="BJ1235" s="2"/>
      <c r="BK1235" s="2"/>
      <c r="BM1235" s="2"/>
      <c r="BN1235" s="2"/>
      <c r="BO1235" s="2"/>
      <c r="BP1235" s="2"/>
      <c r="BQ1235" s="2"/>
      <c r="BR1235" s="6"/>
      <c r="BS1235" s="6"/>
      <c r="BT1235" s="2"/>
      <c r="BU1235" s="2"/>
      <c r="BV1235" s="2"/>
      <c r="BW1235" s="2"/>
      <c r="BX1235" s="2"/>
      <c r="BY1235" s="2"/>
      <c r="BZ1235" s="2"/>
      <c r="CA1235" s="2"/>
      <c r="CB1235" s="2"/>
      <c r="CC1235" s="2"/>
      <c r="CD1235" s="3"/>
      <c r="CE1235" s="2"/>
      <c r="CF1235" s="4"/>
      <c r="CG1235" s="4"/>
      <c r="CI1235" s="2"/>
    </row>
    <row r="1236" spans="1:87" s="101" customFormat="1" x14ac:dyDescent="0.35">
      <c r="A1236" s="1"/>
      <c r="C1236" s="1"/>
      <c r="G1236" s="2"/>
      <c r="H1236" s="2"/>
      <c r="I1236" s="2"/>
      <c r="J1236" s="2"/>
      <c r="K1236" s="81"/>
      <c r="L1236" s="4"/>
      <c r="M1236" s="4"/>
      <c r="N1236" s="4"/>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3"/>
      <c r="AP1236" s="2"/>
      <c r="AQ1236" s="2"/>
      <c r="AR1236" s="2"/>
      <c r="AS1236" s="2"/>
      <c r="AT1236" s="2"/>
      <c r="AU1236" s="2"/>
      <c r="AV1236" s="2"/>
      <c r="AW1236" s="2"/>
      <c r="AX1236" s="2"/>
      <c r="AY1236" s="2"/>
      <c r="AZ1236" s="5"/>
      <c r="BA1236" s="2"/>
      <c r="BD1236" s="2"/>
      <c r="BE1236" s="2"/>
      <c r="BF1236" s="2"/>
      <c r="BG1236" s="2"/>
      <c r="BH1236" s="2"/>
      <c r="BI1236" s="2"/>
      <c r="BJ1236" s="2"/>
      <c r="BK1236" s="2"/>
      <c r="BM1236" s="2"/>
      <c r="BN1236" s="2"/>
      <c r="BO1236" s="2"/>
      <c r="BP1236" s="2"/>
      <c r="BQ1236" s="2"/>
      <c r="BR1236" s="6"/>
      <c r="BS1236" s="6"/>
      <c r="BT1236" s="2"/>
      <c r="BU1236" s="2"/>
      <c r="BV1236" s="2"/>
      <c r="BW1236" s="2"/>
      <c r="BX1236" s="2"/>
      <c r="BY1236" s="2"/>
      <c r="BZ1236" s="2"/>
      <c r="CA1236" s="2"/>
      <c r="CB1236" s="2"/>
      <c r="CC1236" s="2"/>
      <c r="CD1236" s="3"/>
      <c r="CE1236" s="2"/>
      <c r="CF1236" s="4"/>
      <c r="CG1236" s="4"/>
      <c r="CI1236" s="2"/>
    </row>
    <row r="1237" spans="1:87" s="101" customFormat="1" x14ac:dyDescent="0.35">
      <c r="A1237" s="1"/>
      <c r="C1237" s="1"/>
      <c r="G1237" s="2"/>
      <c r="H1237" s="2"/>
      <c r="I1237" s="2"/>
      <c r="J1237" s="2"/>
      <c r="K1237" s="81"/>
      <c r="L1237" s="4"/>
      <c r="M1237" s="4"/>
      <c r="N1237" s="4"/>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3"/>
      <c r="AP1237" s="2"/>
      <c r="AQ1237" s="2"/>
      <c r="AR1237" s="2"/>
      <c r="AS1237" s="2"/>
      <c r="AT1237" s="2"/>
      <c r="AU1237" s="2"/>
      <c r="AV1237" s="2"/>
      <c r="AW1237" s="2"/>
      <c r="AX1237" s="2"/>
      <c r="AY1237" s="2"/>
      <c r="AZ1237" s="5"/>
      <c r="BA1237" s="2"/>
      <c r="BD1237" s="2"/>
      <c r="BE1237" s="2"/>
      <c r="BF1237" s="2"/>
      <c r="BG1237" s="2"/>
      <c r="BH1237" s="2"/>
      <c r="BI1237" s="2"/>
      <c r="BJ1237" s="2"/>
      <c r="BK1237" s="2"/>
      <c r="BM1237" s="2"/>
      <c r="BN1237" s="2"/>
      <c r="BO1237" s="2"/>
      <c r="BP1237" s="2"/>
      <c r="BQ1237" s="2"/>
      <c r="BR1237" s="6"/>
      <c r="BS1237" s="6"/>
      <c r="BT1237" s="2"/>
      <c r="BU1237" s="2"/>
      <c r="BV1237" s="2"/>
      <c r="BW1237" s="2"/>
      <c r="BX1237" s="2"/>
      <c r="BY1237" s="2"/>
      <c r="BZ1237" s="2"/>
      <c r="CA1237" s="2"/>
      <c r="CB1237" s="2"/>
      <c r="CC1237" s="2"/>
      <c r="CD1237" s="3"/>
      <c r="CE1237" s="2"/>
      <c r="CF1237" s="4"/>
      <c r="CG1237" s="4"/>
      <c r="CI1237" s="2"/>
    </row>
    <row r="1238" spans="1:87" s="101" customFormat="1" x14ac:dyDescent="0.35">
      <c r="A1238" s="1"/>
      <c r="C1238" s="1"/>
      <c r="G1238" s="2"/>
      <c r="H1238" s="2"/>
      <c r="I1238" s="2"/>
      <c r="J1238" s="2"/>
      <c r="K1238" s="81"/>
      <c r="L1238" s="4"/>
      <c r="M1238" s="4"/>
      <c r="N1238" s="4"/>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3"/>
      <c r="AP1238" s="2"/>
      <c r="AQ1238" s="2"/>
      <c r="AR1238" s="2"/>
      <c r="AS1238" s="2"/>
      <c r="AT1238" s="2"/>
      <c r="AU1238" s="2"/>
      <c r="AV1238" s="2"/>
      <c r="AW1238" s="2"/>
      <c r="AX1238" s="2"/>
      <c r="AY1238" s="2"/>
      <c r="AZ1238" s="5"/>
      <c r="BA1238" s="2"/>
      <c r="BD1238" s="2"/>
      <c r="BE1238" s="2"/>
      <c r="BF1238" s="2"/>
      <c r="BG1238" s="2"/>
      <c r="BH1238" s="2"/>
      <c r="BI1238" s="2"/>
      <c r="BJ1238" s="2"/>
      <c r="BK1238" s="2"/>
      <c r="BM1238" s="2"/>
      <c r="BN1238" s="2"/>
      <c r="BO1238" s="2"/>
      <c r="BP1238" s="2"/>
      <c r="BQ1238" s="2"/>
      <c r="BR1238" s="6"/>
      <c r="BS1238" s="6"/>
      <c r="BT1238" s="2"/>
      <c r="BU1238" s="2"/>
      <c r="BV1238" s="2"/>
      <c r="BW1238" s="2"/>
      <c r="BX1238" s="2"/>
      <c r="BY1238" s="2"/>
      <c r="BZ1238" s="2"/>
      <c r="CA1238" s="2"/>
      <c r="CB1238" s="2"/>
      <c r="CC1238" s="2"/>
      <c r="CD1238" s="3"/>
      <c r="CE1238" s="2"/>
      <c r="CF1238" s="4"/>
      <c r="CG1238" s="4"/>
      <c r="CI1238" s="2"/>
    </row>
    <row r="1239" spans="1:87" s="101" customFormat="1" x14ac:dyDescent="0.35">
      <c r="A1239" s="1"/>
      <c r="C1239" s="1"/>
      <c r="G1239" s="2"/>
      <c r="H1239" s="2"/>
      <c r="I1239" s="2"/>
      <c r="J1239" s="2"/>
      <c r="K1239" s="81"/>
      <c r="L1239" s="4"/>
      <c r="M1239" s="4"/>
      <c r="N1239" s="4"/>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3"/>
      <c r="AP1239" s="2"/>
      <c r="AQ1239" s="2"/>
      <c r="AR1239" s="2"/>
      <c r="AS1239" s="2"/>
      <c r="AT1239" s="2"/>
      <c r="AU1239" s="2"/>
      <c r="AV1239" s="2"/>
      <c r="AW1239" s="2"/>
      <c r="AX1239" s="2"/>
      <c r="AY1239" s="2"/>
      <c r="AZ1239" s="5"/>
      <c r="BA1239" s="2"/>
      <c r="BD1239" s="2"/>
      <c r="BE1239" s="2"/>
      <c r="BF1239" s="2"/>
      <c r="BG1239" s="2"/>
      <c r="BH1239" s="2"/>
      <c r="BI1239" s="2"/>
      <c r="BJ1239" s="2"/>
      <c r="BK1239" s="2"/>
      <c r="BM1239" s="2"/>
      <c r="BN1239" s="2"/>
      <c r="BO1239" s="2"/>
      <c r="BP1239" s="2"/>
      <c r="BQ1239" s="2"/>
      <c r="BR1239" s="6"/>
      <c r="BS1239" s="6"/>
      <c r="BT1239" s="2"/>
      <c r="BU1239" s="2"/>
      <c r="BV1239" s="2"/>
      <c r="BW1239" s="2"/>
      <c r="BX1239" s="2"/>
      <c r="BY1239" s="2"/>
      <c r="BZ1239" s="2"/>
      <c r="CA1239" s="2"/>
      <c r="CB1239" s="2"/>
      <c r="CC1239" s="2"/>
      <c r="CD1239" s="3"/>
      <c r="CE1239" s="2"/>
      <c r="CF1239" s="4"/>
      <c r="CG1239" s="4"/>
      <c r="CI1239" s="2"/>
    </row>
    <row r="1240" spans="1:87" s="101" customFormat="1" x14ac:dyDescent="0.35">
      <c r="A1240" s="1"/>
      <c r="C1240" s="1"/>
      <c r="G1240" s="2"/>
      <c r="H1240" s="2"/>
      <c r="I1240" s="2"/>
      <c r="J1240" s="2"/>
      <c r="K1240" s="81"/>
      <c r="L1240" s="4"/>
      <c r="M1240" s="4"/>
      <c r="N1240" s="4"/>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3"/>
      <c r="AP1240" s="2"/>
      <c r="AQ1240" s="2"/>
      <c r="AR1240" s="2"/>
      <c r="AS1240" s="2"/>
      <c r="AT1240" s="2"/>
      <c r="AU1240" s="2"/>
      <c r="AV1240" s="2"/>
      <c r="AW1240" s="2"/>
      <c r="AX1240" s="2"/>
      <c r="AY1240" s="2"/>
      <c r="AZ1240" s="5"/>
      <c r="BA1240" s="2"/>
      <c r="BD1240" s="2"/>
      <c r="BE1240" s="2"/>
      <c r="BF1240" s="2"/>
      <c r="BG1240" s="2"/>
      <c r="BH1240" s="2"/>
      <c r="BI1240" s="2"/>
      <c r="BJ1240" s="2"/>
      <c r="BK1240" s="2"/>
      <c r="BM1240" s="2"/>
      <c r="BN1240" s="2"/>
      <c r="BO1240" s="2"/>
      <c r="BP1240" s="2"/>
      <c r="BQ1240" s="2"/>
      <c r="BR1240" s="6"/>
      <c r="BS1240" s="6"/>
      <c r="BT1240" s="2"/>
      <c r="BU1240" s="2"/>
      <c r="BV1240" s="2"/>
      <c r="BW1240" s="2"/>
      <c r="BX1240" s="2"/>
      <c r="BY1240" s="2"/>
      <c r="BZ1240" s="2"/>
      <c r="CA1240" s="2"/>
      <c r="CB1240" s="2"/>
      <c r="CC1240" s="2"/>
      <c r="CD1240" s="3"/>
      <c r="CE1240" s="2"/>
      <c r="CF1240" s="4"/>
      <c r="CG1240" s="4"/>
      <c r="CI1240" s="2"/>
    </row>
    <row r="1241" spans="1:87" s="101" customFormat="1" x14ac:dyDescent="0.35">
      <c r="A1241" s="1"/>
      <c r="C1241" s="1"/>
      <c r="G1241" s="2"/>
      <c r="H1241" s="2"/>
      <c r="I1241" s="2"/>
      <c r="J1241" s="2"/>
      <c r="K1241" s="81"/>
      <c r="L1241" s="4"/>
      <c r="M1241" s="4"/>
      <c r="N1241" s="4"/>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3"/>
      <c r="AP1241" s="2"/>
      <c r="AQ1241" s="2"/>
      <c r="AR1241" s="2"/>
      <c r="AS1241" s="2"/>
      <c r="AT1241" s="2"/>
      <c r="AU1241" s="2"/>
      <c r="AV1241" s="2"/>
      <c r="AW1241" s="2"/>
      <c r="AX1241" s="2"/>
      <c r="AY1241" s="2"/>
      <c r="AZ1241" s="5"/>
      <c r="BA1241" s="2"/>
      <c r="BD1241" s="2"/>
      <c r="BE1241" s="2"/>
      <c r="BF1241" s="2"/>
      <c r="BG1241" s="2"/>
      <c r="BH1241" s="2"/>
      <c r="BI1241" s="2"/>
      <c r="BJ1241" s="2"/>
      <c r="BK1241" s="2"/>
      <c r="BM1241" s="2"/>
      <c r="BN1241" s="2"/>
      <c r="BO1241" s="2"/>
      <c r="BP1241" s="2"/>
      <c r="BQ1241" s="2"/>
      <c r="BR1241" s="6"/>
      <c r="BS1241" s="6"/>
      <c r="BT1241" s="2"/>
      <c r="BU1241" s="2"/>
      <c r="BV1241" s="2"/>
      <c r="BW1241" s="2"/>
      <c r="BX1241" s="2"/>
      <c r="BY1241" s="2"/>
      <c r="BZ1241" s="2"/>
      <c r="CA1241" s="2"/>
      <c r="CB1241" s="2"/>
      <c r="CC1241" s="2"/>
      <c r="CD1241" s="3"/>
      <c r="CE1241" s="2"/>
      <c r="CF1241" s="4"/>
      <c r="CG1241" s="4"/>
      <c r="CI1241" s="2"/>
    </row>
    <row r="1242" spans="1:87" s="101" customFormat="1" x14ac:dyDescent="0.35">
      <c r="A1242" s="1"/>
      <c r="C1242" s="1"/>
      <c r="G1242" s="2"/>
      <c r="H1242" s="2"/>
      <c r="I1242" s="2"/>
      <c r="J1242" s="2"/>
      <c r="K1242" s="81"/>
      <c r="L1242" s="4"/>
      <c r="M1242" s="4"/>
      <c r="N1242" s="4"/>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3"/>
      <c r="AP1242" s="2"/>
      <c r="AQ1242" s="2"/>
      <c r="AR1242" s="2"/>
      <c r="AS1242" s="2"/>
      <c r="AT1242" s="2"/>
      <c r="AU1242" s="2"/>
      <c r="AV1242" s="2"/>
      <c r="AW1242" s="2"/>
      <c r="AX1242" s="2"/>
      <c r="AY1242" s="2"/>
      <c r="AZ1242" s="5"/>
      <c r="BA1242" s="2"/>
      <c r="BD1242" s="2"/>
      <c r="BE1242" s="2"/>
      <c r="BF1242" s="2"/>
      <c r="BG1242" s="2"/>
      <c r="BH1242" s="2"/>
      <c r="BI1242" s="2"/>
      <c r="BJ1242" s="2"/>
      <c r="BK1242" s="2"/>
      <c r="BM1242" s="2"/>
      <c r="BN1242" s="2"/>
      <c r="BO1242" s="2"/>
      <c r="BP1242" s="2"/>
      <c r="BQ1242" s="2"/>
      <c r="BR1242" s="6"/>
      <c r="BS1242" s="6"/>
      <c r="BT1242" s="2"/>
      <c r="BU1242" s="2"/>
      <c r="BV1242" s="2"/>
      <c r="BW1242" s="2"/>
      <c r="BX1242" s="2"/>
      <c r="BY1242" s="2"/>
      <c r="BZ1242" s="2"/>
      <c r="CA1242" s="2"/>
      <c r="CB1242" s="2"/>
      <c r="CC1242" s="2"/>
      <c r="CD1242" s="3"/>
      <c r="CE1242" s="2"/>
      <c r="CF1242" s="4"/>
      <c r="CG1242" s="4"/>
      <c r="CI1242" s="2"/>
    </row>
    <row r="1243" spans="1:87" s="101" customFormat="1" x14ac:dyDescent="0.35">
      <c r="A1243" s="1"/>
      <c r="C1243" s="1"/>
      <c r="G1243" s="2"/>
      <c r="H1243" s="2"/>
      <c r="I1243" s="2"/>
      <c r="J1243" s="2"/>
      <c r="K1243" s="81"/>
      <c r="L1243" s="4"/>
      <c r="M1243" s="4"/>
      <c r="N1243" s="4"/>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3"/>
      <c r="AP1243" s="2"/>
      <c r="AQ1243" s="2"/>
      <c r="AR1243" s="2"/>
      <c r="AS1243" s="2"/>
      <c r="AT1243" s="2"/>
      <c r="AU1243" s="2"/>
      <c r="AV1243" s="2"/>
      <c r="AW1243" s="2"/>
      <c r="AX1243" s="2"/>
      <c r="AY1243" s="2"/>
      <c r="AZ1243" s="5"/>
      <c r="BA1243" s="2"/>
      <c r="BD1243" s="2"/>
      <c r="BE1243" s="2"/>
      <c r="BF1243" s="2"/>
      <c r="BG1243" s="2"/>
      <c r="BH1243" s="2"/>
      <c r="BI1243" s="2"/>
      <c r="BJ1243" s="2"/>
      <c r="BK1243" s="2"/>
      <c r="BM1243" s="2"/>
      <c r="BN1243" s="2"/>
      <c r="BO1243" s="2"/>
      <c r="BP1243" s="2"/>
      <c r="BQ1243" s="2"/>
      <c r="BR1243" s="6"/>
      <c r="BS1243" s="6"/>
      <c r="BT1243" s="2"/>
      <c r="BU1243" s="2"/>
      <c r="BV1243" s="2"/>
      <c r="BW1243" s="2"/>
      <c r="BX1243" s="2"/>
      <c r="BY1243" s="2"/>
      <c r="BZ1243" s="2"/>
      <c r="CA1243" s="2"/>
      <c r="CB1243" s="2"/>
      <c r="CC1243" s="2"/>
      <c r="CD1243" s="3"/>
      <c r="CE1243" s="2"/>
      <c r="CF1243" s="4"/>
      <c r="CG1243" s="4"/>
      <c r="CI1243" s="2"/>
    </row>
    <row r="1244" spans="1:87" s="101" customFormat="1" x14ac:dyDescent="0.35">
      <c r="A1244" s="1"/>
      <c r="C1244" s="1"/>
      <c r="G1244" s="2"/>
      <c r="H1244" s="2"/>
      <c r="I1244" s="2"/>
      <c r="J1244" s="2"/>
      <c r="K1244" s="81"/>
      <c r="L1244" s="4"/>
      <c r="M1244" s="4"/>
      <c r="N1244" s="4"/>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3"/>
      <c r="AP1244" s="2"/>
      <c r="AQ1244" s="2"/>
      <c r="AR1244" s="2"/>
      <c r="AS1244" s="2"/>
      <c r="AT1244" s="2"/>
      <c r="AU1244" s="2"/>
      <c r="AV1244" s="2"/>
      <c r="AW1244" s="2"/>
      <c r="AX1244" s="2"/>
      <c r="AY1244" s="2"/>
      <c r="AZ1244" s="5"/>
      <c r="BA1244" s="2"/>
      <c r="BD1244" s="2"/>
      <c r="BE1244" s="2"/>
      <c r="BF1244" s="2"/>
      <c r="BG1244" s="2"/>
      <c r="BH1244" s="2"/>
      <c r="BI1244" s="2"/>
      <c r="BJ1244" s="2"/>
      <c r="BK1244" s="2"/>
      <c r="BM1244" s="2"/>
      <c r="BN1244" s="2"/>
      <c r="BO1244" s="2"/>
      <c r="BP1244" s="2"/>
      <c r="BQ1244" s="2"/>
      <c r="BR1244" s="6"/>
      <c r="BS1244" s="6"/>
      <c r="BT1244" s="2"/>
      <c r="BU1244" s="2"/>
      <c r="BV1244" s="2"/>
      <c r="BW1244" s="2"/>
      <c r="BX1244" s="2"/>
      <c r="BY1244" s="2"/>
      <c r="BZ1244" s="2"/>
      <c r="CA1244" s="2"/>
      <c r="CB1244" s="2"/>
      <c r="CC1244" s="2"/>
      <c r="CD1244" s="3"/>
      <c r="CE1244" s="2"/>
      <c r="CF1244" s="4"/>
      <c r="CG1244" s="4"/>
      <c r="CI1244" s="2"/>
    </row>
    <row r="1245" spans="1:87" s="101" customFormat="1" x14ac:dyDescent="0.35">
      <c r="A1245" s="1"/>
      <c r="C1245" s="1"/>
      <c r="G1245" s="2"/>
      <c r="H1245" s="2"/>
      <c r="I1245" s="2"/>
      <c r="J1245" s="2"/>
      <c r="K1245" s="81"/>
      <c r="L1245" s="4"/>
      <c r="M1245" s="4"/>
      <c r="N1245" s="4"/>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3"/>
      <c r="AP1245" s="2"/>
      <c r="AQ1245" s="2"/>
      <c r="AR1245" s="2"/>
      <c r="AS1245" s="2"/>
      <c r="AT1245" s="2"/>
      <c r="AU1245" s="2"/>
      <c r="AV1245" s="2"/>
      <c r="AW1245" s="2"/>
      <c r="AX1245" s="2"/>
      <c r="AY1245" s="2"/>
      <c r="AZ1245" s="5"/>
      <c r="BA1245" s="2"/>
      <c r="BD1245" s="2"/>
      <c r="BE1245" s="2"/>
      <c r="BF1245" s="2"/>
      <c r="BG1245" s="2"/>
      <c r="BH1245" s="2"/>
      <c r="BI1245" s="2"/>
      <c r="BJ1245" s="2"/>
      <c r="BK1245" s="2"/>
      <c r="BM1245" s="2"/>
      <c r="BN1245" s="2"/>
      <c r="BO1245" s="2"/>
      <c r="BP1245" s="2"/>
      <c r="BQ1245" s="2"/>
      <c r="BR1245" s="6"/>
      <c r="BS1245" s="6"/>
      <c r="BT1245" s="2"/>
      <c r="BU1245" s="2"/>
      <c r="BV1245" s="2"/>
      <c r="BW1245" s="2"/>
      <c r="BX1245" s="2"/>
      <c r="BY1245" s="2"/>
      <c r="BZ1245" s="2"/>
      <c r="CA1245" s="2"/>
      <c r="CB1245" s="2"/>
      <c r="CC1245" s="2"/>
      <c r="CD1245" s="3"/>
      <c r="CE1245" s="2"/>
      <c r="CF1245" s="4"/>
      <c r="CG1245" s="4"/>
      <c r="CI1245" s="2"/>
    </row>
    <row r="1246" spans="1:87" s="101" customFormat="1" x14ac:dyDescent="0.35">
      <c r="A1246" s="1"/>
      <c r="C1246" s="1"/>
      <c r="G1246" s="2"/>
      <c r="H1246" s="2"/>
      <c r="I1246" s="2"/>
      <c r="J1246" s="2"/>
      <c r="K1246" s="81"/>
      <c r="L1246" s="4"/>
      <c r="M1246" s="4"/>
      <c r="N1246" s="4"/>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3"/>
      <c r="AP1246" s="2"/>
      <c r="AQ1246" s="2"/>
      <c r="AR1246" s="2"/>
      <c r="AS1246" s="2"/>
      <c r="AT1246" s="2"/>
      <c r="AU1246" s="2"/>
      <c r="AV1246" s="2"/>
      <c r="AW1246" s="2"/>
      <c r="AX1246" s="2"/>
      <c r="AY1246" s="2"/>
      <c r="AZ1246" s="5"/>
      <c r="BA1246" s="2"/>
      <c r="BD1246" s="2"/>
      <c r="BE1246" s="2"/>
      <c r="BF1246" s="2"/>
      <c r="BG1246" s="2"/>
      <c r="BH1246" s="2"/>
      <c r="BI1246" s="2"/>
      <c r="BJ1246" s="2"/>
      <c r="BK1246" s="2"/>
      <c r="BM1246" s="2"/>
      <c r="BN1246" s="2"/>
      <c r="BO1246" s="2"/>
      <c r="BP1246" s="2"/>
      <c r="BQ1246" s="2"/>
      <c r="BR1246" s="6"/>
      <c r="BS1246" s="6"/>
      <c r="BT1246" s="2"/>
      <c r="BU1246" s="2"/>
      <c r="BV1246" s="2"/>
      <c r="BW1246" s="2"/>
      <c r="BX1246" s="2"/>
      <c r="BY1246" s="2"/>
      <c r="BZ1246" s="2"/>
      <c r="CA1246" s="2"/>
      <c r="CB1246" s="2"/>
      <c r="CC1246" s="2"/>
      <c r="CD1246" s="3"/>
      <c r="CE1246" s="2"/>
      <c r="CF1246" s="4"/>
      <c r="CG1246" s="4"/>
      <c r="CI1246" s="2"/>
    </row>
    <row r="1247" spans="1:87" s="101" customFormat="1" x14ac:dyDescent="0.35">
      <c r="A1247" s="1"/>
      <c r="C1247" s="1"/>
      <c r="G1247" s="2"/>
      <c r="H1247" s="2"/>
      <c r="I1247" s="2"/>
      <c r="J1247" s="2"/>
      <c r="K1247" s="81"/>
      <c r="L1247" s="4"/>
      <c r="M1247" s="4"/>
      <c r="N1247" s="4"/>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3"/>
      <c r="AP1247" s="2"/>
      <c r="AQ1247" s="2"/>
      <c r="AR1247" s="2"/>
      <c r="AS1247" s="2"/>
      <c r="AT1247" s="2"/>
      <c r="AU1247" s="2"/>
      <c r="AV1247" s="2"/>
      <c r="AW1247" s="2"/>
      <c r="AX1247" s="2"/>
      <c r="AY1247" s="2"/>
      <c r="AZ1247" s="5"/>
      <c r="BA1247" s="2"/>
      <c r="BD1247" s="2"/>
      <c r="BE1247" s="2"/>
      <c r="BF1247" s="2"/>
      <c r="BG1247" s="2"/>
      <c r="BH1247" s="2"/>
      <c r="BI1247" s="2"/>
      <c r="BJ1247" s="2"/>
      <c r="BK1247" s="2"/>
      <c r="BM1247" s="2"/>
      <c r="BN1247" s="2"/>
      <c r="BO1247" s="2"/>
      <c r="BP1247" s="2"/>
      <c r="BQ1247" s="2"/>
      <c r="BR1247" s="6"/>
      <c r="BS1247" s="6"/>
      <c r="BT1247" s="2"/>
      <c r="BU1247" s="2"/>
      <c r="BV1247" s="2"/>
      <c r="BW1247" s="2"/>
      <c r="BX1247" s="2"/>
      <c r="BY1247" s="2"/>
      <c r="BZ1247" s="2"/>
      <c r="CA1247" s="2"/>
      <c r="CB1247" s="2"/>
      <c r="CC1247" s="2"/>
      <c r="CD1247" s="3"/>
      <c r="CE1247" s="2"/>
      <c r="CF1247" s="4"/>
      <c r="CG1247" s="4"/>
      <c r="CI1247" s="2"/>
    </row>
    <row r="1248" spans="1:87" s="101" customFormat="1" x14ac:dyDescent="0.35">
      <c r="A1248" s="1"/>
      <c r="C1248" s="1"/>
      <c r="G1248" s="2"/>
      <c r="H1248" s="2"/>
      <c r="I1248" s="2"/>
      <c r="J1248" s="2"/>
      <c r="K1248" s="81"/>
      <c r="L1248" s="4"/>
      <c r="M1248" s="4"/>
      <c r="N1248" s="4"/>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3"/>
      <c r="AP1248" s="2"/>
      <c r="AQ1248" s="2"/>
      <c r="AR1248" s="2"/>
      <c r="AS1248" s="2"/>
      <c r="AT1248" s="2"/>
      <c r="AU1248" s="2"/>
      <c r="AV1248" s="2"/>
      <c r="AW1248" s="2"/>
      <c r="AX1248" s="2"/>
      <c r="AY1248" s="2"/>
      <c r="AZ1248" s="5"/>
      <c r="BA1248" s="2"/>
      <c r="BD1248" s="2"/>
      <c r="BE1248" s="2"/>
      <c r="BF1248" s="2"/>
      <c r="BG1248" s="2"/>
      <c r="BH1248" s="2"/>
      <c r="BI1248" s="2"/>
      <c r="BJ1248" s="2"/>
      <c r="BK1248" s="2"/>
      <c r="BM1248" s="2"/>
      <c r="BN1248" s="2"/>
      <c r="BO1248" s="2"/>
      <c r="BP1248" s="2"/>
      <c r="BQ1248" s="2"/>
      <c r="BR1248" s="6"/>
      <c r="BS1248" s="6"/>
      <c r="BT1248" s="2"/>
      <c r="BU1248" s="2"/>
      <c r="BV1248" s="2"/>
      <c r="BW1248" s="2"/>
      <c r="BX1248" s="2"/>
      <c r="BY1248" s="2"/>
      <c r="BZ1248" s="2"/>
      <c r="CA1248" s="2"/>
      <c r="CB1248" s="2"/>
      <c r="CC1248" s="2"/>
      <c r="CD1248" s="3"/>
      <c r="CE1248" s="2"/>
      <c r="CF1248" s="4"/>
      <c r="CG1248" s="4"/>
      <c r="CI1248" s="2"/>
    </row>
    <row r="1249" spans="1:87" s="101" customFormat="1" x14ac:dyDescent="0.35">
      <c r="A1249" s="1"/>
      <c r="C1249" s="1"/>
      <c r="G1249" s="2"/>
      <c r="H1249" s="2"/>
      <c r="I1249" s="2"/>
      <c r="J1249" s="2"/>
      <c r="K1249" s="81"/>
      <c r="L1249" s="4"/>
      <c r="M1249" s="4"/>
      <c r="N1249" s="4"/>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3"/>
      <c r="AP1249" s="2"/>
      <c r="AQ1249" s="2"/>
      <c r="AR1249" s="2"/>
      <c r="AS1249" s="2"/>
      <c r="AT1249" s="2"/>
      <c r="AU1249" s="2"/>
      <c r="AV1249" s="2"/>
      <c r="AW1249" s="2"/>
      <c r="AX1249" s="2"/>
      <c r="AY1249" s="2"/>
      <c r="AZ1249" s="5"/>
      <c r="BA1249" s="2"/>
      <c r="BD1249" s="2"/>
      <c r="BE1249" s="2"/>
      <c r="BF1249" s="2"/>
      <c r="BG1249" s="2"/>
      <c r="BH1249" s="2"/>
      <c r="BI1249" s="2"/>
      <c r="BJ1249" s="2"/>
      <c r="BK1249" s="2"/>
      <c r="BM1249" s="2"/>
      <c r="BN1249" s="2"/>
      <c r="BO1249" s="2"/>
      <c r="BP1249" s="2"/>
      <c r="BQ1249" s="2"/>
      <c r="BR1249" s="6"/>
      <c r="BS1249" s="6"/>
      <c r="BT1249" s="2"/>
      <c r="BU1249" s="2"/>
      <c r="BV1249" s="2"/>
      <c r="BW1249" s="2"/>
      <c r="BX1249" s="2"/>
      <c r="BY1249" s="2"/>
      <c r="BZ1249" s="2"/>
      <c r="CA1249" s="2"/>
      <c r="CB1249" s="2"/>
      <c r="CC1249" s="2"/>
      <c r="CD1249" s="3"/>
      <c r="CE1249" s="2"/>
      <c r="CF1249" s="4"/>
      <c r="CG1249" s="4"/>
      <c r="CI1249" s="2"/>
    </row>
    <row r="1250" spans="1:87" s="101" customFormat="1" x14ac:dyDescent="0.35">
      <c r="A1250" s="1"/>
      <c r="C1250" s="1"/>
      <c r="G1250" s="2"/>
      <c r="H1250" s="2"/>
      <c r="I1250" s="2"/>
      <c r="J1250" s="2"/>
      <c r="K1250" s="81"/>
      <c r="L1250" s="4"/>
      <c r="M1250" s="4"/>
      <c r="N1250" s="4"/>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3"/>
      <c r="AP1250" s="2"/>
      <c r="AQ1250" s="2"/>
      <c r="AR1250" s="2"/>
      <c r="AS1250" s="2"/>
      <c r="AT1250" s="2"/>
      <c r="AU1250" s="2"/>
      <c r="AV1250" s="2"/>
      <c r="AW1250" s="2"/>
      <c r="AX1250" s="2"/>
      <c r="AY1250" s="2"/>
      <c r="AZ1250" s="5"/>
      <c r="BA1250" s="2"/>
      <c r="BD1250" s="2"/>
      <c r="BE1250" s="2"/>
      <c r="BF1250" s="2"/>
      <c r="BG1250" s="2"/>
      <c r="BH1250" s="2"/>
      <c r="BI1250" s="2"/>
      <c r="BJ1250" s="2"/>
      <c r="BK1250" s="2"/>
      <c r="BM1250" s="2"/>
      <c r="BN1250" s="2"/>
      <c r="BO1250" s="2"/>
      <c r="BP1250" s="2"/>
      <c r="BQ1250" s="2"/>
      <c r="BR1250" s="6"/>
      <c r="BS1250" s="6"/>
      <c r="BT1250" s="2"/>
      <c r="BU1250" s="2"/>
      <c r="BV1250" s="2"/>
      <c r="BW1250" s="2"/>
      <c r="BX1250" s="2"/>
      <c r="BY1250" s="2"/>
      <c r="BZ1250" s="2"/>
      <c r="CA1250" s="2"/>
      <c r="CB1250" s="2"/>
      <c r="CC1250" s="2"/>
      <c r="CD1250" s="3"/>
      <c r="CE1250" s="2"/>
      <c r="CF1250" s="4"/>
      <c r="CG1250" s="4"/>
      <c r="CI1250" s="2"/>
    </row>
    <row r="1251" spans="1:87" s="101" customFormat="1" x14ac:dyDescent="0.35">
      <c r="A1251" s="1"/>
      <c r="C1251" s="1"/>
      <c r="G1251" s="2"/>
      <c r="H1251" s="2"/>
      <c r="I1251" s="2"/>
      <c r="J1251" s="2"/>
      <c r="K1251" s="81"/>
      <c r="L1251" s="4"/>
      <c r="M1251" s="4"/>
      <c r="N1251" s="4"/>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3"/>
      <c r="AP1251" s="2"/>
      <c r="AQ1251" s="2"/>
      <c r="AR1251" s="2"/>
      <c r="AS1251" s="2"/>
      <c r="AT1251" s="2"/>
      <c r="AU1251" s="2"/>
      <c r="AV1251" s="2"/>
      <c r="AW1251" s="2"/>
      <c r="AX1251" s="2"/>
      <c r="AY1251" s="2"/>
      <c r="AZ1251" s="5"/>
      <c r="BA1251" s="2"/>
      <c r="BD1251" s="2"/>
      <c r="BE1251" s="2"/>
      <c r="BF1251" s="2"/>
      <c r="BG1251" s="2"/>
      <c r="BH1251" s="2"/>
      <c r="BI1251" s="2"/>
      <c r="BJ1251" s="2"/>
      <c r="BK1251" s="2"/>
      <c r="BM1251" s="2"/>
      <c r="BN1251" s="2"/>
      <c r="BO1251" s="2"/>
      <c r="BP1251" s="2"/>
      <c r="BQ1251" s="2"/>
      <c r="BR1251" s="6"/>
      <c r="BS1251" s="6"/>
      <c r="BT1251" s="2"/>
      <c r="BU1251" s="2"/>
      <c r="BV1251" s="2"/>
      <c r="BW1251" s="2"/>
      <c r="BX1251" s="2"/>
      <c r="BY1251" s="2"/>
      <c r="BZ1251" s="2"/>
      <c r="CA1251" s="2"/>
      <c r="CB1251" s="2"/>
      <c r="CC1251" s="2"/>
      <c r="CD1251" s="3"/>
      <c r="CE1251" s="2"/>
      <c r="CF1251" s="4"/>
      <c r="CG1251" s="4"/>
      <c r="CI1251" s="2"/>
    </row>
    <row r="1252" spans="1:87" s="101" customFormat="1" x14ac:dyDescent="0.35">
      <c r="A1252" s="1"/>
      <c r="C1252" s="1"/>
      <c r="G1252" s="2"/>
      <c r="H1252" s="2"/>
      <c r="I1252" s="2"/>
      <c r="J1252" s="2"/>
      <c r="K1252" s="81"/>
      <c r="L1252" s="4"/>
      <c r="M1252" s="4"/>
      <c r="N1252" s="4"/>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3"/>
      <c r="AP1252" s="2"/>
      <c r="AQ1252" s="2"/>
      <c r="AR1252" s="2"/>
      <c r="AS1252" s="2"/>
      <c r="AT1252" s="2"/>
      <c r="AU1252" s="2"/>
      <c r="AV1252" s="2"/>
      <c r="AW1252" s="2"/>
      <c r="AX1252" s="2"/>
      <c r="AY1252" s="2"/>
      <c r="AZ1252" s="5"/>
      <c r="BA1252" s="2"/>
      <c r="BD1252" s="2"/>
      <c r="BE1252" s="2"/>
      <c r="BF1252" s="2"/>
      <c r="BG1252" s="2"/>
      <c r="BH1252" s="2"/>
      <c r="BI1252" s="2"/>
      <c r="BJ1252" s="2"/>
      <c r="BK1252" s="2"/>
      <c r="BM1252" s="2"/>
      <c r="BN1252" s="2"/>
      <c r="BO1252" s="2"/>
      <c r="BP1252" s="2"/>
      <c r="BQ1252" s="2"/>
      <c r="BR1252" s="6"/>
      <c r="BS1252" s="6"/>
      <c r="BT1252" s="2"/>
      <c r="BU1252" s="2"/>
      <c r="BV1252" s="2"/>
      <c r="BW1252" s="2"/>
      <c r="BX1252" s="2"/>
      <c r="BY1252" s="2"/>
      <c r="BZ1252" s="2"/>
      <c r="CA1252" s="2"/>
      <c r="CB1252" s="2"/>
      <c r="CC1252" s="2"/>
      <c r="CD1252" s="3"/>
      <c r="CE1252" s="2"/>
      <c r="CF1252" s="4"/>
      <c r="CG1252" s="4"/>
      <c r="CI1252" s="2"/>
    </row>
    <row r="1253" spans="1:87" s="101" customFormat="1" x14ac:dyDescent="0.35">
      <c r="A1253" s="1"/>
      <c r="C1253" s="1"/>
      <c r="G1253" s="2"/>
      <c r="H1253" s="2"/>
      <c r="I1253" s="2"/>
      <c r="J1253" s="2"/>
      <c r="K1253" s="81"/>
      <c r="L1253" s="4"/>
      <c r="M1253" s="4"/>
      <c r="N1253" s="4"/>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3"/>
      <c r="AP1253" s="2"/>
      <c r="AQ1253" s="2"/>
      <c r="AR1253" s="2"/>
      <c r="AS1253" s="2"/>
      <c r="AT1253" s="2"/>
      <c r="AU1253" s="2"/>
      <c r="AV1253" s="2"/>
      <c r="AW1253" s="2"/>
      <c r="AX1253" s="2"/>
      <c r="AY1253" s="2"/>
      <c r="AZ1253" s="5"/>
      <c r="BA1253" s="2"/>
      <c r="BD1253" s="2"/>
      <c r="BE1253" s="2"/>
      <c r="BF1253" s="2"/>
      <c r="BG1253" s="2"/>
      <c r="BH1253" s="2"/>
      <c r="BI1253" s="2"/>
      <c r="BJ1253" s="2"/>
      <c r="BK1253" s="2"/>
      <c r="BM1253" s="2"/>
      <c r="BN1253" s="2"/>
      <c r="BO1253" s="2"/>
      <c r="BP1253" s="2"/>
      <c r="BQ1253" s="2"/>
      <c r="BR1253" s="6"/>
      <c r="BS1253" s="6"/>
      <c r="BT1253" s="2"/>
      <c r="BU1253" s="2"/>
      <c r="BV1253" s="2"/>
      <c r="BW1253" s="2"/>
      <c r="BX1253" s="2"/>
      <c r="BY1253" s="2"/>
      <c r="BZ1253" s="2"/>
      <c r="CA1253" s="2"/>
      <c r="CB1253" s="2"/>
      <c r="CC1253" s="2"/>
      <c r="CD1253" s="3"/>
      <c r="CE1253" s="2"/>
      <c r="CF1253" s="4"/>
      <c r="CG1253" s="4"/>
      <c r="CI1253" s="2"/>
    </row>
    <row r="1254" spans="1:87" s="101" customFormat="1" x14ac:dyDescent="0.35">
      <c r="A1254" s="1"/>
      <c r="C1254" s="1"/>
      <c r="G1254" s="2"/>
      <c r="H1254" s="2"/>
      <c r="I1254" s="2"/>
      <c r="J1254" s="2"/>
      <c r="K1254" s="81"/>
      <c r="L1254" s="4"/>
      <c r="M1254" s="4"/>
      <c r="N1254" s="4"/>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3"/>
      <c r="AP1254" s="2"/>
      <c r="AQ1254" s="2"/>
      <c r="AR1254" s="2"/>
      <c r="AS1254" s="2"/>
      <c r="AT1254" s="2"/>
      <c r="AU1254" s="2"/>
      <c r="AV1254" s="2"/>
      <c r="AW1254" s="2"/>
      <c r="AX1254" s="2"/>
      <c r="AY1254" s="2"/>
      <c r="AZ1254" s="5"/>
      <c r="BA1254" s="2"/>
      <c r="BD1254" s="2"/>
      <c r="BE1254" s="2"/>
      <c r="BF1254" s="2"/>
      <c r="BG1254" s="2"/>
      <c r="BH1254" s="2"/>
      <c r="BI1254" s="2"/>
      <c r="BJ1254" s="2"/>
      <c r="BK1254" s="2"/>
      <c r="BM1254" s="2"/>
      <c r="BN1254" s="2"/>
      <c r="BO1254" s="2"/>
      <c r="BP1254" s="2"/>
      <c r="BQ1254" s="2"/>
      <c r="BR1254" s="6"/>
      <c r="BS1254" s="6"/>
      <c r="BT1254" s="2"/>
      <c r="BU1254" s="2"/>
      <c r="BV1254" s="2"/>
      <c r="BW1254" s="2"/>
      <c r="BX1254" s="2"/>
      <c r="BY1254" s="2"/>
      <c r="BZ1254" s="2"/>
      <c r="CA1254" s="2"/>
      <c r="CB1254" s="2"/>
      <c r="CC1254" s="2"/>
      <c r="CD1254" s="3"/>
      <c r="CE1254" s="2"/>
      <c r="CF1254" s="4"/>
      <c r="CG1254" s="4"/>
      <c r="CI1254" s="2"/>
    </row>
    <row r="1255" spans="1:87" s="101" customFormat="1" x14ac:dyDescent="0.35">
      <c r="A1255" s="1"/>
      <c r="C1255" s="1"/>
      <c r="G1255" s="2"/>
      <c r="H1255" s="2"/>
      <c r="I1255" s="2"/>
      <c r="J1255" s="2"/>
      <c r="K1255" s="81"/>
      <c r="L1255" s="4"/>
      <c r="M1255" s="4"/>
      <c r="N1255" s="4"/>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3"/>
      <c r="AP1255" s="2"/>
      <c r="AQ1255" s="2"/>
      <c r="AR1255" s="2"/>
      <c r="AS1255" s="2"/>
      <c r="AT1255" s="2"/>
      <c r="AU1255" s="2"/>
      <c r="AV1255" s="2"/>
      <c r="AW1255" s="2"/>
      <c r="AX1255" s="2"/>
      <c r="AY1255" s="2"/>
      <c r="AZ1255" s="5"/>
      <c r="BA1255" s="2"/>
      <c r="BD1255" s="2"/>
      <c r="BE1255" s="2"/>
      <c r="BF1255" s="2"/>
      <c r="BG1255" s="2"/>
      <c r="BH1255" s="2"/>
      <c r="BI1255" s="2"/>
      <c r="BJ1255" s="2"/>
      <c r="BK1255" s="2"/>
      <c r="BM1255" s="2"/>
      <c r="BN1255" s="2"/>
      <c r="BO1255" s="2"/>
      <c r="BP1255" s="2"/>
      <c r="BQ1255" s="2"/>
      <c r="BR1255" s="6"/>
      <c r="BS1255" s="6"/>
      <c r="BT1255" s="2"/>
      <c r="BU1255" s="2"/>
      <c r="BV1255" s="2"/>
      <c r="BW1255" s="2"/>
      <c r="BX1255" s="2"/>
      <c r="BY1255" s="2"/>
      <c r="BZ1255" s="2"/>
      <c r="CA1255" s="2"/>
      <c r="CB1255" s="2"/>
      <c r="CC1255" s="2"/>
      <c r="CD1255" s="3"/>
      <c r="CE1255" s="2"/>
      <c r="CF1255" s="4"/>
      <c r="CG1255" s="4"/>
      <c r="CI1255" s="2"/>
    </row>
    <row r="1256" spans="1:87" s="101" customFormat="1" x14ac:dyDescent="0.35">
      <c r="A1256" s="1"/>
      <c r="C1256" s="1"/>
      <c r="G1256" s="2"/>
      <c r="H1256" s="2"/>
      <c r="I1256" s="2"/>
      <c r="J1256" s="2"/>
      <c r="K1256" s="81"/>
      <c r="L1256" s="4"/>
      <c r="M1256" s="4"/>
      <c r="N1256" s="4"/>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3"/>
      <c r="AP1256" s="2"/>
      <c r="AQ1256" s="2"/>
      <c r="AR1256" s="2"/>
      <c r="AS1256" s="2"/>
      <c r="AT1256" s="2"/>
      <c r="AU1256" s="2"/>
      <c r="AV1256" s="2"/>
      <c r="AW1256" s="2"/>
      <c r="AX1256" s="2"/>
      <c r="AY1256" s="2"/>
      <c r="AZ1256" s="5"/>
      <c r="BA1256" s="2"/>
      <c r="BD1256" s="2"/>
      <c r="BE1256" s="2"/>
      <c r="BF1256" s="2"/>
      <c r="BG1256" s="2"/>
      <c r="BH1256" s="2"/>
      <c r="BI1256" s="2"/>
      <c r="BJ1256" s="2"/>
      <c r="BK1256" s="2"/>
      <c r="BM1256" s="2"/>
      <c r="BN1256" s="2"/>
      <c r="BO1256" s="2"/>
      <c r="BP1256" s="2"/>
      <c r="BQ1256" s="2"/>
      <c r="BR1256" s="6"/>
      <c r="BS1256" s="6"/>
      <c r="BT1256" s="2"/>
      <c r="BU1256" s="2"/>
      <c r="BV1256" s="2"/>
      <c r="BW1256" s="2"/>
      <c r="BX1256" s="2"/>
      <c r="BY1256" s="2"/>
      <c r="BZ1256" s="2"/>
      <c r="CA1256" s="2"/>
      <c r="CB1256" s="2"/>
      <c r="CC1256" s="2"/>
      <c r="CD1256" s="3"/>
      <c r="CE1256" s="2"/>
      <c r="CF1256" s="4"/>
      <c r="CG1256" s="4"/>
      <c r="CI1256" s="2"/>
    </row>
    <row r="1257" spans="1:87" s="101" customFormat="1" x14ac:dyDescent="0.35">
      <c r="A1257" s="1"/>
      <c r="C1257" s="1"/>
      <c r="G1257" s="2"/>
      <c r="H1257" s="2"/>
      <c r="I1257" s="2"/>
      <c r="J1257" s="2"/>
      <c r="K1257" s="81"/>
      <c r="L1257" s="4"/>
      <c r="M1257" s="4"/>
      <c r="N1257" s="4"/>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3"/>
      <c r="AP1257" s="2"/>
      <c r="AQ1257" s="2"/>
      <c r="AR1257" s="2"/>
      <c r="AS1257" s="2"/>
      <c r="AT1257" s="2"/>
      <c r="AU1257" s="2"/>
      <c r="AV1257" s="2"/>
      <c r="AW1257" s="2"/>
      <c r="AX1257" s="2"/>
      <c r="AY1257" s="2"/>
      <c r="AZ1257" s="5"/>
      <c r="BA1257" s="2"/>
      <c r="BD1257" s="2"/>
      <c r="BE1257" s="2"/>
      <c r="BF1257" s="2"/>
      <c r="BG1257" s="2"/>
      <c r="BH1257" s="2"/>
      <c r="BI1257" s="2"/>
      <c r="BJ1257" s="2"/>
      <c r="BK1257" s="2"/>
      <c r="BM1257" s="2"/>
      <c r="BN1257" s="2"/>
      <c r="BO1257" s="2"/>
      <c r="BP1257" s="2"/>
      <c r="BQ1257" s="2"/>
      <c r="BR1257" s="6"/>
      <c r="BS1257" s="6"/>
      <c r="BT1257" s="2"/>
      <c r="BU1257" s="2"/>
      <c r="BV1257" s="2"/>
      <c r="BW1257" s="2"/>
      <c r="BX1257" s="2"/>
      <c r="BY1257" s="2"/>
      <c r="BZ1257" s="2"/>
      <c r="CA1257" s="2"/>
      <c r="CB1257" s="2"/>
      <c r="CC1257" s="2"/>
      <c r="CD1257" s="3"/>
      <c r="CE1257" s="2"/>
      <c r="CF1257" s="4"/>
      <c r="CG1257" s="4"/>
      <c r="CI1257" s="2"/>
    </row>
    <row r="1258" spans="1:87" s="101" customFormat="1" x14ac:dyDescent="0.35">
      <c r="A1258" s="1"/>
      <c r="C1258" s="1"/>
      <c r="G1258" s="2"/>
      <c r="H1258" s="2"/>
      <c r="I1258" s="2"/>
      <c r="J1258" s="2"/>
      <c r="K1258" s="81"/>
      <c r="L1258" s="4"/>
      <c r="M1258" s="4"/>
      <c r="N1258" s="4"/>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3"/>
      <c r="AP1258" s="2"/>
      <c r="AQ1258" s="2"/>
      <c r="AR1258" s="2"/>
      <c r="AS1258" s="2"/>
      <c r="AT1258" s="2"/>
      <c r="AU1258" s="2"/>
      <c r="AV1258" s="2"/>
      <c r="AW1258" s="2"/>
      <c r="AX1258" s="2"/>
      <c r="AY1258" s="2"/>
      <c r="AZ1258" s="5"/>
      <c r="BA1258" s="2"/>
      <c r="BD1258" s="2"/>
      <c r="BE1258" s="2"/>
      <c r="BF1258" s="2"/>
      <c r="BG1258" s="2"/>
      <c r="BH1258" s="2"/>
      <c r="BI1258" s="2"/>
      <c r="BJ1258" s="2"/>
      <c r="BK1258" s="2"/>
      <c r="BM1258" s="2"/>
      <c r="BN1258" s="2"/>
      <c r="BO1258" s="2"/>
      <c r="BP1258" s="2"/>
      <c r="BQ1258" s="2"/>
      <c r="BR1258" s="6"/>
      <c r="BS1258" s="6"/>
      <c r="BT1258" s="2"/>
      <c r="BU1258" s="2"/>
      <c r="BV1258" s="2"/>
      <c r="BW1258" s="2"/>
      <c r="BX1258" s="2"/>
      <c r="BY1258" s="2"/>
      <c r="BZ1258" s="2"/>
      <c r="CA1258" s="2"/>
      <c r="CB1258" s="2"/>
      <c r="CC1258" s="2"/>
      <c r="CD1258" s="3"/>
      <c r="CE1258" s="2"/>
      <c r="CF1258" s="4"/>
      <c r="CG1258" s="4"/>
      <c r="CI1258" s="2"/>
    </row>
    <row r="1259" spans="1:87" s="101" customFormat="1" x14ac:dyDescent="0.35">
      <c r="A1259" s="1"/>
      <c r="C1259" s="1"/>
      <c r="G1259" s="2"/>
      <c r="H1259" s="2"/>
      <c r="I1259" s="2"/>
      <c r="J1259" s="2"/>
      <c r="K1259" s="81"/>
      <c r="L1259" s="4"/>
      <c r="M1259" s="4"/>
      <c r="N1259" s="4"/>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3"/>
      <c r="AP1259" s="2"/>
      <c r="AQ1259" s="2"/>
      <c r="AR1259" s="2"/>
      <c r="AS1259" s="2"/>
      <c r="AT1259" s="2"/>
      <c r="AU1259" s="2"/>
      <c r="AV1259" s="2"/>
      <c r="AW1259" s="2"/>
      <c r="AX1259" s="2"/>
      <c r="AY1259" s="2"/>
      <c r="AZ1259" s="5"/>
      <c r="BA1259" s="2"/>
      <c r="BD1259" s="2"/>
      <c r="BE1259" s="2"/>
      <c r="BF1259" s="2"/>
      <c r="BG1259" s="2"/>
      <c r="BH1259" s="2"/>
      <c r="BI1259" s="2"/>
      <c r="BJ1259" s="2"/>
      <c r="BK1259" s="2"/>
      <c r="BM1259" s="2"/>
      <c r="BN1259" s="2"/>
      <c r="BO1259" s="2"/>
      <c r="BP1259" s="2"/>
      <c r="BQ1259" s="2"/>
      <c r="BR1259" s="6"/>
      <c r="BS1259" s="6"/>
      <c r="BT1259" s="2"/>
      <c r="BU1259" s="2"/>
      <c r="BV1259" s="2"/>
      <c r="BW1259" s="2"/>
      <c r="BX1259" s="2"/>
      <c r="BY1259" s="2"/>
      <c r="BZ1259" s="2"/>
      <c r="CA1259" s="2"/>
      <c r="CB1259" s="2"/>
      <c r="CC1259" s="2"/>
      <c r="CD1259" s="3"/>
      <c r="CE1259" s="2"/>
      <c r="CF1259" s="4"/>
      <c r="CG1259" s="4"/>
      <c r="CI1259" s="2"/>
    </row>
    <row r="1260" spans="1:87" s="101" customFormat="1" x14ac:dyDescent="0.35">
      <c r="A1260" s="1"/>
      <c r="C1260" s="1"/>
      <c r="G1260" s="2"/>
      <c r="H1260" s="2"/>
      <c r="I1260" s="2"/>
      <c r="J1260" s="2"/>
      <c r="K1260" s="81"/>
      <c r="L1260" s="4"/>
      <c r="M1260" s="4"/>
      <c r="N1260" s="4"/>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3"/>
      <c r="AP1260" s="2"/>
      <c r="AQ1260" s="2"/>
      <c r="AR1260" s="2"/>
      <c r="AS1260" s="2"/>
      <c r="AT1260" s="2"/>
      <c r="AU1260" s="2"/>
      <c r="AV1260" s="2"/>
      <c r="AW1260" s="2"/>
      <c r="AX1260" s="2"/>
      <c r="AY1260" s="2"/>
      <c r="AZ1260" s="5"/>
      <c r="BA1260" s="2"/>
      <c r="BD1260" s="2"/>
      <c r="BE1260" s="2"/>
      <c r="BF1260" s="2"/>
      <c r="BG1260" s="2"/>
      <c r="BH1260" s="2"/>
      <c r="BI1260" s="2"/>
      <c r="BJ1260" s="2"/>
      <c r="BK1260" s="2"/>
      <c r="BM1260" s="2"/>
      <c r="BN1260" s="2"/>
      <c r="BO1260" s="2"/>
      <c r="BP1260" s="2"/>
      <c r="BQ1260" s="2"/>
      <c r="BR1260" s="6"/>
      <c r="BS1260" s="6"/>
      <c r="BT1260" s="2"/>
      <c r="BU1260" s="2"/>
      <c r="BV1260" s="2"/>
      <c r="BW1260" s="2"/>
      <c r="BX1260" s="2"/>
      <c r="BY1260" s="2"/>
      <c r="BZ1260" s="2"/>
      <c r="CA1260" s="2"/>
      <c r="CB1260" s="2"/>
      <c r="CC1260" s="2"/>
      <c r="CD1260" s="3"/>
      <c r="CE1260" s="2"/>
      <c r="CF1260" s="4"/>
      <c r="CG1260" s="4"/>
      <c r="CI1260" s="2"/>
    </row>
    <row r="1261" spans="1:87" s="101" customFormat="1" x14ac:dyDescent="0.35">
      <c r="A1261" s="1"/>
      <c r="C1261" s="1"/>
      <c r="G1261" s="2"/>
      <c r="H1261" s="2"/>
      <c r="I1261" s="2"/>
      <c r="J1261" s="2"/>
      <c r="K1261" s="81"/>
      <c r="L1261" s="4"/>
      <c r="M1261" s="4"/>
      <c r="N1261" s="4"/>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3"/>
      <c r="AP1261" s="2"/>
      <c r="AQ1261" s="2"/>
      <c r="AR1261" s="2"/>
      <c r="AS1261" s="2"/>
      <c r="AT1261" s="2"/>
      <c r="AU1261" s="2"/>
      <c r="AV1261" s="2"/>
      <c r="AW1261" s="2"/>
      <c r="AX1261" s="2"/>
      <c r="AY1261" s="2"/>
      <c r="AZ1261" s="5"/>
      <c r="BA1261" s="2"/>
      <c r="BD1261" s="2"/>
      <c r="BE1261" s="2"/>
      <c r="BF1261" s="2"/>
      <c r="BG1261" s="2"/>
      <c r="BH1261" s="2"/>
      <c r="BI1261" s="2"/>
      <c r="BJ1261" s="2"/>
      <c r="BK1261" s="2"/>
      <c r="BM1261" s="2"/>
      <c r="BN1261" s="2"/>
      <c r="BO1261" s="2"/>
      <c r="BP1261" s="2"/>
      <c r="BQ1261" s="2"/>
      <c r="BR1261" s="6"/>
      <c r="BS1261" s="6"/>
      <c r="BT1261" s="2"/>
      <c r="BU1261" s="2"/>
      <c r="BV1261" s="2"/>
      <c r="BW1261" s="2"/>
      <c r="BX1261" s="2"/>
      <c r="BY1261" s="2"/>
      <c r="BZ1261" s="2"/>
      <c r="CA1261" s="2"/>
      <c r="CB1261" s="2"/>
      <c r="CC1261" s="2"/>
      <c r="CD1261" s="3"/>
      <c r="CE1261" s="2"/>
      <c r="CF1261" s="4"/>
      <c r="CG1261" s="4"/>
      <c r="CI1261" s="2"/>
    </row>
    <row r="1262" spans="1:87" s="101" customFormat="1" x14ac:dyDescent="0.35">
      <c r="A1262" s="1"/>
      <c r="C1262" s="1"/>
      <c r="G1262" s="2"/>
      <c r="H1262" s="2"/>
      <c r="I1262" s="2"/>
      <c r="J1262" s="2"/>
      <c r="K1262" s="81"/>
      <c r="L1262" s="4"/>
      <c r="M1262" s="4"/>
      <c r="N1262" s="4"/>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3"/>
      <c r="AP1262" s="2"/>
      <c r="AQ1262" s="2"/>
      <c r="AR1262" s="2"/>
      <c r="AS1262" s="2"/>
      <c r="AT1262" s="2"/>
      <c r="AU1262" s="2"/>
      <c r="AV1262" s="2"/>
      <c r="AW1262" s="2"/>
      <c r="AX1262" s="2"/>
      <c r="AY1262" s="2"/>
      <c r="AZ1262" s="5"/>
      <c r="BA1262" s="2"/>
      <c r="BD1262" s="2"/>
      <c r="BE1262" s="2"/>
      <c r="BF1262" s="2"/>
      <c r="BG1262" s="2"/>
      <c r="BH1262" s="2"/>
      <c r="BI1262" s="2"/>
      <c r="BJ1262" s="2"/>
      <c r="BK1262" s="2"/>
      <c r="BM1262" s="2"/>
      <c r="BN1262" s="2"/>
      <c r="BO1262" s="2"/>
      <c r="BP1262" s="2"/>
      <c r="BQ1262" s="2"/>
      <c r="BR1262" s="6"/>
      <c r="BS1262" s="6"/>
      <c r="BT1262" s="2"/>
      <c r="BU1262" s="2"/>
      <c r="BV1262" s="2"/>
      <c r="BW1262" s="2"/>
      <c r="BX1262" s="2"/>
      <c r="BY1262" s="2"/>
      <c r="BZ1262" s="2"/>
      <c r="CA1262" s="2"/>
      <c r="CB1262" s="2"/>
      <c r="CC1262" s="2"/>
      <c r="CD1262" s="3"/>
      <c r="CE1262" s="2"/>
      <c r="CF1262" s="4"/>
      <c r="CG1262" s="4"/>
      <c r="CI1262" s="2"/>
    </row>
    <row r="1263" spans="1:87" s="101" customFormat="1" x14ac:dyDescent="0.35">
      <c r="A1263" s="1"/>
      <c r="C1263" s="1"/>
      <c r="G1263" s="2"/>
      <c r="H1263" s="2"/>
      <c r="I1263" s="2"/>
      <c r="J1263" s="2"/>
      <c r="K1263" s="81"/>
      <c r="L1263" s="4"/>
      <c r="M1263" s="4"/>
      <c r="N1263" s="4"/>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3"/>
      <c r="AP1263" s="2"/>
      <c r="AQ1263" s="2"/>
      <c r="AR1263" s="2"/>
      <c r="AS1263" s="2"/>
      <c r="AT1263" s="2"/>
      <c r="AU1263" s="2"/>
      <c r="AV1263" s="2"/>
      <c r="AW1263" s="2"/>
      <c r="AX1263" s="2"/>
      <c r="AY1263" s="2"/>
      <c r="AZ1263" s="5"/>
      <c r="BA1263" s="2"/>
      <c r="BD1263" s="2"/>
      <c r="BE1263" s="2"/>
      <c r="BF1263" s="2"/>
      <c r="BG1263" s="2"/>
      <c r="BH1263" s="2"/>
      <c r="BI1263" s="2"/>
      <c r="BJ1263" s="2"/>
      <c r="BK1263" s="2"/>
      <c r="BM1263" s="2"/>
      <c r="BN1263" s="2"/>
      <c r="BO1263" s="2"/>
      <c r="BP1263" s="2"/>
      <c r="BQ1263" s="2"/>
      <c r="BR1263" s="6"/>
      <c r="BS1263" s="6"/>
      <c r="BT1263" s="2"/>
      <c r="BU1263" s="2"/>
      <c r="BV1263" s="2"/>
      <c r="BW1263" s="2"/>
      <c r="BX1263" s="2"/>
      <c r="BY1263" s="2"/>
      <c r="BZ1263" s="2"/>
      <c r="CA1263" s="2"/>
      <c r="CB1263" s="2"/>
      <c r="CC1263" s="2"/>
      <c r="CD1263" s="3"/>
      <c r="CE1263" s="2"/>
      <c r="CF1263" s="4"/>
      <c r="CG1263" s="4"/>
      <c r="CI1263" s="2"/>
    </row>
    <row r="1264" spans="1:87" s="101" customFormat="1" x14ac:dyDescent="0.35">
      <c r="A1264" s="1"/>
      <c r="C1264" s="1"/>
      <c r="G1264" s="2"/>
      <c r="H1264" s="2"/>
      <c r="I1264" s="2"/>
      <c r="J1264" s="2"/>
      <c r="K1264" s="81"/>
      <c r="L1264" s="4"/>
      <c r="M1264" s="4"/>
      <c r="N1264" s="4"/>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3"/>
      <c r="AP1264" s="2"/>
      <c r="AQ1264" s="2"/>
      <c r="AR1264" s="2"/>
      <c r="AS1264" s="2"/>
      <c r="AT1264" s="2"/>
      <c r="AU1264" s="2"/>
      <c r="AV1264" s="2"/>
      <c r="AW1264" s="2"/>
      <c r="AX1264" s="2"/>
      <c r="AY1264" s="2"/>
      <c r="AZ1264" s="5"/>
      <c r="BA1264" s="2"/>
      <c r="BD1264" s="2"/>
      <c r="BE1264" s="2"/>
      <c r="BF1264" s="2"/>
      <c r="BG1264" s="2"/>
      <c r="BH1264" s="2"/>
      <c r="BI1264" s="2"/>
      <c r="BJ1264" s="2"/>
      <c r="BK1264" s="2"/>
      <c r="BM1264" s="2"/>
      <c r="BN1264" s="2"/>
      <c r="BO1264" s="2"/>
      <c r="BP1264" s="2"/>
      <c r="BQ1264" s="2"/>
      <c r="BR1264" s="6"/>
      <c r="BS1264" s="6"/>
      <c r="BT1264" s="2"/>
      <c r="BU1264" s="2"/>
      <c r="BV1264" s="2"/>
      <c r="BW1264" s="2"/>
      <c r="BX1264" s="2"/>
      <c r="BY1264" s="2"/>
      <c r="BZ1264" s="2"/>
      <c r="CA1264" s="2"/>
      <c r="CB1264" s="2"/>
      <c r="CC1264" s="2"/>
      <c r="CD1264" s="3"/>
      <c r="CE1264" s="2"/>
      <c r="CF1264" s="4"/>
      <c r="CG1264" s="4"/>
      <c r="CI1264" s="2"/>
    </row>
    <row r="1265" spans="1:87" s="101" customFormat="1" x14ac:dyDescent="0.35">
      <c r="A1265" s="1"/>
      <c r="C1265" s="1"/>
      <c r="G1265" s="2"/>
      <c r="H1265" s="2"/>
      <c r="I1265" s="2"/>
      <c r="J1265" s="2"/>
      <c r="K1265" s="81"/>
      <c r="L1265" s="4"/>
      <c r="M1265" s="4"/>
      <c r="N1265" s="4"/>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3"/>
      <c r="AP1265" s="2"/>
      <c r="AQ1265" s="2"/>
      <c r="AR1265" s="2"/>
      <c r="AS1265" s="2"/>
      <c r="AT1265" s="2"/>
      <c r="AU1265" s="2"/>
      <c r="AV1265" s="2"/>
      <c r="AW1265" s="2"/>
      <c r="AX1265" s="2"/>
      <c r="AY1265" s="2"/>
      <c r="AZ1265" s="5"/>
      <c r="BA1265" s="2"/>
      <c r="BD1265" s="2"/>
      <c r="BE1265" s="2"/>
      <c r="BF1265" s="2"/>
      <c r="BG1265" s="2"/>
      <c r="BH1265" s="2"/>
      <c r="BI1265" s="2"/>
      <c r="BJ1265" s="2"/>
      <c r="BK1265" s="2"/>
      <c r="BM1265" s="2"/>
      <c r="BN1265" s="2"/>
      <c r="BO1265" s="2"/>
      <c r="BP1265" s="2"/>
      <c r="BQ1265" s="2"/>
      <c r="BR1265" s="6"/>
      <c r="BS1265" s="6"/>
      <c r="BT1265" s="2"/>
      <c r="BU1265" s="2"/>
      <c r="BV1265" s="2"/>
      <c r="BW1265" s="2"/>
      <c r="BX1265" s="2"/>
      <c r="BY1265" s="2"/>
      <c r="BZ1265" s="2"/>
      <c r="CA1265" s="2"/>
      <c r="CB1265" s="2"/>
      <c r="CC1265" s="2"/>
      <c r="CD1265" s="3"/>
      <c r="CE1265" s="2"/>
      <c r="CF1265" s="4"/>
      <c r="CG1265" s="4"/>
      <c r="CI1265" s="2"/>
    </row>
    <row r="1266" spans="1:87" s="101" customFormat="1" x14ac:dyDescent="0.35">
      <c r="A1266" s="1"/>
      <c r="C1266" s="1"/>
      <c r="G1266" s="2"/>
      <c r="H1266" s="2"/>
      <c r="I1266" s="2"/>
      <c r="J1266" s="2"/>
      <c r="K1266" s="81"/>
      <c r="L1266" s="4"/>
      <c r="M1266" s="4"/>
      <c r="N1266" s="4"/>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3"/>
      <c r="AP1266" s="2"/>
      <c r="AQ1266" s="2"/>
      <c r="AR1266" s="2"/>
      <c r="AS1266" s="2"/>
      <c r="AT1266" s="2"/>
      <c r="AU1266" s="2"/>
      <c r="AV1266" s="2"/>
      <c r="AW1266" s="2"/>
      <c r="AX1266" s="2"/>
      <c r="AY1266" s="2"/>
      <c r="AZ1266" s="5"/>
      <c r="BA1266" s="2"/>
      <c r="BD1266" s="2"/>
      <c r="BE1266" s="2"/>
      <c r="BF1266" s="2"/>
      <c r="BG1266" s="2"/>
      <c r="BH1266" s="2"/>
      <c r="BI1266" s="2"/>
      <c r="BJ1266" s="2"/>
      <c r="BK1266" s="2"/>
      <c r="BM1266" s="2"/>
      <c r="BN1266" s="2"/>
      <c r="BO1266" s="2"/>
      <c r="BP1266" s="2"/>
      <c r="BQ1266" s="2"/>
      <c r="BR1266" s="6"/>
      <c r="BS1266" s="6"/>
      <c r="BT1266" s="2"/>
      <c r="BU1266" s="2"/>
      <c r="BV1266" s="2"/>
      <c r="BW1266" s="2"/>
      <c r="BX1266" s="2"/>
      <c r="BY1266" s="2"/>
      <c r="BZ1266" s="2"/>
      <c r="CA1266" s="2"/>
      <c r="CB1266" s="2"/>
      <c r="CC1266" s="2"/>
      <c r="CD1266" s="3"/>
      <c r="CE1266" s="2"/>
      <c r="CF1266" s="4"/>
      <c r="CG1266" s="4"/>
      <c r="CI1266" s="2"/>
    </row>
    <row r="1267" spans="1:87" s="101" customFormat="1" x14ac:dyDescent="0.35">
      <c r="A1267" s="1"/>
      <c r="C1267" s="1"/>
      <c r="G1267" s="2"/>
      <c r="H1267" s="2"/>
      <c r="I1267" s="2"/>
      <c r="J1267" s="2"/>
      <c r="K1267" s="81"/>
      <c r="L1267" s="4"/>
      <c r="M1267" s="4"/>
      <c r="N1267" s="4"/>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3"/>
      <c r="AP1267" s="2"/>
      <c r="AQ1267" s="2"/>
      <c r="AR1267" s="2"/>
      <c r="AS1267" s="2"/>
      <c r="AT1267" s="2"/>
      <c r="AU1267" s="2"/>
      <c r="AV1267" s="2"/>
      <c r="AW1267" s="2"/>
      <c r="AX1267" s="2"/>
      <c r="AY1267" s="2"/>
      <c r="AZ1267" s="5"/>
      <c r="BA1267" s="2"/>
      <c r="BD1267" s="2"/>
      <c r="BE1267" s="2"/>
      <c r="BF1267" s="2"/>
      <c r="BG1267" s="2"/>
      <c r="BH1267" s="2"/>
      <c r="BI1267" s="2"/>
      <c r="BJ1267" s="2"/>
      <c r="BK1267" s="2"/>
      <c r="BM1267" s="2"/>
      <c r="BN1267" s="2"/>
      <c r="BO1267" s="2"/>
      <c r="BP1267" s="2"/>
      <c r="BQ1267" s="2"/>
      <c r="BR1267" s="6"/>
      <c r="BS1267" s="6"/>
      <c r="BT1267" s="2"/>
      <c r="BU1267" s="2"/>
      <c r="BV1267" s="2"/>
      <c r="BW1267" s="2"/>
      <c r="BX1267" s="2"/>
      <c r="BY1267" s="2"/>
      <c r="BZ1267" s="2"/>
      <c r="CA1267" s="2"/>
      <c r="CB1267" s="2"/>
      <c r="CC1267" s="2"/>
      <c r="CD1267" s="3"/>
      <c r="CE1267" s="2"/>
      <c r="CF1267" s="4"/>
      <c r="CG1267" s="4"/>
      <c r="CI1267" s="2"/>
    </row>
    <row r="1268" spans="1:87" s="101" customFormat="1" x14ac:dyDescent="0.35">
      <c r="A1268" s="1"/>
      <c r="C1268" s="1"/>
      <c r="G1268" s="2"/>
      <c r="H1268" s="2"/>
      <c r="I1268" s="2"/>
      <c r="J1268" s="2"/>
      <c r="K1268" s="81"/>
      <c r="L1268" s="4"/>
      <c r="M1268" s="4"/>
      <c r="N1268" s="4"/>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3"/>
      <c r="AP1268" s="2"/>
      <c r="AQ1268" s="2"/>
      <c r="AR1268" s="2"/>
      <c r="AS1268" s="2"/>
      <c r="AT1268" s="2"/>
      <c r="AU1268" s="2"/>
      <c r="AV1268" s="2"/>
      <c r="AW1268" s="2"/>
      <c r="AX1268" s="2"/>
      <c r="AY1268" s="2"/>
      <c r="AZ1268" s="5"/>
      <c r="BA1268" s="2"/>
      <c r="BD1268" s="2"/>
      <c r="BE1268" s="2"/>
      <c r="BF1268" s="2"/>
      <c r="BG1268" s="2"/>
      <c r="BH1268" s="2"/>
      <c r="BI1268" s="2"/>
      <c r="BJ1268" s="2"/>
      <c r="BK1268" s="2"/>
      <c r="BM1268" s="2"/>
      <c r="BN1268" s="2"/>
      <c r="BO1268" s="2"/>
      <c r="BP1268" s="2"/>
      <c r="BQ1268" s="2"/>
      <c r="BR1268" s="6"/>
      <c r="BS1268" s="6"/>
      <c r="BT1268" s="2"/>
      <c r="BU1268" s="2"/>
      <c r="BV1268" s="2"/>
      <c r="BW1268" s="2"/>
      <c r="BX1268" s="2"/>
      <c r="BY1268" s="2"/>
      <c r="BZ1268" s="2"/>
      <c r="CA1268" s="2"/>
      <c r="CB1268" s="2"/>
      <c r="CC1268" s="2"/>
      <c r="CD1268" s="3"/>
      <c r="CE1268" s="2"/>
      <c r="CF1268" s="4"/>
      <c r="CG1268" s="4"/>
      <c r="CI1268" s="2"/>
    </row>
    <row r="1269" spans="1:87" s="101" customFormat="1" x14ac:dyDescent="0.35">
      <c r="A1269" s="1"/>
      <c r="C1269" s="1"/>
      <c r="G1269" s="2"/>
      <c r="H1269" s="2"/>
      <c r="I1269" s="2"/>
      <c r="J1269" s="2"/>
      <c r="K1269" s="81"/>
      <c r="L1269" s="4"/>
      <c r="M1269" s="4"/>
      <c r="N1269" s="4"/>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3"/>
      <c r="AP1269" s="2"/>
      <c r="AQ1269" s="2"/>
      <c r="AR1269" s="2"/>
      <c r="AS1269" s="2"/>
      <c r="AT1269" s="2"/>
      <c r="AU1269" s="2"/>
      <c r="AV1269" s="2"/>
      <c r="AW1269" s="2"/>
      <c r="AX1269" s="2"/>
      <c r="AY1269" s="2"/>
      <c r="AZ1269" s="5"/>
      <c r="BA1269" s="2"/>
      <c r="BD1269" s="2"/>
      <c r="BE1269" s="2"/>
      <c r="BF1269" s="2"/>
      <c r="BG1269" s="2"/>
      <c r="BH1269" s="2"/>
      <c r="BI1269" s="2"/>
      <c r="BJ1269" s="2"/>
      <c r="BK1269" s="2"/>
      <c r="BM1269" s="2"/>
      <c r="BN1269" s="2"/>
      <c r="BO1269" s="2"/>
      <c r="BP1269" s="2"/>
      <c r="BQ1269" s="2"/>
      <c r="BR1269" s="6"/>
      <c r="BS1269" s="6"/>
      <c r="BT1269" s="2"/>
      <c r="BU1269" s="2"/>
      <c r="BV1269" s="2"/>
      <c r="BW1269" s="2"/>
      <c r="BX1269" s="2"/>
      <c r="BY1269" s="2"/>
      <c r="BZ1269" s="2"/>
      <c r="CA1269" s="2"/>
      <c r="CB1269" s="2"/>
      <c r="CC1269" s="2"/>
      <c r="CD1269" s="3"/>
      <c r="CE1269" s="2"/>
      <c r="CF1269" s="4"/>
      <c r="CG1269" s="4"/>
      <c r="CI1269" s="2"/>
    </row>
    <row r="1270" spans="1:87" s="101" customFormat="1" x14ac:dyDescent="0.35">
      <c r="A1270" s="1"/>
      <c r="C1270" s="1"/>
      <c r="G1270" s="2"/>
      <c r="H1270" s="2"/>
      <c r="I1270" s="2"/>
      <c r="J1270" s="2"/>
      <c r="K1270" s="81"/>
      <c r="L1270" s="4"/>
      <c r="M1270" s="4"/>
      <c r="N1270" s="4"/>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3"/>
      <c r="AP1270" s="2"/>
      <c r="AQ1270" s="2"/>
      <c r="AR1270" s="2"/>
      <c r="AS1270" s="2"/>
      <c r="AT1270" s="2"/>
      <c r="AU1270" s="2"/>
      <c r="AV1270" s="2"/>
      <c r="AW1270" s="2"/>
      <c r="AX1270" s="2"/>
      <c r="AY1270" s="2"/>
      <c r="AZ1270" s="5"/>
      <c r="BA1270" s="2"/>
      <c r="BD1270" s="2"/>
      <c r="BE1270" s="2"/>
      <c r="BF1270" s="2"/>
      <c r="BG1270" s="2"/>
      <c r="BH1270" s="2"/>
      <c r="BI1270" s="2"/>
      <c r="BJ1270" s="2"/>
      <c r="BK1270" s="2"/>
      <c r="BM1270" s="2"/>
      <c r="BN1270" s="2"/>
      <c r="BO1270" s="2"/>
      <c r="BP1270" s="2"/>
      <c r="BQ1270" s="2"/>
      <c r="BR1270" s="6"/>
      <c r="BS1270" s="6"/>
      <c r="BT1270" s="2"/>
      <c r="BU1270" s="2"/>
      <c r="BV1270" s="2"/>
      <c r="BW1270" s="2"/>
      <c r="BX1270" s="2"/>
      <c r="BY1270" s="2"/>
      <c r="BZ1270" s="2"/>
      <c r="CA1270" s="2"/>
      <c r="CB1270" s="2"/>
      <c r="CC1270" s="2"/>
      <c r="CD1270" s="3"/>
      <c r="CE1270" s="2"/>
      <c r="CF1270" s="4"/>
      <c r="CG1270" s="4"/>
      <c r="CI1270" s="2"/>
    </row>
    <row r="1271" spans="1:87" s="101" customFormat="1" x14ac:dyDescent="0.35">
      <c r="A1271" s="1"/>
      <c r="C1271" s="1"/>
      <c r="G1271" s="2"/>
      <c r="H1271" s="2"/>
      <c r="I1271" s="2"/>
      <c r="J1271" s="2"/>
      <c r="K1271" s="81"/>
      <c r="L1271" s="4"/>
      <c r="M1271" s="4"/>
      <c r="N1271" s="4"/>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3"/>
      <c r="AP1271" s="2"/>
      <c r="AQ1271" s="2"/>
      <c r="AR1271" s="2"/>
      <c r="AS1271" s="2"/>
      <c r="AT1271" s="2"/>
      <c r="AU1271" s="2"/>
      <c r="AV1271" s="2"/>
      <c r="AW1271" s="2"/>
      <c r="AX1271" s="2"/>
      <c r="AY1271" s="2"/>
      <c r="AZ1271" s="5"/>
      <c r="BA1271" s="2"/>
      <c r="BD1271" s="2"/>
      <c r="BE1271" s="2"/>
      <c r="BF1271" s="2"/>
      <c r="BG1271" s="2"/>
      <c r="BH1271" s="2"/>
      <c r="BI1271" s="2"/>
      <c r="BJ1271" s="2"/>
      <c r="BK1271" s="2"/>
      <c r="BM1271" s="2"/>
      <c r="BN1271" s="2"/>
      <c r="BO1271" s="2"/>
      <c r="BP1271" s="2"/>
      <c r="BQ1271" s="2"/>
      <c r="BR1271" s="6"/>
      <c r="BS1271" s="6"/>
      <c r="BT1271" s="2"/>
      <c r="BU1271" s="2"/>
      <c r="BV1271" s="2"/>
      <c r="BW1271" s="2"/>
      <c r="BX1271" s="2"/>
      <c r="BY1271" s="2"/>
      <c r="BZ1271" s="2"/>
      <c r="CA1271" s="2"/>
      <c r="CB1271" s="2"/>
      <c r="CC1271" s="2"/>
      <c r="CD1271" s="3"/>
      <c r="CE1271" s="2"/>
      <c r="CF1271" s="4"/>
      <c r="CG1271" s="4"/>
      <c r="CI1271" s="2"/>
    </row>
    <row r="1272" spans="1:87" s="101" customFormat="1" x14ac:dyDescent="0.35">
      <c r="A1272" s="1"/>
      <c r="C1272" s="1"/>
      <c r="G1272" s="2"/>
      <c r="H1272" s="2"/>
      <c r="I1272" s="2"/>
      <c r="J1272" s="2"/>
      <c r="K1272" s="81"/>
      <c r="L1272" s="4"/>
      <c r="M1272" s="4"/>
      <c r="N1272" s="4"/>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3"/>
      <c r="AP1272" s="2"/>
      <c r="AQ1272" s="2"/>
      <c r="AR1272" s="2"/>
      <c r="AS1272" s="2"/>
      <c r="AT1272" s="2"/>
      <c r="AU1272" s="2"/>
      <c r="AV1272" s="2"/>
      <c r="AW1272" s="2"/>
      <c r="AX1272" s="2"/>
      <c r="AY1272" s="2"/>
      <c r="AZ1272" s="5"/>
      <c r="BA1272" s="2"/>
      <c r="BD1272" s="2"/>
      <c r="BE1272" s="2"/>
      <c r="BF1272" s="2"/>
      <c r="BG1272" s="2"/>
      <c r="BH1272" s="2"/>
      <c r="BI1272" s="2"/>
      <c r="BJ1272" s="2"/>
      <c r="BK1272" s="2"/>
      <c r="BM1272" s="2"/>
      <c r="BN1272" s="2"/>
      <c r="BO1272" s="2"/>
      <c r="BP1272" s="2"/>
      <c r="BQ1272" s="2"/>
      <c r="BR1272" s="6"/>
      <c r="BS1272" s="6"/>
      <c r="BT1272" s="2"/>
      <c r="BU1272" s="2"/>
      <c r="BV1272" s="2"/>
      <c r="BW1272" s="2"/>
      <c r="BX1272" s="2"/>
      <c r="BY1272" s="2"/>
      <c r="BZ1272" s="2"/>
      <c r="CA1272" s="2"/>
      <c r="CB1272" s="2"/>
      <c r="CC1272" s="2"/>
      <c r="CD1272" s="3"/>
      <c r="CE1272" s="2"/>
      <c r="CF1272" s="4"/>
      <c r="CG1272" s="4"/>
      <c r="CI1272" s="2"/>
    </row>
    <row r="1273" spans="1:87" s="101" customFormat="1" x14ac:dyDescent="0.35">
      <c r="A1273" s="1"/>
      <c r="C1273" s="1"/>
      <c r="G1273" s="2"/>
      <c r="H1273" s="2"/>
      <c r="I1273" s="2"/>
      <c r="J1273" s="2"/>
      <c r="K1273" s="81"/>
      <c r="L1273" s="4"/>
      <c r="M1273" s="4"/>
      <c r="N1273" s="4"/>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3"/>
      <c r="AP1273" s="2"/>
      <c r="AQ1273" s="2"/>
      <c r="AR1273" s="2"/>
      <c r="AS1273" s="2"/>
      <c r="AT1273" s="2"/>
      <c r="AU1273" s="2"/>
      <c r="AV1273" s="2"/>
      <c r="AW1273" s="2"/>
      <c r="AX1273" s="2"/>
      <c r="AY1273" s="2"/>
      <c r="AZ1273" s="5"/>
      <c r="BA1273" s="2"/>
      <c r="BD1273" s="2"/>
      <c r="BE1273" s="2"/>
      <c r="BF1273" s="2"/>
      <c r="BG1273" s="2"/>
      <c r="BH1273" s="2"/>
      <c r="BI1273" s="2"/>
      <c r="BJ1273" s="2"/>
      <c r="BK1273" s="2"/>
      <c r="BM1273" s="2"/>
      <c r="BN1273" s="2"/>
      <c r="BO1273" s="2"/>
      <c r="BP1273" s="2"/>
      <c r="BQ1273" s="2"/>
      <c r="BR1273" s="6"/>
      <c r="BS1273" s="6"/>
      <c r="BT1273" s="2"/>
      <c r="BU1273" s="2"/>
      <c r="BV1273" s="2"/>
      <c r="BW1273" s="2"/>
      <c r="BX1273" s="2"/>
      <c r="BY1273" s="2"/>
      <c r="BZ1273" s="2"/>
      <c r="CA1273" s="2"/>
      <c r="CB1273" s="2"/>
      <c r="CC1273" s="2"/>
      <c r="CD1273" s="3"/>
      <c r="CE1273" s="2"/>
      <c r="CF1273" s="4"/>
      <c r="CG1273" s="4"/>
      <c r="CI1273" s="2"/>
    </row>
    <row r="1274" spans="1:87" s="101" customFormat="1" x14ac:dyDescent="0.35">
      <c r="A1274" s="1"/>
      <c r="C1274" s="1"/>
      <c r="G1274" s="2"/>
      <c r="H1274" s="2"/>
      <c r="I1274" s="2"/>
      <c r="J1274" s="2"/>
      <c r="K1274" s="81"/>
      <c r="L1274" s="4"/>
      <c r="M1274" s="4"/>
      <c r="N1274" s="4"/>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3"/>
      <c r="AP1274" s="2"/>
      <c r="AQ1274" s="2"/>
      <c r="AR1274" s="2"/>
      <c r="AS1274" s="2"/>
      <c r="AT1274" s="2"/>
      <c r="AU1274" s="2"/>
      <c r="AV1274" s="2"/>
      <c r="AW1274" s="2"/>
      <c r="AX1274" s="2"/>
      <c r="AY1274" s="2"/>
      <c r="AZ1274" s="5"/>
      <c r="BA1274" s="2"/>
      <c r="BD1274" s="2"/>
      <c r="BE1274" s="2"/>
      <c r="BF1274" s="2"/>
      <c r="BG1274" s="2"/>
      <c r="BH1274" s="2"/>
      <c r="BI1274" s="2"/>
      <c r="BJ1274" s="2"/>
      <c r="BK1274" s="2"/>
      <c r="BM1274" s="2"/>
      <c r="BN1274" s="2"/>
      <c r="BO1274" s="2"/>
      <c r="BP1274" s="2"/>
      <c r="BQ1274" s="2"/>
      <c r="BR1274" s="6"/>
      <c r="BS1274" s="6"/>
      <c r="BT1274" s="2"/>
      <c r="BU1274" s="2"/>
      <c r="BV1274" s="2"/>
      <c r="BW1274" s="2"/>
      <c r="BX1274" s="2"/>
      <c r="BY1274" s="2"/>
      <c r="BZ1274" s="2"/>
      <c r="CA1274" s="2"/>
      <c r="CB1274" s="2"/>
      <c r="CC1274" s="2"/>
      <c r="CD1274" s="3"/>
      <c r="CE1274" s="2"/>
      <c r="CF1274" s="4"/>
      <c r="CG1274" s="4"/>
      <c r="CI1274" s="2"/>
    </row>
    <row r="1275" spans="1:87" s="101" customFormat="1" x14ac:dyDescent="0.35">
      <c r="A1275" s="1"/>
      <c r="C1275" s="1"/>
      <c r="G1275" s="2"/>
      <c r="H1275" s="2"/>
      <c r="I1275" s="2"/>
      <c r="J1275" s="2"/>
      <c r="K1275" s="81"/>
      <c r="L1275" s="4"/>
      <c r="M1275" s="4"/>
      <c r="N1275" s="4"/>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3"/>
      <c r="AP1275" s="2"/>
      <c r="AQ1275" s="2"/>
      <c r="AR1275" s="2"/>
      <c r="AS1275" s="2"/>
      <c r="AT1275" s="2"/>
      <c r="AU1275" s="2"/>
      <c r="AV1275" s="2"/>
      <c r="AW1275" s="2"/>
      <c r="AX1275" s="2"/>
      <c r="AY1275" s="2"/>
      <c r="AZ1275" s="5"/>
      <c r="BA1275" s="2"/>
      <c r="BD1275" s="2"/>
      <c r="BE1275" s="2"/>
      <c r="BF1275" s="2"/>
      <c r="BG1275" s="2"/>
      <c r="BH1275" s="2"/>
      <c r="BI1275" s="2"/>
      <c r="BJ1275" s="2"/>
      <c r="BK1275" s="2"/>
      <c r="BM1275" s="2"/>
      <c r="BN1275" s="2"/>
      <c r="BO1275" s="2"/>
      <c r="BP1275" s="2"/>
      <c r="BQ1275" s="2"/>
      <c r="BR1275" s="6"/>
      <c r="BS1275" s="6"/>
      <c r="BT1275" s="2"/>
      <c r="BU1275" s="2"/>
      <c r="BV1275" s="2"/>
      <c r="BW1275" s="2"/>
      <c r="BX1275" s="2"/>
      <c r="BY1275" s="2"/>
      <c r="BZ1275" s="2"/>
      <c r="CA1275" s="2"/>
      <c r="CB1275" s="2"/>
      <c r="CC1275" s="2"/>
      <c r="CD1275" s="3"/>
      <c r="CE1275" s="2"/>
      <c r="CF1275" s="4"/>
      <c r="CG1275" s="4"/>
      <c r="CI1275" s="2"/>
    </row>
    <row r="1276" spans="1:87" s="101" customFormat="1" x14ac:dyDescent="0.35">
      <c r="A1276" s="1"/>
      <c r="C1276" s="1"/>
      <c r="G1276" s="2"/>
      <c r="H1276" s="2"/>
      <c r="I1276" s="2"/>
      <c r="J1276" s="2"/>
      <c r="K1276" s="81"/>
      <c r="L1276" s="4"/>
      <c r="M1276" s="4"/>
      <c r="N1276" s="4"/>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3"/>
      <c r="AP1276" s="2"/>
      <c r="AQ1276" s="2"/>
      <c r="AR1276" s="2"/>
      <c r="AS1276" s="2"/>
      <c r="AT1276" s="2"/>
      <c r="AU1276" s="2"/>
      <c r="AV1276" s="2"/>
      <c r="AW1276" s="2"/>
      <c r="AX1276" s="2"/>
      <c r="AY1276" s="2"/>
      <c r="AZ1276" s="5"/>
      <c r="BA1276" s="2"/>
      <c r="BD1276" s="2"/>
      <c r="BE1276" s="2"/>
      <c r="BF1276" s="2"/>
      <c r="BG1276" s="2"/>
      <c r="BH1276" s="2"/>
      <c r="BI1276" s="2"/>
      <c r="BJ1276" s="2"/>
      <c r="BK1276" s="2"/>
      <c r="BM1276" s="2"/>
      <c r="BN1276" s="2"/>
      <c r="BO1276" s="2"/>
      <c r="BP1276" s="2"/>
      <c r="BQ1276" s="2"/>
      <c r="BR1276" s="6"/>
      <c r="BS1276" s="6"/>
      <c r="BT1276" s="2"/>
      <c r="BU1276" s="2"/>
      <c r="BV1276" s="2"/>
      <c r="BW1276" s="2"/>
      <c r="BX1276" s="2"/>
      <c r="BY1276" s="2"/>
      <c r="BZ1276" s="2"/>
      <c r="CA1276" s="2"/>
      <c r="CB1276" s="2"/>
      <c r="CC1276" s="2"/>
      <c r="CD1276" s="3"/>
      <c r="CE1276" s="2"/>
      <c r="CF1276" s="4"/>
      <c r="CG1276" s="4"/>
      <c r="CI1276" s="2"/>
    </row>
    <row r="1277" spans="1:87" s="101" customFormat="1" x14ac:dyDescent="0.35">
      <c r="A1277" s="1"/>
      <c r="C1277" s="1"/>
      <c r="G1277" s="2"/>
      <c r="H1277" s="2"/>
      <c r="I1277" s="2"/>
      <c r="J1277" s="2"/>
      <c r="K1277" s="81"/>
      <c r="L1277" s="4"/>
      <c r="M1277" s="4"/>
      <c r="N1277" s="4"/>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3"/>
      <c r="AP1277" s="2"/>
      <c r="AQ1277" s="2"/>
      <c r="AR1277" s="2"/>
      <c r="AS1277" s="2"/>
      <c r="AT1277" s="2"/>
      <c r="AU1277" s="2"/>
      <c r="AV1277" s="2"/>
      <c r="AW1277" s="2"/>
      <c r="AX1277" s="2"/>
      <c r="AY1277" s="2"/>
      <c r="AZ1277" s="5"/>
      <c r="BA1277" s="2"/>
      <c r="BD1277" s="2"/>
      <c r="BE1277" s="2"/>
      <c r="BF1277" s="2"/>
      <c r="BG1277" s="2"/>
      <c r="BH1277" s="2"/>
      <c r="BI1277" s="2"/>
      <c r="BJ1277" s="2"/>
      <c r="BK1277" s="2"/>
      <c r="BM1277" s="2"/>
      <c r="BN1277" s="2"/>
      <c r="BO1277" s="2"/>
      <c r="BP1277" s="2"/>
      <c r="BQ1277" s="2"/>
      <c r="BR1277" s="6"/>
      <c r="BS1277" s="6"/>
      <c r="BT1277" s="2"/>
      <c r="BU1277" s="2"/>
      <c r="BV1277" s="2"/>
      <c r="BW1277" s="2"/>
      <c r="BX1277" s="2"/>
      <c r="BY1277" s="2"/>
      <c r="BZ1277" s="2"/>
      <c r="CA1277" s="2"/>
      <c r="CB1277" s="2"/>
      <c r="CC1277" s="2"/>
      <c r="CD1277" s="3"/>
      <c r="CE1277" s="2"/>
      <c r="CF1277" s="4"/>
      <c r="CG1277" s="4"/>
      <c r="CI1277" s="2"/>
    </row>
    <row r="1278" spans="1:87" s="101" customFormat="1" x14ac:dyDescent="0.35">
      <c r="A1278" s="1"/>
      <c r="C1278" s="1"/>
      <c r="G1278" s="2"/>
      <c r="H1278" s="2"/>
      <c r="I1278" s="2"/>
      <c r="J1278" s="2"/>
      <c r="K1278" s="81"/>
      <c r="L1278" s="4"/>
      <c r="M1278" s="4"/>
      <c r="N1278" s="4"/>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3"/>
      <c r="AP1278" s="2"/>
      <c r="AQ1278" s="2"/>
      <c r="AR1278" s="2"/>
      <c r="AS1278" s="2"/>
      <c r="AT1278" s="2"/>
      <c r="AU1278" s="2"/>
      <c r="AV1278" s="2"/>
      <c r="AW1278" s="2"/>
      <c r="AX1278" s="2"/>
      <c r="AY1278" s="2"/>
      <c r="AZ1278" s="5"/>
      <c r="BA1278" s="2"/>
      <c r="BD1278" s="2"/>
      <c r="BE1278" s="2"/>
      <c r="BF1278" s="2"/>
      <c r="BG1278" s="2"/>
      <c r="BH1278" s="2"/>
      <c r="BI1278" s="2"/>
      <c r="BJ1278" s="2"/>
      <c r="BK1278" s="2"/>
      <c r="BM1278" s="2"/>
      <c r="BN1278" s="2"/>
      <c r="BO1278" s="2"/>
      <c r="BP1278" s="2"/>
      <c r="BQ1278" s="2"/>
      <c r="BR1278" s="6"/>
      <c r="BS1278" s="6"/>
      <c r="BT1278" s="2"/>
      <c r="BU1278" s="2"/>
      <c r="BV1278" s="2"/>
      <c r="BW1278" s="2"/>
      <c r="BX1278" s="2"/>
      <c r="BY1278" s="2"/>
      <c r="BZ1278" s="2"/>
      <c r="CA1278" s="2"/>
      <c r="CB1278" s="2"/>
      <c r="CC1278" s="2"/>
      <c r="CD1278" s="3"/>
      <c r="CE1278" s="2"/>
      <c r="CF1278" s="4"/>
      <c r="CG1278" s="4"/>
      <c r="CI1278" s="2"/>
    </row>
    <row r="1279" spans="1:87" s="101" customFormat="1" x14ac:dyDescent="0.35">
      <c r="A1279" s="1"/>
      <c r="C1279" s="1"/>
      <c r="G1279" s="2"/>
      <c r="H1279" s="2"/>
      <c r="I1279" s="2"/>
      <c r="J1279" s="2"/>
      <c r="K1279" s="81"/>
      <c r="L1279" s="4"/>
      <c r="M1279" s="4"/>
      <c r="N1279" s="4"/>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3"/>
      <c r="AP1279" s="2"/>
      <c r="AQ1279" s="2"/>
      <c r="AR1279" s="2"/>
      <c r="AS1279" s="2"/>
      <c r="AT1279" s="2"/>
      <c r="AU1279" s="2"/>
      <c r="AV1279" s="2"/>
      <c r="AW1279" s="2"/>
      <c r="AX1279" s="2"/>
      <c r="AY1279" s="2"/>
      <c r="AZ1279" s="5"/>
      <c r="BA1279" s="2"/>
      <c r="BD1279" s="2"/>
      <c r="BE1279" s="2"/>
      <c r="BF1279" s="2"/>
      <c r="BG1279" s="2"/>
      <c r="BH1279" s="2"/>
      <c r="BI1279" s="2"/>
      <c r="BJ1279" s="2"/>
      <c r="BK1279" s="2"/>
      <c r="BM1279" s="2"/>
      <c r="BN1279" s="2"/>
      <c r="BO1279" s="2"/>
      <c r="BP1279" s="2"/>
      <c r="BQ1279" s="2"/>
      <c r="BR1279" s="6"/>
      <c r="BS1279" s="6"/>
      <c r="BT1279" s="2"/>
      <c r="BU1279" s="2"/>
      <c r="BV1279" s="2"/>
      <c r="BW1279" s="2"/>
      <c r="BX1279" s="2"/>
      <c r="BY1279" s="2"/>
      <c r="BZ1279" s="2"/>
      <c r="CA1279" s="2"/>
      <c r="CB1279" s="2"/>
      <c r="CC1279" s="2"/>
      <c r="CD1279" s="3"/>
      <c r="CE1279" s="2"/>
      <c r="CF1279" s="4"/>
      <c r="CG1279" s="4"/>
      <c r="CI1279" s="2"/>
    </row>
    <row r="1280" spans="1:87" s="101" customFormat="1" x14ac:dyDescent="0.35">
      <c r="A1280" s="1"/>
      <c r="C1280" s="1"/>
      <c r="G1280" s="2"/>
      <c r="H1280" s="2"/>
      <c r="I1280" s="2"/>
      <c r="J1280" s="2"/>
      <c r="K1280" s="81"/>
      <c r="L1280" s="4"/>
      <c r="M1280" s="4"/>
      <c r="N1280" s="4"/>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3"/>
      <c r="AP1280" s="2"/>
      <c r="AQ1280" s="2"/>
      <c r="AR1280" s="2"/>
      <c r="AS1280" s="2"/>
      <c r="AT1280" s="2"/>
      <c r="AU1280" s="2"/>
      <c r="AV1280" s="2"/>
      <c r="AW1280" s="2"/>
      <c r="AX1280" s="2"/>
      <c r="AY1280" s="2"/>
      <c r="AZ1280" s="5"/>
      <c r="BA1280" s="2"/>
      <c r="BD1280" s="2"/>
      <c r="BE1280" s="2"/>
      <c r="BF1280" s="2"/>
      <c r="BG1280" s="2"/>
      <c r="BH1280" s="2"/>
      <c r="BI1280" s="2"/>
      <c r="BJ1280" s="2"/>
      <c r="BK1280" s="2"/>
      <c r="BM1280" s="2"/>
      <c r="BN1280" s="2"/>
      <c r="BO1280" s="2"/>
      <c r="BP1280" s="2"/>
      <c r="BQ1280" s="2"/>
      <c r="BR1280" s="6"/>
      <c r="BS1280" s="6"/>
      <c r="BT1280" s="2"/>
      <c r="BU1280" s="2"/>
      <c r="BV1280" s="2"/>
      <c r="BW1280" s="2"/>
      <c r="BX1280" s="2"/>
      <c r="BY1280" s="2"/>
      <c r="BZ1280" s="2"/>
      <c r="CA1280" s="2"/>
      <c r="CB1280" s="2"/>
      <c r="CC1280" s="2"/>
      <c r="CD1280" s="3"/>
      <c r="CE1280" s="2"/>
      <c r="CF1280" s="4"/>
      <c r="CG1280" s="4"/>
      <c r="CI1280" s="2"/>
    </row>
    <row r="1281" spans="1:87" s="101" customFormat="1" x14ac:dyDescent="0.35">
      <c r="A1281" s="1"/>
      <c r="C1281" s="1"/>
      <c r="G1281" s="2"/>
      <c r="H1281" s="2"/>
      <c r="I1281" s="2"/>
      <c r="J1281" s="2"/>
      <c r="K1281" s="81"/>
      <c r="L1281" s="4"/>
      <c r="M1281" s="4"/>
      <c r="N1281" s="4"/>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3"/>
      <c r="AP1281" s="2"/>
      <c r="AQ1281" s="2"/>
      <c r="AR1281" s="2"/>
      <c r="AS1281" s="2"/>
      <c r="AT1281" s="2"/>
      <c r="AU1281" s="2"/>
      <c r="AV1281" s="2"/>
      <c r="AW1281" s="2"/>
      <c r="AX1281" s="2"/>
      <c r="AY1281" s="2"/>
      <c r="AZ1281" s="5"/>
      <c r="BA1281" s="2"/>
      <c r="BD1281" s="2"/>
      <c r="BE1281" s="2"/>
      <c r="BF1281" s="2"/>
      <c r="BG1281" s="2"/>
      <c r="BH1281" s="2"/>
      <c r="BI1281" s="2"/>
      <c r="BJ1281" s="2"/>
      <c r="BK1281" s="2"/>
      <c r="BM1281" s="2"/>
      <c r="BN1281" s="2"/>
      <c r="BO1281" s="2"/>
      <c r="BP1281" s="2"/>
      <c r="BQ1281" s="2"/>
      <c r="BR1281" s="6"/>
      <c r="BS1281" s="6"/>
      <c r="BT1281" s="2"/>
      <c r="BU1281" s="2"/>
      <c r="BV1281" s="2"/>
      <c r="BW1281" s="2"/>
      <c r="BX1281" s="2"/>
      <c r="BY1281" s="2"/>
      <c r="BZ1281" s="2"/>
      <c r="CA1281" s="2"/>
      <c r="CB1281" s="2"/>
      <c r="CC1281" s="2"/>
      <c r="CD1281" s="3"/>
      <c r="CE1281" s="2"/>
      <c r="CF1281" s="4"/>
      <c r="CG1281" s="4"/>
      <c r="CI1281" s="2"/>
    </row>
    <row r="1282" spans="1:87" s="101" customFormat="1" x14ac:dyDescent="0.35">
      <c r="A1282" s="1"/>
      <c r="C1282" s="1"/>
      <c r="G1282" s="2"/>
      <c r="H1282" s="2"/>
      <c r="I1282" s="2"/>
      <c r="J1282" s="2"/>
      <c r="K1282" s="81"/>
      <c r="L1282" s="4"/>
      <c r="M1282" s="4"/>
      <c r="N1282" s="4"/>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3"/>
      <c r="AP1282" s="2"/>
      <c r="AQ1282" s="2"/>
      <c r="AR1282" s="2"/>
      <c r="AS1282" s="2"/>
      <c r="AT1282" s="2"/>
      <c r="AU1282" s="2"/>
      <c r="AV1282" s="2"/>
      <c r="AW1282" s="2"/>
      <c r="AX1282" s="2"/>
      <c r="AY1282" s="2"/>
      <c r="AZ1282" s="5"/>
      <c r="BA1282" s="2"/>
      <c r="BD1282" s="2"/>
      <c r="BE1282" s="2"/>
      <c r="BF1282" s="2"/>
      <c r="BG1282" s="2"/>
      <c r="BH1282" s="2"/>
      <c r="BI1282" s="2"/>
      <c r="BJ1282" s="2"/>
      <c r="BK1282" s="2"/>
      <c r="BM1282" s="2"/>
      <c r="BN1282" s="2"/>
      <c r="BO1282" s="2"/>
      <c r="BP1282" s="2"/>
      <c r="BQ1282" s="2"/>
      <c r="BR1282" s="6"/>
      <c r="BS1282" s="6"/>
      <c r="BT1282" s="2"/>
      <c r="BU1282" s="2"/>
      <c r="BV1282" s="2"/>
      <c r="BW1282" s="2"/>
      <c r="BX1282" s="2"/>
      <c r="BY1282" s="2"/>
      <c r="BZ1282" s="2"/>
      <c r="CA1282" s="2"/>
      <c r="CB1282" s="2"/>
      <c r="CC1282" s="2"/>
      <c r="CD1282" s="3"/>
      <c r="CE1282" s="2"/>
      <c r="CF1282" s="4"/>
      <c r="CG1282" s="4"/>
      <c r="CI1282" s="2"/>
    </row>
    <row r="1283" spans="1:87" s="101" customFormat="1" x14ac:dyDescent="0.35">
      <c r="A1283" s="1"/>
      <c r="C1283" s="1"/>
      <c r="G1283" s="2"/>
      <c r="H1283" s="2"/>
      <c r="I1283" s="2"/>
      <c r="J1283" s="2"/>
      <c r="K1283" s="81"/>
      <c r="L1283" s="4"/>
      <c r="M1283" s="4"/>
      <c r="N1283" s="4"/>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3"/>
      <c r="AP1283" s="2"/>
      <c r="AQ1283" s="2"/>
      <c r="AR1283" s="2"/>
      <c r="AS1283" s="2"/>
      <c r="AT1283" s="2"/>
      <c r="AU1283" s="2"/>
      <c r="AV1283" s="2"/>
      <c r="AW1283" s="2"/>
      <c r="AX1283" s="2"/>
      <c r="AY1283" s="2"/>
      <c r="AZ1283" s="5"/>
      <c r="BA1283" s="2"/>
      <c r="BD1283" s="2"/>
      <c r="BE1283" s="2"/>
      <c r="BF1283" s="2"/>
      <c r="BG1283" s="2"/>
      <c r="BH1283" s="2"/>
      <c r="BI1283" s="2"/>
      <c r="BJ1283" s="2"/>
      <c r="BK1283" s="2"/>
      <c r="BM1283" s="2"/>
      <c r="BN1283" s="2"/>
      <c r="BO1283" s="2"/>
      <c r="BP1283" s="2"/>
      <c r="BQ1283" s="2"/>
      <c r="BR1283" s="6"/>
      <c r="BS1283" s="6"/>
      <c r="BT1283" s="2"/>
      <c r="BU1283" s="2"/>
      <c r="BV1283" s="2"/>
      <c r="BW1283" s="2"/>
      <c r="BX1283" s="2"/>
      <c r="BY1283" s="2"/>
      <c r="BZ1283" s="2"/>
      <c r="CA1283" s="2"/>
      <c r="CB1283" s="2"/>
      <c r="CC1283" s="2"/>
      <c r="CD1283" s="3"/>
      <c r="CE1283" s="2"/>
      <c r="CF1283" s="4"/>
      <c r="CG1283" s="4"/>
      <c r="CI1283" s="2"/>
    </row>
    <row r="1284" spans="1:87" s="101" customFormat="1" x14ac:dyDescent="0.35">
      <c r="A1284" s="1"/>
      <c r="C1284" s="1"/>
      <c r="G1284" s="2"/>
      <c r="H1284" s="2"/>
      <c r="I1284" s="2"/>
      <c r="J1284" s="2"/>
      <c r="K1284" s="81"/>
      <c r="L1284" s="4"/>
      <c r="M1284" s="4"/>
      <c r="N1284" s="4"/>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3"/>
      <c r="AP1284" s="2"/>
      <c r="AQ1284" s="2"/>
      <c r="AR1284" s="2"/>
      <c r="AS1284" s="2"/>
      <c r="AT1284" s="2"/>
      <c r="AU1284" s="2"/>
      <c r="AV1284" s="2"/>
      <c r="AW1284" s="2"/>
      <c r="AX1284" s="2"/>
      <c r="AY1284" s="2"/>
      <c r="AZ1284" s="5"/>
      <c r="BA1284" s="2"/>
      <c r="BD1284" s="2"/>
      <c r="BE1284" s="2"/>
      <c r="BF1284" s="2"/>
      <c r="BG1284" s="2"/>
      <c r="BH1284" s="2"/>
      <c r="BI1284" s="2"/>
      <c r="BJ1284" s="2"/>
      <c r="BK1284" s="2"/>
      <c r="BM1284" s="2"/>
      <c r="BN1284" s="2"/>
      <c r="BO1284" s="2"/>
      <c r="BP1284" s="2"/>
      <c r="BQ1284" s="2"/>
      <c r="BR1284" s="6"/>
      <c r="BS1284" s="6"/>
      <c r="BT1284" s="2"/>
      <c r="BU1284" s="2"/>
      <c r="BV1284" s="2"/>
      <c r="BW1284" s="2"/>
      <c r="BX1284" s="2"/>
      <c r="BY1284" s="2"/>
      <c r="BZ1284" s="2"/>
      <c r="CA1284" s="2"/>
      <c r="CB1284" s="2"/>
      <c r="CC1284" s="2"/>
      <c r="CD1284" s="3"/>
      <c r="CE1284" s="2"/>
      <c r="CF1284" s="4"/>
      <c r="CG1284" s="4"/>
      <c r="CI1284" s="2"/>
    </row>
    <row r="1285" spans="1:87" s="101" customFormat="1" x14ac:dyDescent="0.35">
      <c r="A1285" s="1"/>
      <c r="C1285" s="1"/>
      <c r="G1285" s="2"/>
      <c r="H1285" s="2"/>
      <c r="I1285" s="2"/>
      <c r="J1285" s="2"/>
      <c r="K1285" s="81"/>
      <c r="L1285" s="4"/>
      <c r="M1285" s="4"/>
      <c r="N1285" s="4"/>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3"/>
      <c r="AP1285" s="2"/>
      <c r="AQ1285" s="2"/>
      <c r="AR1285" s="2"/>
      <c r="AS1285" s="2"/>
      <c r="AT1285" s="2"/>
      <c r="AU1285" s="2"/>
      <c r="AV1285" s="2"/>
      <c r="AW1285" s="2"/>
      <c r="AX1285" s="2"/>
      <c r="AY1285" s="2"/>
      <c r="AZ1285" s="5"/>
      <c r="BA1285" s="2"/>
      <c r="BD1285" s="2"/>
      <c r="BE1285" s="2"/>
      <c r="BF1285" s="2"/>
      <c r="BG1285" s="2"/>
      <c r="BH1285" s="2"/>
      <c r="BI1285" s="2"/>
      <c r="BJ1285" s="2"/>
      <c r="BK1285" s="2"/>
      <c r="BM1285" s="2"/>
      <c r="BN1285" s="2"/>
      <c r="BO1285" s="2"/>
      <c r="BP1285" s="2"/>
      <c r="BQ1285" s="2"/>
      <c r="BR1285" s="6"/>
      <c r="BS1285" s="6"/>
      <c r="BT1285" s="2"/>
      <c r="BU1285" s="2"/>
      <c r="BV1285" s="2"/>
      <c r="BW1285" s="2"/>
      <c r="BX1285" s="2"/>
      <c r="BY1285" s="2"/>
      <c r="BZ1285" s="2"/>
      <c r="CA1285" s="2"/>
      <c r="CB1285" s="2"/>
      <c r="CC1285" s="2"/>
      <c r="CD1285" s="3"/>
      <c r="CE1285" s="2"/>
      <c r="CF1285" s="4"/>
      <c r="CG1285" s="4"/>
      <c r="CI1285" s="2"/>
    </row>
    <row r="1286" spans="1:87" s="101" customFormat="1" x14ac:dyDescent="0.35">
      <c r="A1286" s="1"/>
      <c r="C1286" s="1"/>
      <c r="G1286" s="2"/>
      <c r="H1286" s="2"/>
      <c r="I1286" s="2"/>
      <c r="J1286" s="2"/>
      <c r="K1286" s="81"/>
      <c r="L1286" s="4"/>
      <c r="M1286" s="4"/>
      <c r="N1286" s="4"/>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3"/>
      <c r="AP1286" s="2"/>
      <c r="AQ1286" s="2"/>
      <c r="AR1286" s="2"/>
      <c r="AS1286" s="2"/>
      <c r="AT1286" s="2"/>
      <c r="AU1286" s="2"/>
      <c r="AV1286" s="2"/>
      <c r="AW1286" s="2"/>
      <c r="AX1286" s="2"/>
      <c r="AY1286" s="2"/>
      <c r="AZ1286" s="5"/>
      <c r="BA1286" s="2"/>
      <c r="BD1286" s="2"/>
      <c r="BE1286" s="2"/>
      <c r="BF1286" s="2"/>
      <c r="BG1286" s="2"/>
      <c r="BH1286" s="2"/>
      <c r="BI1286" s="2"/>
      <c r="BJ1286" s="2"/>
      <c r="BK1286" s="2"/>
      <c r="BM1286" s="2"/>
      <c r="BN1286" s="2"/>
      <c r="BO1286" s="2"/>
      <c r="BP1286" s="2"/>
      <c r="BQ1286" s="2"/>
      <c r="BR1286" s="6"/>
      <c r="BS1286" s="6"/>
      <c r="BT1286" s="2"/>
      <c r="BU1286" s="2"/>
      <c r="BV1286" s="2"/>
      <c r="BW1286" s="2"/>
      <c r="BX1286" s="2"/>
      <c r="BY1286" s="2"/>
      <c r="BZ1286" s="2"/>
      <c r="CA1286" s="2"/>
      <c r="CB1286" s="2"/>
      <c r="CC1286" s="2"/>
      <c r="CD1286" s="3"/>
      <c r="CE1286" s="2"/>
      <c r="CF1286" s="4"/>
      <c r="CG1286" s="4"/>
      <c r="CI1286" s="2"/>
    </row>
    <row r="1287" spans="1:87" s="101" customFormat="1" x14ac:dyDescent="0.35">
      <c r="A1287" s="1"/>
      <c r="C1287" s="1"/>
      <c r="G1287" s="2"/>
      <c r="H1287" s="2"/>
      <c r="I1287" s="2"/>
      <c r="J1287" s="2"/>
      <c r="K1287" s="81"/>
      <c r="L1287" s="4"/>
      <c r="M1287" s="4"/>
      <c r="N1287" s="4"/>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3"/>
      <c r="AP1287" s="2"/>
      <c r="AQ1287" s="2"/>
      <c r="AR1287" s="2"/>
      <c r="AS1287" s="2"/>
      <c r="AT1287" s="2"/>
      <c r="AU1287" s="2"/>
      <c r="AV1287" s="2"/>
      <c r="AW1287" s="2"/>
      <c r="AX1287" s="2"/>
      <c r="AY1287" s="2"/>
      <c r="AZ1287" s="5"/>
      <c r="BA1287" s="2"/>
      <c r="BD1287" s="2"/>
      <c r="BE1287" s="2"/>
      <c r="BF1287" s="2"/>
      <c r="BG1287" s="2"/>
      <c r="BH1287" s="2"/>
      <c r="BI1287" s="2"/>
      <c r="BJ1287" s="2"/>
      <c r="BK1287" s="2"/>
      <c r="BM1287" s="2"/>
      <c r="BN1287" s="2"/>
      <c r="BO1287" s="2"/>
      <c r="BP1287" s="2"/>
      <c r="BQ1287" s="2"/>
      <c r="BR1287" s="6"/>
      <c r="BS1287" s="6"/>
      <c r="BT1287" s="2"/>
      <c r="BU1287" s="2"/>
      <c r="BV1287" s="2"/>
      <c r="BW1287" s="2"/>
      <c r="BX1287" s="2"/>
      <c r="BY1287" s="2"/>
      <c r="BZ1287" s="2"/>
      <c r="CA1287" s="2"/>
      <c r="CB1287" s="2"/>
      <c r="CC1287" s="2"/>
      <c r="CD1287" s="3"/>
      <c r="CE1287" s="2"/>
      <c r="CF1287" s="4"/>
      <c r="CG1287" s="4"/>
      <c r="CI1287" s="2"/>
    </row>
    <row r="1288" spans="1:87" s="101" customFormat="1" x14ac:dyDescent="0.35">
      <c r="A1288" s="1"/>
      <c r="C1288" s="1"/>
      <c r="G1288" s="2"/>
      <c r="H1288" s="2"/>
      <c r="I1288" s="2"/>
      <c r="J1288" s="2"/>
      <c r="K1288" s="81"/>
      <c r="L1288" s="4"/>
      <c r="M1288" s="4"/>
      <c r="N1288" s="4"/>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3"/>
      <c r="AP1288" s="2"/>
      <c r="AQ1288" s="2"/>
      <c r="AR1288" s="2"/>
      <c r="AS1288" s="2"/>
      <c r="AT1288" s="2"/>
      <c r="AU1288" s="2"/>
      <c r="AV1288" s="2"/>
      <c r="AW1288" s="2"/>
      <c r="AX1288" s="2"/>
      <c r="AY1288" s="2"/>
      <c r="AZ1288" s="5"/>
      <c r="BA1288" s="2"/>
      <c r="BD1288" s="2"/>
      <c r="BE1288" s="2"/>
      <c r="BF1288" s="2"/>
      <c r="BG1288" s="2"/>
      <c r="BH1288" s="2"/>
      <c r="BI1288" s="2"/>
      <c r="BJ1288" s="2"/>
      <c r="BK1288" s="2"/>
      <c r="BM1288" s="2"/>
      <c r="BN1288" s="2"/>
      <c r="BO1288" s="2"/>
      <c r="BP1288" s="2"/>
      <c r="BQ1288" s="2"/>
      <c r="BR1288" s="6"/>
      <c r="BS1288" s="6"/>
      <c r="BT1288" s="2"/>
      <c r="BU1288" s="2"/>
      <c r="BV1288" s="2"/>
      <c r="BW1288" s="2"/>
      <c r="BX1288" s="2"/>
      <c r="BY1288" s="2"/>
      <c r="BZ1288" s="2"/>
      <c r="CA1288" s="2"/>
      <c r="CB1288" s="2"/>
      <c r="CC1288" s="2"/>
      <c r="CD1288" s="3"/>
      <c r="CE1288" s="2"/>
      <c r="CF1288" s="4"/>
      <c r="CG1288" s="4"/>
      <c r="CI1288" s="2"/>
    </row>
    <row r="1289" spans="1:87" s="101" customFormat="1" x14ac:dyDescent="0.35">
      <c r="A1289" s="1"/>
      <c r="C1289" s="1"/>
      <c r="G1289" s="2"/>
      <c r="H1289" s="2"/>
      <c r="I1289" s="2"/>
      <c r="J1289" s="2"/>
      <c r="K1289" s="81"/>
      <c r="L1289" s="4"/>
      <c r="M1289" s="4"/>
      <c r="N1289" s="4"/>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3"/>
      <c r="AP1289" s="2"/>
      <c r="AQ1289" s="2"/>
      <c r="AR1289" s="2"/>
      <c r="AS1289" s="2"/>
      <c r="AT1289" s="2"/>
      <c r="AU1289" s="2"/>
      <c r="AV1289" s="2"/>
      <c r="AW1289" s="2"/>
      <c r="AX1289" s="2"/>
      <c r="AY1289" s="2"/>
      <c r="AZ1289" s="5"/>
      <c r="BA1289" s="2"/>
      <c r="BD1289" s="2"/>
      <c r="BE1289" s="2"/>
      <c r="BF1289" s="2"/>
      <c r="BG1289" s="2"/>
      <c r="BH1289" s="2"/>
      <c r="BI1289" s="2"/>
      <c r="BJ1289" s="2"/>
      <c r="BK1289" s="2"/>
      <c r="BM1289" s="2"/>
      <c r="BN1289" s="2"/>
      <c r="BO1289" s="2"/>
      <c r="BP1289" s="2"/>
      <c r="BQ1289" s="2"/>
      <c r="BR1289" s="6"/>
      <c r="BS1289" s="6"/>
      <c r="BT1289" s="2"/>
      <c r="BU1289" s="2"/>
      <c r="BV1289" s="2"/>
      <c r="BW1289" s="2"/>
      <c r="BX1289" s="2"/>
      <c r="BY1289" s="2"/>
      <c r="BZ1289" s="2"/>
      <c r="CA1289" s="2"/>
      <c r="CB1289" s="2"/>
      <c r="CC1289" s="2"/>
      <c r="CD1289" s="3"/>
      <c r="CE1289" s="2"/>
      <c r="CF1289" s="4"/>
      <c r="CG1289" s="4"/>
      <c r="CI1289" s="2"/>
    </row>
    <row r="1290" spans="1:87" s="101" customFormat="1" x14ac:dyDescent="0.35">
      <c r="A1290" s="1"/>
      <c r="C1290" s="1"/>
      <c r="G1290" s="2"/>
      <c r="H1290" s="2"/>
      <c r="I1290" s="2"/>
      <c r="J1290" s="2"/>
      <c r="K1290" s="81"/>
      <c r="L1290" s="4"/>
      <c r="M1290" s="4"/>
      <c r="N1290" s="4"/>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3"/>
      <c r="AP1290" s="2"/>
      <c r="AQ1290" s="2"/>
      <c r="AR1290" s="2"/>
      <c r="AS1290" s="2"/>
      <c r="AT1290" s="2"/>
      <c r="AU1290" s="2"/>
      <c r="AV1290" s="2"/>
      <c r="AW1290" s="2"/>
      <c r="AX1290" s="2"/>
      <c r="AY1290" s="2"/>
      <c r="AZ1290" s="5"/>
      <c r="BA1290" s="2"/>
      <c r="BD1290" s="2"/>
      <c r="BE1290" s="2"/>
      <c r="BF1290" s="2"/>
      <c r="BG1290" s="2"/>
      <c r="BH1290" s="2"/>
      <c r="BI1290" s="2"/>
      <c r="BJ1290" s="2"/>
      <c r="BK1290" s="2"/>
      <c r="BM1290" s="2"/>
      <c r="BN1290" s="2"/>
      <c r="BO1290" s="2"/>
      <c r="BP1290" s="2"/>
      <c r="BQ1290" s="2"/>
      <c r="BR1290" s="6"/>
      <c r="BS1290" s="6"/>
      <c r="BT1290" s="2"/>
      <c r="BU1290" s="2"/>
      <c r="BV1290" s="2"/>
      <c r="BW1290" s="2"/>
      <c r="BX1290" s="2"/>
      <c r="BY1290" s="2"/>
      <c r="BZ1290" s="2"/>
      <c r="CA1290" s="2"/>
      <c r="CB1290" s="2"/>
      <c r="CC1290" s="2"/>
      <c r="CD1290" s="3"/>
      <c r="CE1290" s="2"/>
      <c r="CF1290" s="4"/>
      <c r="CG1290" s="4"/>
      <c r="CI1290" s="2"/>
    </row>
    <row r="1291" spans="1:87" s="101" customFormat="1" x14ac:dyDescent="0.35">
      <c r="A1291" s="1"/>
      <c r="C1291" s="1"/>
      <c r="G1291" s="2"/>
      <c r="H1291" s="2"/>
      <c r="I1291" s="2"/>
      <c r="J1291" s="2"/>
      <c r="K1291" s="81"/>
      <c r="L1291" s="4"/>
      <c r="M1291" s="4"/>
      <c r="N1291" s="4"/>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3"/>
      <c r="AP1291" s="2"/>
      <c r="AQ1291" s="2"/>
      <c r="AR1291" s="2"/>
      <c r="AS1291" s="2"/>
      <c r="AT1291" s="2"/>
      <c r="AU1291" s="2"/>
      <c r="AV1291" s="2"/>
      <c r="AW1291" s="2"/>
      <c r="AX1291" s="2"/>
      <c r="AY1291" s="2"/>
      <c r="AZ1291" s="5"/>
      <c r="BA1291" s="2"/>
      <c r="BD1291" s="2"/>
      <c r="BE1291" s="2"/>
      <c r="BF1291" s="2"/>
      <c r="BG1291" s="2"/>
      <c r="BH1291" s="2"/>
      <c r="BI1291" s="2"/>
      <c r="BJ1291" s="2"/>
      <c r="BK1291" s="2"/>
      <c r="BM1291" s="2"/>
      <c r="BN1291" s="2"/>
      <c r="BO1291" s="2"/>
      <c r="BP1291" s="2"/>
      <c r="BQ1291" s="2"/>
      <c r="BR1291" s="6"/>
      <c r="BS1291" s="6"/>
      <c r="BT1291" s="2"/>
      <c r="BU1291" s="2"/>
      <c r="BV1291" s="2"/>
      <c r="BW1291" s="2"/>
      <c r="BX1291" s="2"/>
      <c r="BY1291" s="2"/>
      <c r="BZ1291" s="2"/>
      <c r="CA1291" s="2"/>
      <c r="CB1291" s="2"/>
      <c r="CC1291" s="2"/>
      <c r="CD1291" s="3"/>
      <c r="CE1291" s="2"/>
      <c r="CF1291" s="4"/>
      <c r="CG1291" s="4"/>
      <c r="CI1291" s="2"/>
    </row>
    <row r="1292" spans="1:87" s="101" customFormat="1" x14ac:dyDescent="0.35">
      <c r="A1292" s="1"/>
      <c r="C1292" s="1"/>
      <c r="G1292" s="2"/>
      <c r="H1292" s="2"/>
      <c r="I1292" s="2"/>
      <c r="J1292" s="2"/>
      <c r="K1292" s="81"/>
      <c r="L1292" s="4"/>
      <c r="M1292" s="4"/>
      <c r="N1292" s="4"/>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3"/>
      <c r="AP1292" s="2"/>
      <c r="AQ1292" s="2"/>
      <c r="AR1292" s="2"/>
      <c r="AS1292" s="2"/>
      <c r="AT1292" s="2"/>
      <c r="AU1292" s="2"/>
      <c r="AV1292" s="2"/>
      <c r="AW1292" s="2"/>
      <c r="AX1292" s="2"/>
      <c r="AY1292" s="2"/>
      <c r="AZ1292" s="5"/>
      <c r="BA1292" s="2"/>
      <c r="BD1292" s="2"/>
      <c r="BE1292" s="2"/>
      <c r="BF1292" s="2"/>
      <c r="BG1292" s="2"/>
      <c r="BH1292" s="2"/>
      <c r="BI1292" s="2"/>
      <c r="BJ1292" s="2"/>
      <c r="BK1292" s="2"/>
      <c r="BM1292" s="2"/>
      <c r="BN1292" s="2"/>
      <c r="BO1292" s="2"/>
      <c r="BP1292" s="2"/>
      <c r="BQ1292" s="2"/>
      <c r="BR1292" s="6"/>
      <c r="BS1292" s="6"/>
      <c r="BT1292" s="2"/>
      <c r="BU1292" s="2"/>
      <c r="BV1292" s="2"/>
      <c r="BW1292" s="2"/>
      <c r="BX1292" s="2"/>
      <c r="BY1292" s="2"/>
      <c r="BZ1292" s="2"/>
      <c r="CA1292" s="2"/>
      <c r="CB1292" s="2"/>
      <c r="CC1292" s="2"/>
      <c r="CD1292" s="3"/>
      <c r="CE1292" s="2"/>
      <c r="CF1292" s="4"/>
      <c r="CG1292" s="4"/>
      <c r="CI1292" s="2"/>
    </row>
    <row r="1293" spans="1:87" s="101" customFormat="1" x14ac:dyDescent="0.35">
      <c r="A1293" s="1"/>
      <c r="C1293" s="1"/>
      <c r="G1293" s="2"/>
      <c r="H1293" s="2"/>
      <c r="I1293" s="2"/>
      <c r="J1293" s="2"/>
      <c r="K1293" s="81"/>
      <c r="L1293" s="4"/>
      <c r="M1293" s="4"/>
      <c r="N1293" s="4"/>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3"/>
      <c r="AP1293" s="2"/>
      <c r="AQ1293" s="2"/>
      <c r="AR1293" s="2"/>
      <c r="AS1293" s="2"/>
      <c r="AT1293" s="2"/>
      <c r="AU1293" s="2"/>
      <c r="AV1293" s="2"/>
      <c r="AW1293" s="2"/>
      <c r="AX1293" s="2"/>
      <c r="AY1293" s="2"/>
      <c r="AZ1293" s="5"/>
      <c r="BA1293" s="2"/>
      <c r="BD1293" s="2"/>
      <c r="BE1293" s="2"/>
      <c r="BF1293" s="2"/>
      <c r="BG1293" s="2"/>
      <c r="BH1293" s="2"/>
      <c r="BI1293" s="2"/>
      <c r="BJ1293" s="2"/>
      <c r="BK1293" s="2"/>
      <c r="BM1293" s="2"/>
      <c r="BN1293" s="2"/>
      <c r="BO1293" s="2"/>
      <c r="BP1293" s="2"/>
      <c r="BQ1293" s="2"/>
      <c r="BR1293" s="6"/>
      <c r="BS1293" s="6"/>
      <c r="BT1293" s="2"/>
      <c r="BU1293" s="2"/>
      <c r="BV1293" s="2"/>
      <c r="BW1293" s="2"/>
      <c r="BX1293" s="2"/>
      <c r="BY1293" s="2"/>
      <c r="BZ1293" s="2"/>
      <c r="CA1293" s="2"/>
      <c r="CB1293" s="2"/>
      <c r="CC1293" s="2"/>
      <c r="CD1293" s="3"/>
      <c r="CE1293" s="2"/>
      <c r="CF1293" s="4"/>
      <c r="CG1293" s="4"/>
      <c r="CI1293" s="2"/>
    </row>
    <row r="1294" spans="1:87" s="101" customFormat="1" x14ac:dyDescent="0.35">
      <c r="A1294" s="1"/>
      <c r="C1294" s="1"/>
      <c r="G1294" s="2"/>
      <c r="H1294" s="2"/>
      <c r="I1294" s="2"/>
      <c r="J1294" s="2"/>
      <c r="K1294" s="81"/>
      <c r="L1294" s="4"/>
      <c r="M1294" s="4"/>
      <c r="N1294" s="4"/>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3"/>
      <c r="AP1294" s="2"/>
      <c r="AQ1294" s="2"/>
      <c r="AR1294" s="2"/>
      <c r="AS1294" s="2"/>
      <c r="AT1294" s="2"/>
      <c r="AU1294" s="2"/>
      <c r="AV1294" s="2"/>
      <c r="AW1294" s="2"/>
      <c r="AX1294" s="2"/>
      <c r="AY1294" s="2"/>
      <c r="AZ1294" s="5"/>
      <c r="BA1294" s="2"/>
      <c r="BD1294" s="2"/>
      <c r="BE1294" s="2"/>
      <c r="BF1294" s="2"/>
      <c r="BG1294" s="2"/>
      <c r="BH1294" s="2"/>
      <c r="BI1294" s="2"/>
      <c r="BJ1294" s="2"/>
      <c r="BK1294" s="2"/>
      <c r="BM1294" s="2"/>
      <c r="BN1294" s="2"/>
      <c r="BO1294" s="2"/>
      <c r="BP1294" s="2"/>
      <c r="BQ1294" s="2"/>
      <c r="BR1294" s="6"/>
      <c r="BS1294" s="6"/>
      <c r="BT1294" s="2"/>
      <c r="BU1294" s="2"/>
      <c r="BV1294" s="2"/>
      <c r="BW1294" s="2"/>
      <c r="BX1294" s="2"/>
      <c r="BY1294" s="2"/>
      <c r="BZ1294" s="2"/>
      <c r="CA1294" s="2"/>
      <c r="CB1294" s="2"/>
      <c r="CC1294" s="2"/>
      <c r="CD1294" s="3"/>
      <c r="CE1294" s="2"/>
      <c r="CF1294" s="4"/>
      <c r="CG1294" s="4"/>
      <c r="CI1294" s="2"/>
    </row>
    <row r="1295" spans="1:87" s="101" customFormat="1" x14ac:dyDescent="0.35">
      <c r="A1295" s="1"/>
      <c r="C1295" s="1"/>
      <c r="G1295" s="2"/>
      <c r="H1295" s="2"/>
      <c r="I1295" s="2"/>
      <c r="J1295" s="2"/>
      <c r="K1295" s="81"/>
      <c r="L1295" s="4"/>
      <c r="M1295" s="4"/>
      <c r="N1295" s="4"/>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3"/>
      <c r="AP1295" s="2"/>
      <c r="AQ1295" s="2"/>
      <c r="AR1295" s="2"/>
      <c r="AS1295" s="2"/>
      <c r="AT1295" s="2"/>
      <c r="AU1295" s="2"/>
      <c r="AV1295" s="2"/>
      <c r="AW1295" s="2"/>
      <c r="AX1295" s="2"/>
      <c r="AY1295" s="2"/>
      <c r="AZ1295" s="5"/>
      <c r="BA1295" s="2"/>
      <c r="BD1295" s="2"/>
      <c r="BE1295" s="2"/>
      <c r="BF1295" s="2"/>
      <c r="BG1295" s="2"/>
      <c r="BH1295" s="2"/>
      <c r="BI1295" s="2"/>
      <c r="BJ1295" s="2"/>
      <c r="BK1295" s="2"/>
      <c r="BM1295" s="2"/>
      <c r="BN1295" s="2"/>
      <c r="BO1295" s="2"/>
      <c r="BP1295" s="2"/>
      <c r="BQ1295" s="2"/>
      <c r="BR1295" s="6"/>
      <c r="BS1295" s="6"/>
      <c r="BT1295" s="2"/>
      <c r="BU1295" s="2"/>
      <c r="BV1295" s="2"/>
      <c r="BW1295" s="2"/>
      <c r="BX1295" s="2"/>
      <c r="BY1295" s="2"/>
      <c r="BZ1295" s="2"/>
      <c r="CA1295" s="2"/>
      <c r="CB1295" s="2"/>
      <c r="CC1295" s="2"/>
      <c r="CD1295" s="3"/>
      <c r="CE1295" s="2"/>
      <c r="CF1295" s="4"/>
      <c r="CG1295" s="4"/>
      <c r="CI1295" s="2"/>
    </row>
    <row r="1296" spans="1:87" s="101" customFormat="1" x14ac:dyDescent="0.35">
      <c r="A1296" s="1"/>
      <c r="C1296" s="1"/>
      <c r="G1296" s="2"/>
      <c r="H1296" s="2"/>
      <c r="I1296" s="2"/>
      <c r="J1296" s="2"/>
      <c r="K1296" s="81"/>
      <c r="L1296" s="4"/>
      <c r="M1296" s="4"/>
      <c r="N1296" s="4"/>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3"/>
      <c r="AP1296" s="2"/>
      <c r="AQ1296" s="2"/>
      <c r="AR1296" s="2"/>
      <c r="AS1296" s="2"/>
      <c r="AT1296" s="2"/>
      <c r="AU1296" s="2"/>
      <c r="AV1296" s="2"/>
      <c r="AW1296" s="2"/>
      <c r="AX1296" s="2"/>
      <c r="AY1296" s="2"/>
      <c r="AZ1296" s="5"/>
      <c r="BA1296" s="2"/>
      <c r="BD1296" s="2"/>
      <c r="BE1296" s="2"/>
      <c r="BF1296" s="2"/>
      <c r="BG1296" s="2"/>
      <c r="BH1296" s="2"/>
      <c r="BI1296" s="2"/>
      <c r="BJ1296" s="2"/>
      <c r="BK1296" s="2"/>
      <c r="BM1296" s="2"/>
      <c r="BN1296" s="2"/>
      <c r="BO1296" s="2"/>
      <c r="BP1296" s="2"/>
      <c r="BQ1296" s="2"/>
      <c r="BR1296" s="6"/>
      <c r="BS1296" s="6"/>
      <c r="BT1296" s="2"/>
      <c r="BU1296" s="2"/>
      <c r="BV1296" s="2"/>
      <c r="BW1296" s="2"/>
      <c r="BX1296" s="2"/>
      <c r="BY1296" s="2"/>
      <c r="BZ1296" s="2"/>
      <c r="CA1296" s="2"/>
      <c r="CB1296" s="2"/>
      <c r="CC1296" s="2"/>
      <c r="CD1296" s="3"/>
      <c r="CE1296" s="2"/>
      <c r="CF1296" s="4"/>
      <c r="CG1296" s="4"/>
      <c r="CI1296" s="2"/>
    </row>
    <row r="1297" spans="1:87" s="101" customFormat="1" x14ac:dyDescent="0.35">
      <c r="A1297" s="1"/>
      <c r="C1297" s="1"/>
      <c r="G1297" s="2"/>
      <c r="H1297" s="2"/>
      <c r="I1297" s="2"/>
      <c r="J1297" s="2"/>
      <c r="K1297" s="81"/>
      <c r="L1297" s="4"/>
      <c r="M1297" s="4"/>
      <c r="N1297" s="4"/>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3"/>
      <c r="AP1297" s="2"/>
      <c r="AQ1297" s="2"/>
      <c r="AR1297" s="2"/>
      <c r="AS1297" s="2"/>
      <c r="AT1297" s="2"/>
      <c r="AU1297" s="2"/>
      <c r="AV1297" s="2"/>
      <c r="AW1297" s="2"/>
      <c r="AX1297" s="2"/>
      <c r="AY1297" s="2"/>
      <c r="AZ1297" s="5"/>
      <c r="BA1297" s="2"/>
      <c r="BD1297" s="2"/>
      <c r="BE1297" s="2"/>
      <c r="BF1297" s="2"/>
      <c r="BG1297" s="2"/>
      <c r="BH1297" s="2"/>
      <c r="BI1297" s="2"/>
      <c r="BJ1297" s="2"/>
      <c r="BK1297" s="2"/>
      <c r="BM1297" s="2"/>
      <c r="BN1297" s="2"/>
      <c r="BO1297" s="2"/>
      <c r="BP1297" s="2"/>
      <c r="BQ1297" s="2"/>
      <c r="BR1297" s="6"/>
      <c r="BS1297" s="6"/>
      <c r="BT1297" s="2"/>
      <c r="BU1297" s="2"/>
      <c r="BV1297" s="2"/>
      <c r="BW1297" s="2"/>
      <c r="BX1297" s="2"/>
      <c r="BY1297" s="2"/>
      <c r="BZ1297" s="2"/>
      <c r="CA1297" s="2"/>
      <c r="CB1297" s="2"/>
      <c r="CC1297" s="2"/>
      <c r="CD1297" s="3"/>
      <c r="CE1297" s="2"/>
      <c r="CF1297" s="4"/>
      <c r="CG1297" s="4"/>
      <c r="CI1297" s="2"/>
    </row>
    <row r="1298" spans="1:87" s="101" customFormat="1" x14ac:dyDescent="0.35">
      <c r="A1298" s="1"/>
      <c r="C1298" s="1"/>
      <c r="G1298" s="2"/>
      <c r="H1298" s="2"/>
      <c r="I1298" s="2"/>
      <c r="J1298" s="2"/>
      <c r="K1298" s="81"/>
      <c r="L1298" s="4"/>
      <c r="M1298" s="4"/>
      <c r="N1298" s="4"/>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3"/>
      <c r="AP1298" s="2"/>
      <c r="AQ1298" s="2"/>
      <c r="AR1298" s="2"/>
      <c r="AS1298" s="2"/>
      <c r="AT1298" s="2"/>
      <c r="AU1298" s="2"/>
      <c r="AV1298" s="2"/>
      <c r="AW1298" s="2"/>
      <c r="AX1298" s="2"/>
      <c r="AY1298" s="2"/>
      <c r="AZ1298" s="5"/>
      <c r="BA1298" s="2"/>
      <c r="BD1298" s="2"/>
      <c r="BE1298" s="2"/>
      <c r="BF1298" s="2"/>
      <c r="BG1298" s="2"/>
      <c r="BH1298" s="2"/>
      <c r="BI1298" s="2"/>
      <c r="BJ1298" s="2"/>
      <c r="BK1298" s="2"/>
      <c r="BM1298" s="2"/>
      <c r="BN1298" s="2"/>
      <c r="BO1298" s="2"/>
      <c r="BP1298" s="2"/>
      <c r="BQ1298" s="2"/>
      <c r="BR1298" s="6"/>
      <c r="BS1298" s="6"/>
      <c r="BT1298" s="2"/>
      <c r="BU1298" s="2"/>
      <c r="BV1298" s="2"/>
      <c r="BW1298" s="2"/>
      <c r="BX1298" s="2"/>
      <c r="BY1298" s="2"/>
      <c r="BZ1298" s="2"/>
      <c r="CA1298" s="2"/>
      <c r="CB1298" s="2"/>
      <c r="CC1298" s="2"/>
      <c r="CD1298" s="3"/>
      <c r="CE1298" s="2"/>
      <c r="CF1298" s="4"/>
      <c r="CG1298" s="4"/>
      <c r="CI1298" s="2"/>
    </row>
    <row r="1299" spans="1:87" s="101" customFormat="1" x14ac:dyDescent="0.35">
      <c r="A1299" s="1"/>
      <c r="C1299" s="1"/>
      <c r="G1299" s="2"/>
      <c r="H1299" s="2"/>
      <c r="I1299" s="2"/>
      <c r="J1299" s="2"/>
      <c r="K1299" s="81"/>
      <c r="L1299" s="4"/>
      <c r="M1299" s="4"/>
      <c r="N1299" s="4"/>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3"/>
      <c r="AP1299" s="2"/>
      <c r="AQ1299" s="2"/>
      <c r="AR1299" s="2"/>
      <c r="AS1299" s="2"/>
      <c r="AT1299" s="2"/>
      <c r="AU1299" s="2"/>
      <c r="AV1299" s="2"/>
      <c r="AW1299" s="2"/>
      <c r="AX1299" s="2"/>
      <c r="AY1299" s="2"/>
      <c r="AZ1299" s="5"/>
      <c r="BA1299" s="2"/>
      <c r="BD1299" s="2"/>
      <c r="BE1299" s="2"/>
      <c r="BF1299" s="2"/>
      <c r="BG1299" s="2"/>
      <c r="BH1299" s="2"/>
      <c r="BI1299" s="2"/>
      <c r="BJ1299" s="2"/>
      <c r="BK1299" s="2"/>
      <c r="BM1299" s="2"/>
      <c r="BN1299" s="2"/>
      <c r="BO1299" s="2"/>
      <c r="BP1299" s="2"/>
      <c r="BQ1299" s="2"/>
      <c r="BR1299" s="6"/>
      <c r="BS1299" s="6"/>
      <c r="BT1299" s="2"/>
      <c r="BU1299" s="2"/>
      <c r="BV1299" s="2"/>
      <c r="BW1299" s="2"/>
      <c r="BX1299" s="2"/>
      <c r="BY1299" s="2"/>
      <c r="BZ1299" s="2"/>
      <c r="CA1299" s="2"/>
      <c r="CB1299" s="2"/>
      <c r="CC1299" s="2"/>
      <c r="CD1299" s="3"/>
      <c r="CE1299" s="2"/>
      <c r="CF1299" s="4"/>
      <c r="CG1299" s="4"/>
      <c r="CI1299" s="2"/>
    </row>
    <row r="1300" spans="1:87" s="101" customFormat="1" x14ac:dyDescent="0.35">
      <c r="A1300" s="1"/>
      <c r="C1300" s="1"/>
      <c r="G1300" s="2"/>
      <c r="H1300" s="2"/>
      <c r="I1300" s="2"/>
      <c r="J1300" s="2"/>
      <c r="K1300" s="81"/>
      <c r="L1300" s="4"/>
      <c r="M1300" s="4"/>
      <c r="N1300" s="4"/>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3"/>
      <c r="AP1300" s="2"/>
      <c r="AQ1300" s="2"/>
      <c r="AR1300" s="2"/>
      <c r="AS1300" s="2"/>
      <c r="AT1300" s="2"/>
      <c r="AU1300" s="2"/>
      <c r="AV1300" s="2"/>
      <c r="AW1300" s="2"/>
      <c r="AX1300" s="2"/>
      <c r="AY1300" s="2"/>
      <c r="AZ1300" s="5"/>
      <c r="BA1300" s="2"/>
      <c r="BD1300" s="2"/>
      <c r="BE1300" s="2"/>
      <c r="BF1300" s="2"/>
      <c r="BG1300" s="2"/>
      <c r="BH1300" s="2"/>
      <c r="BI1300" s="2"/>
      <c r="BJ1300" s="2"/>
      <c r="BK1300" s="2"/>
      <c r="BM1300" s="2"/>
      <c r="BN1300" s="2"/>
      <c r="BO1300" s="2"/>
      <c r="BP1300" s="2"/>
      <c r="BQ1300" s="2"/>
      <c r="BR1300" s="6"/>
      <c r="BS1300" s="6"/>
      <c r="BT1300" s="2"/>
      <c r="BU1300" s="2"/>
      <c r="BV1300" s="2"/>
      <c r="BW1300" s="2"/>
      <c r="BX1300" s="2"/>
      <c r="BY1300" s="2"/>
      <c r="BZ1300" s="2"/>
      <c r="CA1300" s="2"/>
      <c r="CB1300" s="2"/>
      <c r="CC1300" s="2"/>
      <c r="CD1300" s="3"/>
      <c r="CE1300" s="2"/>
      <c r="CF1300" s="4"/>
      <c r="CG1300" s="4"/>
      <c r="CI1300" s="2"/>
    </row>
    <row r="1301" spans="1:87" s="101" customFormat="1" x14ac:dyDescent="0.35">
      <c r="A1301" s="1"/>
      <c r="C1301" s="1"/>
      <c r="G1301" s="2"/>
      <c r="H1301" s="2"/>
      <c r="I1301" s="2"/>
      <c r="J1301" s="2"/>
      <c r="K1301" s="81"/>
      <c r="L1301" s="4"/>
      <c r="M1301" s="4"/>
      <c r="N1301" s="4"/>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3"/>
      <c r="AP1301" s="2"/>
      <c r="AQ1301" s="2"/>
      <c r="AR1301" s="2"/>
      <c r="AS1301" s="2"/>
      <c r="AT1301" s="2"/>
      <c r="AU1301" s="2"/>
      <c r="AV1301" s="2"/>
      <c r="AW1301" s="2"/>
      <c r="AX1301" s="2"/>
      <c r="AY1301" s="2"/>
      <c r="AZ1301" s="5"/>
      <c r="BA1301" s="2"/>
      <c r="BD1301" s="2"/>
      <c r="BE1301" s="2"/>
      <c r="BF1301" s="2"/>
      <c r="BG1301" s="2"/>
      <c r="BH1301" s="2"/>
      <c r="BI1301" s="2"/>
      <c r="BJ1301" s="2"/>
      <c r="BK1301" s="2"/>
      <c r="BM1301" s="2"/>
      <c r="BN1301" s="2"/>
      <c r="BO1301" s="2"/>
      <c r="BP1301" s="2"/>
      <c r="BQ1301" s="2"/>
      <c r="BR1301" s="6"/>
      <c r="BS1301" s="6"/>
      <c r="BT1301" s="2"/>
      <c r="BU1301" s="2"/>
      <c r="BV1301" s="2"/>
      <c r="BW1301" s="2"/>
      <c r="BX1301" s="2"/>
      <c r="BY1301" s="2"/>
      <c r="BZ1301" s="2"/>
      <c r="CA1301" s="2"/>
      <c r="CB1301" s="2"/>
      <c r="CC1301" s="2"/>
      <c r="CD1301" s="3"/>
      <c r="CE1301" s="2"/>
      <c r="CF1301" s="4"/>
      <c r="CG1301" s="4"/>
      <c r="CI1301" s="2"/>
    </row>
    <row r="1302" spans="1:87" s="101" customFormat="1" x14ac:dyDescent="0.35">
      <c r="A1302" s="1"/>
      <c r="C1302" s="1"/>
      <c r="G1302" s="2"/>
      <c r="H1302" s="2"/>
      <c r="I1302" s="2"/>
      <c r="J1302" s="2"/>
      <c r="K1302" s="81"/>
      <c r="L1302" s="4"/>
      <c r="M1302" s="4"/>
      <c r="N1302" s="4"/>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3"/>
      <c r="AP1302" s="2"/>
      <c r="AQ1302" s="2"/>
      <c r="AR1302" s="2"/>
      <c r="AS1302" s="2"/>
      <c r="AT1302" s="2"/>
      <c r="AU1302" s="2"/>
      <c r="AV1302" s="2"/>
      <c r="AW1302" s="2"/>
      <c r="AX1302" s="2"/>
      <c r="AY1302" s="2"/>
      <c r="AZ1302" s="5"/>
      <c r="BA1302" s="2"/>
      <c r="BD1302" s="2"/>
      <c r="BE1302" s="2"/>
      <c r="BF1302" s="2"/>
      <c r="BG1302" s="2"/>
      <c r="BH1302" s="2"/>
      <c r="BI1302" s="2"/>
      <c r="BJ1302" s="2"/>
      <c r="BK1302" s="2"/>
      <c r="BM1302" s="2"/>
      <c r="BN1302" s="2"/>
      <c r="BO1302" s="2"/>
      <c r="BP1302" s="2"/>
      <c r="BQ1302" s="2"/>
      <c r="BR1302" s="6"/>
      <c r="BS1302" s="6"/>
      <c r="BT1302" s="2"/>
      <c r="BU1302" s="2"/>
      <c r="BV1302" s="2"/>
      <c r="BW1302" s="2"/>
      <c r="BX1302" s="2"/>
      <c r="BY1302" s="2"/>
      <c r="BZ1302" s="2"/>
      <c r="CA1302" s="2"/>
      <c r="CB1302" s="2"/>
      <c r="CC1302" s="2"/>
      <c r="CD1302" s="3"/>
      <c r="CE1302" s="2"/>
      <c r="CF1302" s="4"/>
      <c r="CG1302" s="4"/>
      <c r="CI1302" s="2"/>
    </row>
    <row r="1303" spans="1:87" s="101" customFormat="1" x14ac:dyDescent="0.35">
      <c r="A1303" s="1"/>
      <c r="C1303" s="1"/>
      <c r="G1303" s="2"/>
      <c r="H1303" s="2"/>
      <c r="I1303" s="2"/>
      <c r="J1303" s="2"/>
      <c r="K1303" s="81"/>
      <c r="L1303" s="4"/>
      <c r="M1303" s="4"/>
      <c r="N1303" s="4"/>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3"/>
      <c r="AP1303" s="2"/>
      <c r="AQ1303" s="2"/>
      <c r="AR1303" s="2"/>
      <c r="AS1303" s="2"/>
      <c r="AT1303" s="2"/>
      <c r="AU1303" s="2"/>
      <c r="AV1303" s="2"/>
      <c r="AW1303" s="2"/>
      <c r="AX1303" s="2"/>
      <c r="AY1303" s="2"/>
      <c r="AZ1303" s="5"/>
      <c r="BA1303" s="2"/>
      <c r="BD1303" s="2"/>
      <c r="BE1303" s="2"/>
      <c r="BF1303" s="2"/>
      <c r="BG1303" s="2"/>
      <c r="BH1303" s="2"/>
      <c r="BI1303" s="2"/>
      <c r="BJ1303" s="2"/>
      <c r="BK1303" s="2"/>
      <c r="BM1303" s="2"/>
      <c r="BN1303" s="2"/>
      <c r="BO1303" s="2"/>
      <c r="BP1303" s="2"/>
      <c r="BQ1303" s="2"/>
      <c r="BR1303" s="6"/>
      <c r="BS1303" s="6"/>
      <c r="BT1303" s="2"/>
      <c r="BU1303" s="2"/>
      <c r="BV1303" s="2"/>
      <c r="BW1303" s="2"/>
      <c r="BX1303" s="2"/>
      <c r="BY1303" s="2"/>
      <c r="BZ1303" s="2"/>
      <c r="CA1303" s="2"/>
      <c r="CB1303" s="2"/>
      <c r="CC1303" s="2"/>
      <c r="CD1303" s="3"/>
      <c r="CE1303" s="2"/>
      <c r="CF1303" s="4"/>
      <c r="CG1303" s="4"/>
      <c r="CI1303" s="2"/>
    </row>
    <row r="1304" spans="1:87" s="101" customFormat="1" x14ac:dyDescent="0.35">
      <c r="A1304" s="1"/>
      <c r="C1304" s="1"/>
      <c r="G1304" s="2"/>
      <c r="H1304" s="2"/>
      <c r="I1304" s="2"/>
      <c r="J1304" s="2"/>
      <c r="K1304" s="81"/>
      <c r="L1304" s="4"/>
      <c r="M1304" s="4"/>
      <c r="N1304" s="4"/>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3"/>
      <c r="AP1304" s="2"/>
      <c r="AQ1304" s="2"/>
      <c r="AR1304" s="2"/>
      <c r="AS1304" s="2"/>
      <c r="AT1304" s="2"/>
      <c r="AU1304" s="2"/>
      <c r="AV1304" s="2"/>
      <c r="AW1304" s="2"/>
      <c r="AX1304" s="2"/>
      <c r="AY1304" s="2"/>
      <c r="AZ1304" s="5"/>
      <c r="BA1304" s="2"/>
      <c r="BD1304" s="2"/>
      <c r="BE1304" s="2"/>
      <c r="BF1304" s="2"/>
      <c r="BG1304" s="2"/>
      <c r="BH1304" s="2"/>
      <c r="BI1304" s="2"/>
      <c r="BJ1304" s="2"/>
      <c r="BK1304" s="2"/>
      <c r="BM1304" s="2"/>
      <c r="BN1304" s="2"/>
      <c r="BO1304" s="2"/>
      <c r="BP1304" s="2"/>
      <c r="BQ1304" s="2"/>
      <c r="BR1304" s="6"/>
      <c r="BS1304" s="6"/>
      <c r="BT1304" s="2"/>
      <c r="BU1304" s="2"/>
      <c r="BV1304" s="2"/>
      <c r="BW1304" s="2"/>
      <c r="BX1304" s="2"/>
      <c r="BY1304" s="2"/>
      <c r="BZ1304" s="2"/>
      <c r="CA1304" s="2"/>
      <c r="CB1304" s="2"/>
      <c r="CC1304" s="2"/>
      <c r="CD1304" s="3"/>
      <c r="CE1304" s="2"/>
      <c r="CF1304" s="4"/>
      <c r="CG1304" s="4"/>
      <c r="CI1304" s="2"/>
    </row>
    <row r="1305" spans="1:87" s="101" customFormat="1" x14ac:dyDescent="0.35">
      <c r="A1305" s="1"/>
      <c r="C1305" s="1"/>
      <c r="G1305" s="2"/>
      <c r="H1305" s="2"/>
      <c r="I1305" s="2"/>
      <c r="J1305" s="2"/>
      <c r="K1305" s="81"/>
      <c r="L1305" s="4"/>
      <c r="M1305" s="4"/>
      <c r="N1305" s="4"/>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3"/>
      <c r="AP1305" s="2"/>
      <c r="AQ1305" s="2"/>
      <c r="AR1305" s="2"/>
      <c r="AS1305" s="2"/>
      <c r="AT1305" s="2"/>
      <c r="AU1305" s="2"/>
      <c r="AV1305" s="2"/>
      <c r="AW1305" s="2"/>
      <c r="AX1305" s="2"/>
      <c r="AY1305" s="2"/>
      <c r="AZ1305" s="5"/>
      <c r="BA1305" s="2"/>
      <c r="BD1305" s="2"/>
      <c r="BE1305" s="2"/>
      <c r="BF1305" s="2"/>
      <c r="BG1305" s="2"/>
      <c r="BH1305" s="2"/>
      <c r="BI1305" s="2"/>
      <c r="BJ1305" s="2"/>
      <c r="BK1305" s="2"/>
      <c r="BM1305" s="2"/>
      <c r="BN1305" s="2"/>
      <c r="BO1305" s="2"/>
      <c r="BP1305" s="2"/>
      <c r="BQ1305" s="2"/>
      <c r="BR1305" s="6"/>
      <c r="BS1305" s="6"/>
      <c r="BT1305" s="2"/>
      <c r="BU1305" s="2"/>
      <c r="BV1305" s="2"/>
      <c r="BW1305" s="2"/>
      <c r="BX1305" s="2"/>
      <c r="BY1305" s="2"/>
      <c r="BZ1305" s="2"/>
      <c r="CA1305" s="2"/>
      <c r="CB1305" s="2"/>
      <c r="CC1305" s="2"/>
      <c r="CD1305" s="3"/>
      <c r="CE1305" s="2"/>
      <c r="CF1305" s="4"/>
      <c r="CG1305" s="4"/>
      <c r="CI1305" s="2"/>
    </row>
    <row r="1306" spans="1:87" s="101" customFormat="1" x14ac:dyDescent="0.35">
      <c r="A1306" s="1"/>
      <c r="C1306" s="1"/>
      <c r="G1306" s="2"/>
      <c r="H1306" s="2"/>
      <c r="I1306" s="2"/>
      <c r="J1306" s="2"/>
      <c r="K1306" s="81"/>
      <c r="L1306" s="4"/>
      <c r="M1306" s="4"/>
      <c r="N1306" s="4"/>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3"/>
      <c r="AP1306" s="2"/>
      <c r="AQ1306" s="2"/>
      <c r="AR1306" s="2"/>
      <c r="AS1306" s="2"/>
      <c r="AT1306" s="2"/>
      <c r="AU1306" s="2"/>
      <c r="AV1306" s="2"/>
      <c r="AW1306" s="2"/>
      <c r="AX1306" s="2"/>
      <c r="AY1306" s="2"/>
      <c r="AZ1306" s="5"/>
      <c r="BA1306" s="2"/>
      <c r="BD1306" s="2"/>
      <c r="BE1306" s="2"/>
      <c r="BF1306" s="2"/>
      <c r="BG1306" s="2"/>
      <c r="BH1306" s="2"/>
      <c r="BI1306" s="2"/>
      <c r="BJ1306" s="2"/>
      <c r="BK1306" s="2"/>
      <c r="BM1306" s="2"/>
      <c r="BN1306" s="2"/>
      <c r="BO1306" s="2"/>
      <c r="BP1306" s="2"/>
      <c r="BQ1306" s="2"/>
      <c r="BR1306" s="6"/>
      <c r="BS1306" s="6"/>
      <c r="BT1306" s="2"/>
      <c r="BU1306" s="2"/>
      <c r="BV1306" s="2"/>
      <c r="BW1306" s="2"/>
      <c r="BX1306" s="2"/>
      <c r="BY1306" s="2"/>
      <c r="BZ1306" s="2"/>
      <c r="CA1306" s="2"/>
      <c r="CB1306" s="2"/>
      <c r="CC1306" s="2"/>
      <c r="CD1306" s="3"/>
      <c r="CE1306" s="2"/>
      <c r="CF1306" s="4"/>
      <c r="CG1306" s="4"/>
      <c r="CI1306" s="2"/>
    </row>
    <row r="1307" spans="1:87" s="101" customFormat="1" x14ac:dyDescent="0.35">
      <c r="A1307" s="1"/>
      <c r="C1307" s="1"/>
      <c r="G1307" s="2"/>
      <c r="H1307" s="2"/>
      <c r="I1307" s="2"/>
      <c r="J1307" s="2"/>
      <c r="K1307" s="81"/>
      <c r="L1307" s="4"/>
      <c r="M1307" s="4"/>
      <c r="N1307" s="4"/>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3"/>
      <c r="AP1307" s="2"/>
      <c r="AQ1307" s="2"/>
      <c r="AR1307" s="2"/>
      <c r="AS1307" s="2"/>
      <c r="AT1307" s="2"/>
      <c r="AU1307" s="2"/>
      <c r="AV1307" s="2"/>
      <c r="AW1307" s="2"/>
      <c r="AX1307" s="2"/>
      <c r="AY1307" s="2"/>
      <c r="AZ1307" s="5"/>
      <c r="BA1307" s="2"/>
      <c r="BD1307" s="2"/>
      <c r="BE1307" s="2"/>
      <c r="BF1307" s="2"/>
      <c r="BG1307" s="2"/>
      <c r="BH1307" s="2"/>
      <c r="BI1307" s="2"/>
      <c r="BJ1307" s="2"/>
      <c r="BK1307" s="2"/>
      <c r="BM1307" s="2"/>
      <c r="BN1307" s="2"/>
      <c r="BO1307" s="2"/>
      <c r="BP1307" s="2"/>
      <c r="BQ1307" s="2"/>
      <c r="BR1307" s="6"/>
      <c r="BS1307" s="6"/>
      <c r="BT1307" s="2"/>
      <c r="BU1307" s="2"/>
      <c r="BV1307" s="2"/>
      <c r="BW1307" s="2"/>
      <c r="BX1307" s="2"/>
      <c r="BY1307" s="2"/>
      <c r="BZ1307" s="2"/>
      <c r="CA1307" s="2"/>
      <c r="CB1307" s="2"/>
      <c r="CC1307" s="2"/>
      <c r="CD1307" s="3"/>
      <c r="CE1307" s="2"/>
      <c r="CF1307" s="4"/>
      <c r="CG1307" s="4"/>
      <c r="CI1307" s="2"/>
    </row>
    <row r="1308" spans="1:87" s="101" customFormat="1" x14ac:dyDescent="0.35">
      <c r="A1308" s="1"/>
      <c r="C1308" s="1"/>
      <c r="G1308" s="2"/>
      <c r="H1308" s="2"/>
      <c r="I1308" s="2"/>
      <c r="J1308" s="2"/>
      <c r="K1308" s="81"/>
      <c r="L1308" s="4"/>
      <c r="M1308" s="4"/>
      <c r="N1308" s="4"/>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3"/>
      <c r="AP1308" s="2"/>
      <c r="AQ1308" s="2"/>
      <c r="AR1308" s="2"/>
      <c r="AS1308" s="2"/>
      <c r="AT1308" s="2"/>
      <c r="AU1308" s="2"/>
      <c r="AV1308" s="2"/>
      <c r="AW1308" s="2"/>
      <c r="AX1308" s="2"/>
      <c r="AY1308" s="2"/>
      <c r="AZ1308" s="5"/>
      <c r="BA1308" s="2"/>
      <c r="BD1308" s="2"/>
      <c r="BE1308" s="2"/>
      <c r="BF1308" s="2"/>
      <c r="BG1308" s="2"/>
      <c r="BH1308" s="2"/>
      <c r="BI1308" s="2"/>
      <c r="BJ1308" s="2"/>
      <c r="BK1308" s="2"/>
      <c r="BM1308" s="2"/>
      <c r="BN1308" s="2"/>
      <c r="BO1308" s="2"/>
      <c r="BP1308" s="2"/>
      <c r="BQ1308" s="2"/>
      <c r="BR1308" s="6"/>
      <c r="BS1308" s="6"/>
      <c r="BT1308" s="2"/>
      <c r="BU1308" s="2"/>
      <c r="BV1308" s="2"/>
      <c r="BW1308" s="2"/>
      <c r="BX1308" s="2"/>
      <c r="BY1308" s="2"/>
      <c r="BZ1308" s="2"/>
      <c r="CA1308" s="2"/>
      <c r="CB1308" s="2"/>
      <c r="CC1308" s="2"/>
      <c r="CD1308" s="3"/>
      <c r="CE1308" s="2"/>
      <c r="CF1308" s="4"/>
      <c r="CG1308" s="4"/>
      <c r="CI1308" s="2"/>
    </row>
    <row r="1309" spans="1:87" s="101" customFormat="1" x14ac:dyDescent="0.35">
      <c r="A1309" s="1"/>
      <c r="C1309" s="1"/>
      <c r="G1309" s="2"/>
      <c r="H1309" s="2"/>
      <c r="I1309" s="2"/>
      <c r="J1309" s="2"/>
      <c r="K1309" s="81"/>
      <c r="L1309" s="4"/>
      <c r="M1309" s="4"/>
      <c r="N1309" s="4"/>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3"/>
      <c r="AP1309" s="2"/>
      <c r="AQ1309" s="2"/>
      <c r="AR1309" s="2"/>
      <c r="AS1309" s="2"/>
      <c r="AT1309" s="2"/>
      <c r="AU1309" s="2"/>
      <c r="AV1309" s="2"/>
      <c r="AW1309" s="2"/>
      <c r="AX1309" s="2"/>
      <c r="AY1309" s="2"/>
      <c r="AZ1309" s="5"/>
      <c r="BA1309" s="2"/>
      <c r="BD1309" s="2"/>
      <c r="BE1309" s="2"/>
      <c r="BF1309" s="2"/>
      <c r="BG1309" s="2"/>
      <c r="BH1309" s="2"/>
      <c r="BI1309" s="2"/>
      <c r="BJ1309" s="2"/>
      <c r="BK1309" s="2"/>
      <c r="BM1309" s="2"/>
      <c r="BN1309" s="2"/>
      <c r="BO1309" s="2"/>
      <c r="BP1309" s="2"/>
      <c r="BQ1309" s="2"/>
      <c r="BR1309" s="6"/>
      <c r="BS1309" s="6"/>
      <c r="BT1309" s="2"/>
      <c r="BU1309" s="2"/>
      <c r="BV1309" s="2"/>
      <c r="BW1309" s="2"/>
      <c r="BX1309" s="2"/>
      <c r="BY1309" s="2"/>
      <c r="BZ1309" s="2"/>
      <c r="CA1309" s="2"/>
      <c r="CB1309" s="2"/>
      <c r="CC1309" s="2"/>
      <c r="CD1309" s="3"/>
      <c r="CE1309" s="2"/>
      <c r="CF1309" s="4"/>
      <c r="CG1309" s="4"/>
      <c r="CI1309" s="2"/>
    </row>
    <row r="1310" spans="1:87" s="101" customFormat="1" x14ac:dyDescent="0.35">
      <c r="A1310" s="1"/>
      <c r="C1310" s="1"/>
      <c r="G1310" s="2"/>
      <c r="H1310" s="2"/>
      <c r="I1310" s="2"/>
      <c r="J1310" s="2"/>
      <c r="K1310" s="81"/>
      <c r="L1310" s="4"/>
      <c r="M1310" s="4"/>
      <c r="N1310" s="4"/>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3"/>
      <c r="AP1310" s="2"/>
      <c r="AQ1310" s="2"/>
      <c r="AR1310" s="2"/>
      <c r="AS1310" s="2"/>
      <c r="AT1310" s="2"/>
      <c r="AU1310" s="2"/>
      <c r="AV1310" s="2"/>
      <c r="AW1310" s="2"/>
      <c r="AX1310" s="2"/>
      <c r="AY1310" s="2"/>
      <c r="AZ1310" s="5"/>
      <c r="BA1310" s="2"/>
      <c r="BD1310" s="2"/>
      <c r="BE1310" s="2"/>
      <c r="BF1310" s="2"/>
      <c r="BG1310" s="2"/>
      <c r="BH1310" s="2"/>
      <c r="BI1310" s="2"/>
      <c r="BJ1310" s="2"/>
      <c r="BK1310" s="2"/>
      <c r="BM1310" s="2"/>
      <c r="BN1310" s="2"/>
      <c r="BO1310" s="2"/>
      <c r="BP1310" s="2"/>
      <c r="BQ1310" s="2"/>
      <c r="BR1310" s="6"/>
      <c r="BS1310" s="6"/>
      <c r="BT1310" s="2"/>
      <c r="BU1310" s="2"/>
      <c r="BV1310" s="2"/>
      <c r="BW1310" s="2"/>
      <c r="BX1310" s="2"/>
      <c r="BY1310" s="2"/>
      <c r="BZ1310" s="2"/>
      <c r="CA1310" s="2"/>
      <c r="CB1310" s="2"/>
      <c r="CC1310" s="2"/>
      <c r="CD1310" s="3"/>
      <c r="CE1310" s="2"/>
      <c r="CF1310" s="4"/>
      <c r="CG1310" s="4"/>
      <c r="CI1310" s="2"/>
    </row>
    <row r="1311" spans="1:87" s="101" customFormat="1" x14ac:dyDescent="0.35">
      <c r="A1311" s="1"/>
      <c r="C1311" s="1"/>
      <c r="G1311" s="2"/>
      <c r="H1311" s="2"/>
      <c r="I1311" s="2"/>
      <c r="J1311" s="2"/>
      <c r="K1311" s="81"/>
      <c r="L1311" s="4"/>
      <c r="M1311" s="4"/>
      <c r="N1311" s="4"/>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3"/>
      <c r="AP1311" s="2"/>
      <c r="AQ1311" s="2"/>
      <c r="AR1311" s="2"/>
      <c r="AS1311" s="2"/>
      <c r="AT1311" s="2"/>
      <c r="AU1311" s="2"/>
      <c r="AV1311" s="2"/>
      <c r="AW1311" s="2"/>
      <c r="AX1311" s="2"/>
      <c r="AY1311" s="2"/>
      <c r="AZ1311" s="5"/>
      <c r="BA1311" s="2"/>
      <c r="BD1311" s="2"/>
      <c r="BE1311" s="2"/>
      <c r="BF1311" s="2"/>
      <c r="BG1311" s="2"/>
      <c r="BH1311" s="2"/>
      <c r="BI1311" s="2"/>
      <c r="BJ1311" s="2"/>
      <c r="BK1311" s="2"/>
      <c r="BM1311" s="2"/>
      <c r="BN1311" s="2"/>
      <c r="BO1311" s="2"/>
      <c r="BP1311" s="2"/>
      <c r="BQ1311" s="2"/>
      <c r="BR1311" s="6"/>
      <c r="BS1311" s="6"/>
      <c r="BT1311" s="2"/>
      <c r="BU1311" s="2"/>
      <c r="BV1311" s="2"/>
      <c r="BW1311" s="2"/>
      <c r="BX1311" s="2"/>
      <c r="BY1311" s="2"/>
      <c r="BZ1311" s="2"/>
      <c r="CA1311" s="2"/>
      <c r="CB1311" s="2"/>
      <c r="CC1311" s="2"/>
      <c r="CD1311" s="3"/>
      <c r="CE1311" s="2"/>
      <c r="CF1311" s="4"/>
      <c r="CG1311" s="4"/>
      <c r="CI1311" s="2"/>
    </row>
    <row r="1312" spans="1:87" s="101" customFormat="1" x14ac:dyDescent="0.35">
      <c r="A1312" s="1"/>
      <c r="C1312" s="1"/>
      <c r="G1312" s="2"/>
      <c r="H1312" s="2"/>
      <c r="I1312" s="2"/>
      <c r="J1312" s="2"/>
      <c r="K1312" s="81"/>
      <c r="L1312" s="4"/>
      <c r="M1312" s="4"/>
      <c r="N1312" s="4"/>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3"/>
      <c r="AP1312" s="2"/>
      <c r="AQ1312" s="2"/>
      <c r="AR1312" s="2"/>
      <c r="AS1312" s="2"/>
      <c r="AT1312" s="2"/>
      <c r="AU1312" s="2"/>
      <c r="AV1312" s="2"/>
      <c r="AW1312" s="2"/>
      <c r="AX1312" s="2"/>
      <c r="AY1312" s="2"/>
      <c r="AZ1312" s="5"/>
      <c r="BA1312" s="2"/>
      <c r="BD1312" s="2"/>
      <c r="BE1312" s="2"/>
      <c r="BF1312" s="2"/>
      <c r="BG1312" s="2"/>
      <c r="BH1312" s="2"/>
      <c r="BI1312" s="2"/>
      <c r="BJ1312" s="2"/>
      <c r="BK1312" s="2"/>
      <c r="BM1312" s="2"/>
      <c r="BN1312" s="2"/>
      <c r="BO1312" s="2"/>
      <c r="BP1312" s="2"/>
      <c r="BQ1312" s="2"/>
      <c r="BR1312" s="6"/>
      <c r="BS1312" s="6"/>
      <c r="BT1312" s="2"/>
      <c r="BU1312" s="2"/>
      <c r="BV1312" s="2"/>
      <c r="BW1312" s="2"/>
      <c r="BX1312" s="2"/>
      <c r="BY1312" s="2"/>
      <c r="BZ1312" s="2"/>
      <c r="CA1312" s="2"/>
      <c r="CB1312" s="2"/>
      <c r="CC1312" s="2"/>
      <c r="CD1312" s="3"/>
      <c r="CE1312" s="2"/>
      <c r="CF1312" s="4"/>
      <c r="CG1312" s="4"/>
      <c r="CI1312" s="2"/>
    </row>
    <row r="1313" spans="1:87" s="101" customFormat="1" x14ac:dyDescent="0.35">
      <c r="A1313" s="1"/>
      <c r="C1313" s="1"/>
      <c r="G1313" s="2"/>
      <c r="H1313" s="2"/>
      <c r="I1313" s="2"/>
      <c r="J1313" s="2"/>
      <c r="K1313" s="81"/>
      <c r="L1313" s="4"/>
      <c r="M1313" s="4"/>
      <c r="N1313" s="4"/>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3"/>
      <c r="AP1313" s="2"/>
      <c r="AQ1313" s="2"/>
      <c r="AR1313" s="2"/>
      <c r="AS1313" s="2"/>
      <c r="AT1313" s="2"/>
      <c r="AU1313" s="2"/>
      <c r="AV1313" s="2"/>
      <c r="AW1313" s="2"/>
      <c r="AX1313" s="2"/>
      <c r="AY1313" s="2"/>
      <c r="AZ1313" s="5"/>
      <c r="BA1313" s="2"/>
      <c r="BD1313" s="2"/>
      <c r="BE1313" s="2"/>
      <c r="BF1313" s="2"/>
      <c r="BG1313" s="2"/>
      <c r="BH1313" s="2"/>
      <c r="BI1313" s="2"/>
      <c r="BJ1313" s="2"/>
      <c r="BK1313" s="2"/>
      <c r="BM1313" s="2"/>
      <c r="BN1313" s="2"/>
      <c r="BO1313" s="2"/>
      <c r="BP1313" s="2"/>
      <c r="BQ1313" s="2"/>
      <c r="BR1313" s="6"/>
      <c r="BS1313" s="6"/>
      <c r="BT1313" s="2"/>
      <c r="BU1313" s="2"/>
      <c r="BV1313" s="2"/>
      <c r="BW1313" s="2"/>
      <c r="BX1313" s="2"/>
      <c r="BY1313" s="2"/>
      <c r="BZ1313" s="2"/>
      <c r="CA1313" s="2"/>
      <c r="CB1313" s="2"/>
      <c r="CC1313" s="2"/>
      <c r="CD1313" s="3"/>
      <c r="CE1313" s="2"/>
      <c r="CF1313" s="4"/>
      <c r="CG1313" s="4"/>
      <c r="CI1313" s="2"/>
    </row>
    <row r="1314" spans="1:87" s="101" customFormat="1" x14ac:dyDescent="0.35">
      <c r="A1314" s="1"/>
      <c r="C1314" s="1"/>
      <c r="G1314" s="2"/>
      <c r="H1314" s="2"/>
      <c r="I1314" s="2"/>
      <c r="J1314" s="2"/>
      <c r="K1314" s="81"/>
      <c r="L1314" s="4"/>
      <c r="M1314" s="4"/>
      <c r="N1314" s="4"/>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3"/>
      <c r="AP1314" s="2"/>
      <c r="AQ1314" s="2"/>
      <c r="AR1314" s="2"/>
      <c r="AS1314" s="2"/>
      <c r="AT1314" s="2"/>
      <c r="AU1314" s="2"/>
      <c r="AV1314" s="2"/>
      <c r="AW1314" s="2"/>
      <c r="AX1314" s="2"/>
      <c r="AY1314" s="2"/>
      <c r="AZ1314" s="5"/>
      <c r="BA1314" s="2"/>
      <c r="BD1314" s="2"/>
      <c r="BE1314" s="2"/>
      <c r="BF1314" s="2"/>
      <c r="BG1314" s="2"/>
      <c r="BH1314" s="2"/>
      <c r="BI1314" s="2"/>
      <c r="BJ1314" s="2"/>
      <c r="BK1314" s="2"/>
      <c r="BM1314" s="2"/>
      <c r="BN1314" s="2"/>
      <c r="BO1314" s="2"/>
      <c r="BP1314" s="2"/>
      <c r="BQ1314" s="2"/>
      <c r="BR1314" s="6"/>
      <c r="BS1314" s="6"/>
      <c r="BT1314" s="2"/>
      <c r="BU1314" s="2"/>
      <c r="BV1314" s="2"/>
      <c r="BW1314" s="2"/>
      <c r="BX1314" s="2"/>
      <c r="BY1314" s="2"/>
      <c r="BZ1314" s="2"/>
      <c r="CA1314" s="2"/>
      <c r="CB1314" s="2"/>
      <c r="CC1314" s="2"/>
      <c r="CD1314" s="3"/>
      <c r="CE1314" s="2"/>
      <c r="CF1314" s="4"/>
      <c r="CG1314" s="4"/>
      <c r="CI1314" s="2"/>
    </row>
    <row r="1315" spans="1:87" s="101" customFormat="1" x14ac:dyDescent="0.35">
      <c r="A1315" s="1"/>
      <c r="C1315" s="1"/>
      <c r="G1315" s="2"/>
      <c r="H1315" s="2"/>
      <c r="I1315" s="2"/>
      <c r="J1315" s="2"/>
      <c r="K1315" s="81"/>
      <c r="L1315" s="4"/>
      <c r="M1315" s="4"/>
      <c r="N1315" s="4"/>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3"/>
      <c r="AP1315" s="2"/>
      <c r="AQ1315" s="2"/>
      <c r="AR1315" s="2"/>
      <c r="AS1315" s="2"/>
      <c r="AT1315" s="2"/>
      <c r="AU1315" s="2"/>
      <c r="AV1315" s="2"/>
      <c r="AW1315" s="2"/>
      <c r="AX1315" s="2"/>
      <c r="AY1315" s="2"/>
      <c r="AZ1315" s="5"/>
      <c r="BA1315" s="2"/>
      <c r="BD1315" s="2"/>
      <c r="BE1315" s="2"/>
      <c r="BF1315" s="2"/>
      <c r="BG1315" s="2"/>
      <c r="BH1315" s="2"/>
      <c r="BI1315" s="2"/>
      <c r="BJ1315" s="2"/>
      <c r="BK1315" s="2"/>
      <c r="BM1315" s="2"/>
      <c r="BN1315" s="2"/>
      <c r="BO1315" s="2"/>
      <c r="BP1315" s="2"/>
      <c r="BQ1315" s="2"/>
      <c r="BR1315" s="6"/>
      <c r="BS1315" s="6"/>
      <c r="BT1315" s="2"/>
      <c r="BU1315" s="2"/>
      <c r="BV1315" s="2"/>
      <c r="BW1315" s="2"/>
      <c r="BX1315" s="2"/>
      <c r="BY1315" s="2"/>
      <c r="BZ1315" s="2"/>
      <c r="CA1315" s="2"/>
      <c r="CB1315" s="2"/>
      <c r="CC1315" s="2"/>
      <c r="CD1315" s="3"/>
      <c r="CE1315" s="2"/>
      <c r="CF1315" s="4"/>
      <c r="CG1315" s="4"/>
      <c r="CI1315" s="2"/>
    </row>
    <row r="1316" spans="1:87" s="101" customFormat="1" x14ac:dyDescent="0.35">
      <c r="A1316" s="1"/>
      <c r="C1316" s="1"/>
      <c r="G1316" s="2"/>
      <c r="H1316" s="2"/>
      <c r="I1316" s="2"/>
      <c r="J1316" s="2"/>
      <c r="K1316" s="81"/>
      <c r="L1316" s="4"/>
      <c r="M1316" s="4"/>
      <c r="N1316" s="4"/>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3"/>
      <c r="AP1316" s="2"/>
      <c r="AQ1316" s="2"/>
      <c r="AR1316" s="2"/>
      <c r="AS1316" s="2"/>
      <c r="AT1316" s="2"/>
      <c r="AU1316" s="2"/>
      <c r="AV1316" s="2"/>
      <c r="AW1316" s="2"/>
      <c r="AX1316" s="2"/>
      <c r="AY1316" s="2"/>
      <c r="AZ1316" s="5"/>
      <c r="BA1316" s="2"/>
      <c r="BD1316" s="2"/>
      <c r="BE1316" s="2"/>
      <c r="BF1316" s="2"/>
      <c r="BG1316" s="2"/>
      <c r="BH1316" s="2"/>
      <c r="BI1316" s="2"/>
      <c r="BJ1316" s="2"/>
      <c r="BK1316" s="2"/>
      <c r="BM1316" s="2"/>
      <c r="BN1316" s="2"/>
      <c r="BO1316" s="2"/>
      <c r="BP1316" s="2"/>
      <c r="BQ1316" s="2"/>
      <c r="BR1316" s="6"/>
      <c r="BS1316" s="6"/>
      <c r="BT1316" s="2"/>
      <c r="BU1316" s="2"/>
      <c r="BV1316" s="2"/>
      <c r="BW1316" s="2"/>
      <c r="BX1316" s="2"/>
      <c r="BY1316" s="2"/>
      <c r="BZ1316" s="2"/>
      <c r="CA1316" s="2"/>
      <c r="CB1316" s="2"/>
      <c r="CC1316" s="2"/>
      <c r="CD1316" s="3"/>
      <c r="CE1316" s="2"/>
      <c r="CF1316" s="4"/>
      <c r="CG1316" s="4"/>
      <c r="CI1316" s="2"/>
    </row>
    <row r="1317" spans="1:87" s="101" customFormat="1" x14ac:dyDescent="0.35">
      <c r="A1317" s="1"/>
      <c r="C1317" s="1"/>
      <c r="G1317" s="2"/>
      <c r="H1317" s="2"/>
      <c r="I1317" s="2"/>
      <c r="J1317" s="2"/>
      <c r="K1317" s="81"/>
      <c r="L1317" s="4"/>
      <c r="M1317" s="4"/>
      <c r="N1317" s="4"/>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3"/>
      <c r="AP1317" s="2"/>
      <c r="AQ1317" s="2"/>
      <c r="AR1317" s="2"/>
      <c r="AS1317" s="2"/>
      <c r="AT1317" s="2"/>
      <c r="AU1317" s="2"/>
      <c r="AV1317" s="2"/>
      <c r="AW1317" s="2"/>
      <c r="AX1317" s="2"/>
      <c r="AY1317" s="2"/>
      <c r="AZ1317" s="5"/>
      <c r="BA1317" s="2"/>
      <c r="BD1317" s="2"/>
      <c r="BE1317" s="2"/>
      <c r="BF1317" s="2"/>
      <c r="BG1317" s="2"/>
      <c r="BH1317" s="2"/>
      <c r="BI1317" s="2"/>
      <c r="BJ1317" s="2"/>
      <c r="BK1317" s="2"/>
      <c r="BM1317" s="2"/>
      <c r="BN1317" s="2"/>
      <c r="BO1317" s="2"/>
      <c r="BP1317" s="2"/>
      <c r="BQ1317" s="2"/>
      <c r="BR1317" s="6"/>
      <c r="BS1317" s="6"/>
      <c r="BT1317" s="2"/>
      <c r="BU1317" s="2"/>
      <c r="BV1317" s="2"/>
      <c r="BW1317" s="2"/>
      <c r="BX1317" s="2"/>
      <c r="BY1317" s="2"/>
      <c r="BZ1317" s="2"/>
      <c r="CA1317" s="2"/>
      <c r="CB1317" s="2"/>
      <c r="CC1317" s="2"/>
      <c r="CD1317" s="3"/>
      <c r="CE1317" s="2"/>
      <c r="CF1317" s="4"/>
      <c r="CG1317" s="4"/>
      <c r="CI1317" s="2"/>
    </row>
    <row r="1318" spans="1:87" s="101" customFormat="1" x14ac:dyDescent="0.35">
      <c r="A1318" s="1"/>
      <c r="C1318" s="1"/>
      <c r="G1318" s="2"/>
      <c r="H1318" s="2"/>
      <c r="I1318" s="2"/>
      <c r="J1318" s="2"/>
      <c r="K1318" s="81"/>
      <c r="L1318" s="4"/>
      <c r="M1318" s="4"/>
      <c r="N1318" s="4"/>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3"/>
      <c r="AP1318" s="2"/>
      <c r="AQ1318" s="2"/>
      <c r="AR1318" s="2"/>
      <c r="AS1318" s="2"/>
      <c r="AT1318" s="2"/>
      <c r="AU1318" s="2"/>
      <c r="AV1318" s="2"/>
      <c r="AW1318" s="2"/>
      <c r="AX1318" s="2"/>
      <c r="AY1318" s="2"/>
      <c r="AZ1318" s="5"/>
      <c r="BA1318" s="2"/>
      <c r="BD1318" s="2"/>
      <c r="BE1318" s="2"/>
      <c r="BF1318" s="2"/>
      <c r="BG1318" s="2"/>
      <c r="BH1318" s="2"/>
      <c r="BI1318" s="2"/>
      <c r="BJ1318" s="2"/>
      <c r="BK1318" s="2"/>
      <c r="BM1318" s="2"/>
      <c r="BN1318" s="2"/>
      <c r="BO1318" s="2"/>
      <c r="BP1318" s="2"/>
      <c r="BQ1318" s="2"/>
      <c r="BR1318" s="6"/>
      <c r="BS1318" s="6"/>
      <c r="BT1318" s="2"/>
      <c r="BU1318" s="2"/>
      <c r="BV1318" s="2"/>
      <c r="BW1318" s="2"/>
      <c r="BX1318" s="2"/>
      <c r="BY1318" s="2"/>
      <c r="BZ1318" s="2"/>
      <c r="CA1318" s="2"/>
      <c r="CB1318" s="2"/>
      <c r="CC1318" s="2"/>
      <c r="CD1318" s="3"/>
      <c r="CE1318" s="2"/>
      <c r="CF1318" s="4"/>
      <c r="CG1318" s="4"/>
      <c r="CI1318" s="2"/>
    </row>
    <row r="1319" spans="1:87" s="101" customFormat="1" x14ac:dyDescent="0.35">
      <c r="A1319" s="1"/>
      <c r="C1319" s="1"/>
      <c r="G1319" s="2"/>
      <c r="H1319" s="2"/>
      <c r="I1319" s="2"/>
      <c r="J1319" s="2"/>
      <c r="K1319" s="81"/>
      <c r="L1319" s="4"/>
      <c r="M1319" s="4"/>
      <c r="N1319" s="4"/>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3"/>
      <c r="AP1319" s="2"/>
      <c r="AQ1319" s="2"/>
      <c r="AR1319" s="2"/>
      <c r="AS1319" s="2"/>
      <c r="AT1319" s="2"/>
      <c r="AU1319" s="2"/>
      <c r="AV1319" s="2"/>
      <c r="AW1319" s="2"/>
      <c r="AX1319" s="2"/>
      <c r="AY1319" s="2"/>
      <c r="AZ1319" s="5"/>
      <c r="BA1319" s="2"/>
      <c r="BD1319" s="2"/>
      <c r="BE1319" s="2"/>
      <c r="BF1319" s="2"/>
      <c r="BG1319" s="2"/>
      <c r="BH1319" s="2"/>
      <c r="BI1319" s="2"/>
      <c r="BJ1319" s="2"/>
      <c r="BK1319" s="2"/>
      <c r="BM1319" s="2"/>
      <c r="BN1319" s="2"/>
      <c r="BO1319" s="2"/>
      <c r="BP1319" s="2"/>
      <c r="BQ1319" s="2"/>
      <c r="BR1319" s="6"/>
      <c r="BS1319" s="6"/>
      <c r="BT1319" s="2"/>
      <c r="BU1319" s="2"/>
      <c r="BV1319" s="2"/>
      <c r="BW1319" s="2"/>
      <c r="BX1319" s="2"/>
      <c r="BY1319" s="2"/>
      <c r="BZ1319" s="2"/>
      <c r="CA1319" s="2"/>
      <c r="CB1319" s="2"/>
      <c r="CC1319" s="2"/>
      <c r="CD1319" s="3"/>
      <c r="CE1319" s="2"/>
      <c r="CF1319" s="4"/>
      <c r="CG1319" s="4"/>
      <c r="CI1319" s="2"/>
    </row>
    <row r="1320" spans="1:87" s="101" customFormat="1" x14ac:dyDescent="0.35">
      <c r="A1320" s="1"/>
      <c r="C1320" s="1"/>
      <c r="G1320" s="2"/>
      <c r="H1320" s="2"/>
      <c r="I1320" s="2"/>
      <c r="J1320" s="2"/>
      <c r="K1320" s="81"/>
      <c r="L1320" s="4"/>
      <c r="M1320" s="4"/>
      <c r="N1320" s="4"/>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3"/>
      <c r="AP1320" s="2"/>
      <c r="AQ1320" s="2"/>
      <c r="AR1320" s="2"/>
      <c r="AS1320" s="2"/>
      <c r="AT1320" s="2"/>
      <c r="AU1320" s="2"/>
      <c r="AV1320" s="2"/>
      <c r="AW1320" s="2"/>
      <c r="AX1320" s="2"/>
      <c r="AY1320" s="2"/>
      <c r="AZ1320" s="5"/>
      <c r="BA1320" s="2"/>
      <c r="BD1320" s="2"/>
      <c r="BE1320" s="2"/>
      <c r="BF1320" s="2"/>
      <c r="BG1320" s="2"/>
      <c r="BH1320" s="2"/>
      <c r="BI1320" s="2"/>
      <c r="BJ1320" s="2"/>
      <c r="BK1320" s="2"/>
      <c r="BM1320" s="2"/>
      <c r="BN1320" s="2"/>
      <c r="BO1320" s="2"/>
      <c r="BP1320" s="2"/>
      <c r="BQ1320" s="2"/>
      <c r="BR1320" s="6"/>
      <c r="BS1320" s="6"/>
      <c r="BT1320" s="2"/>
      <c r="BU1320" s="2"/>
      <c r="BV1320" s="2"/>
      <c r="BW1320" s="2"/>
      <c r="BX1320" s="2"/>
      <c r="BY1320" s="2"/>
      <c r="BZ1320" s="2"/>
      <c r="CA1320" s="2"/>
      <c r="CB1320" s="2"/>
      <c r="CC1320" s="2"/>
      <c r="CD1320" s="3"/>
      <c r="CE1320" s="2"/>
      <c r="CF1320" s="4"/>
      <c r="CG1320" s="4"/>
      <c r="CI1320" s="2"/>
    </row>
    <row r="1321" spans="1:87" s="101" customFormat="1" x14ac:dyDescent="0.35">
      <c r="A1321" s="1"/>
      <c r="C1321" s="1"/>
      <c r="G1321" s="2"/>
      <c r="H1321" s="2"/>
      <c r="I1321" s="2"/>
      <c r="J1321" s="2"/>
      <c r="K1321" s="81"/>
      <c r="L1321" s="4"/>
      <c r="M1321" s="4"/>
      <c r="N1321" s="4"/>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3"/>
      <c r="AP1321" s="2"/>
      <c r="AQ1321" s="2"/>
      <c r="AR1321" s="2"/>
      <c r="AS1321" s="2"/>
      <c r="AT1321" s="2"/>
      <c r="AU1321" s="2"/>
      <c r="AV1321" s="2"/>
      <c r="AW1321" s="2"/>
      <c r="AX1321" s="2"/>
      <c r="AY1321" s="2"/>
      <c r="AZ1321" s="5"/>
      <c r="BA1321" s="2"/>
      <c r="BD1321" s="2"/>
      <c r="BE1321" s="2"/>
      <c r="BF1321" s="2"/>
      <c r="BG1321" s="2"/>
      <c r="BH1321" s="2"/>
      <c r="BI1321" s="2"/>
      <c r="BJ1321" s="2"/>
      <c r="BK1321" s="2"/>
      <c r="BM1321" s="2"/>
      <c r="BN1321" s="2"/>
      <c r="BO1321" s="2"/>
      <c r="BP1321" s="2"/>
      <c r="BQ1321" s="2"/>
      <c r="BR1321" s="6"/>
      <c r="BS1321" s="6"/>
      <c r="BT1321" s="2"/>
      <c r="BU1321" s="2"/>
      <c r="BV1321" s="2"/>
      <c r="BW1321" s="2"/>
      <c r="BX1321" s="2"/>
      <c r="BY1321" s="2"/>
      <c r="BZ1321" s="2"/>
      <c r="CA1321" s="2"/>
      <c r="CB1321" s="2"/>
      <c r="CC1321" s="2"/>
      <c r="CD1321" s="3"/>
      <c r="CE1321" s="2"/>
      <c r="CF1321" s="4"/>
      <c r="CG1321" s="4"/>
      <c r="CI1321" s="2"/>
    </row>
    <row r="1322" spans="1:87" s="101" customFormat="1" x14ac:dyDescent="0.35">
      <c r="A1322" s="1"/>
      <c r="C1322" s="1"/>
      <c r="G1322" s="2"/>
      <c r="H1322" s="2"/>
      <c r="I1322" s="2"/>
      <c r="J1322" s="2"/>
      <c r="K1322" s="81"/>
      <c r="L1322" s="4"/>
      <c r="M1322" s="4"/>
      <c r="N1322" s="4"/>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3"/>
      <c r="AP1322" s="2"/>
      <c r="AQ1322" s="2"/>
      <c r="AR1322" s="2"/>
      <c r="AS1322" s="2"/>
      <c r="AT1322" s="2"/>
      <c r="AU1322" s="2"/>
      <c r="AV1322" s="2"/>
      <c r="AW1322" s="2"/>
      <c r="AX1322" s="2"/>
      <c r="AY1322" s="2"/>
      <c r="AZ1322" s="5"/>
      <c r="BA1322" s="2"/>
      <c r="BD1322" s="2"/>
      <c r="BE1322" s="2"/>
      <c r="BF1322" s="2"/>
      <c r="BG1322" s="2"/>
      <c r="BH1322" s="2"/>
      <c r="BI1322" s="2"/>
      <c r="BJ1322" s="2"/>
      <c r="BK1322" s="2"/>
      <c r="BM1322" s="2"/>
      <c r="BN1322" s="2"/>
      <c r="BO1322" s="2"/>
      <c r="BP1322" s="2"/>
      <c r="BQ1322" s="2"/>
      <c r="BR1322" s="6"/>
      <c r="BS1322" s="6"/>
      <c r="BT1322" s="2"/>
      <c r="BU1322" s="2"/>
      <c r="BV1322" s="2"/>
      <c r="BW1322" s="2"/>
      <c r="BX1322" s="2"/>
      <c r="BY1322" s="2"/>
      <c r="BZ1322" s="2"/>
      <c r="CA1322" s="2"/>
      <c r="CB1322" s="2"/>
      <c r="CC1322" s="2"/>
      <c r="CD1322" s="3"/>
      <c r="CE1322" s="2"/>
      <c r="CF1322" s="4"/>
      <c r="CG1322" s="4"/>
      <c r="CI1322" s="2"/>
    </row>
    <row r="1323" spans="1:87" s="101" customFormat="1" x14ac:dyDescent="0.35">
      <c r="A1323" s="1"/>
      <c r="C1323" s="1"/>
      <c r="G1323" s="2"/>
      <c r="H1323" s="2"/>
      <c r="I1323" s="2"/>
      <c r="J1323" s="2"/>
      <c r="K1323" s="81"/>
      <c r="L1323" s="4"/>
      <c r="M1323" s="4"/>
      <c r="N1323" s="4"/>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3"/>
      <c r="AP1323" s="2"/>
      <c r="AQ1323" s="2"/>
      <c r="AR1323" s="2"/>
      <c r="AS1323" s="2"/>
      <c r="AT1323" s="2"/>
      <c r="AU1323" s="2"/>
      <c r="AV1323" s="2"/>
      <c r="AW1323" s="2"/>
      <c r="AX1323" s="2"/>
      <c r="AY1323" s="2"/>
      <c r="AZ1323" s="5"/>
      <c r="BA1323" s="2"/>
      <c r="BD1323" s="2"/>
      <c r="BE1323" s="2"/>
      <c r="BF1323" s="2"/>
      <c r="BG1323" s="2"/>
      <c r="BH1323" s="2"/>
      <c r="BI1323" s="2"/>
      <c r="BJ1323" s="2"/>
      <c r="BK1323" s="2"/>
      <c r="BM1323" s="2"/>
      <c r="BN1323" s="2"/>
      <c r="BO1323" s="2"/>
      <c r="BP1323" s="2"/>
      <c r="BQ1323" s="2"/>
      <c r="BR1323" s="6"/>
      <c r="BS1323" s="6"/>
      <c r="BT1323" s="2"/>
      <c r="BU1323" s="2"/>
      <c r="BV1323" s="2"/>
      <c r="BW1323" s="2"/>
      <c r="BX1323" s="2"/>
      <c r="BY1323" s="2"/>
      <c r="BZ1323" s="2"/>
      <c r="CA1323" s="2"/>
      <c r="CB1323" s="2"/>
      <c r="CC1323" s="2"/>
      <c r="CD1323" s="3"/>
      <c r="CE1323" s="2"/>
      <c r="CF1323" s="4"/>
      <c r="CG1323" s="4"/>
      <c r="CI1323" s="2"/>
    </row>
    <row r="1324" spans="1:87" s="101" customFormat="1" x14ac:dyDescent="0.35">
      <c r="A1324" s="1"/>
      <c r="C1324" s="1"/>
      <c r="G1324" s="2"/>
      <c r="H1324" s="2"/>
      <c r="I1324" s="2"/>
      <c r="J1324" s="2"/>
      <c r="K1324" s="81"/>
      <c r="L1324" s="4"/>
      <c r="M1324" s="4"/>
      <c r="N1324" s="4"/>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3"/>
      <c r="AP1324" s="2"/>
      <c r="AQ1324" s="2"/>
      <c r="AR1324" s="2"/>
      <c r="AS1324" s="2"/>
      <c r="AT1324" s="2"/>
      <c r="AU1324" s="2"/>
      <c r="AV1324" s="2"/>
      <c r="AW1324" s="2"/>
      <c r="AX1324" s="2"/>
      <c r="AY1324" s="2"/>
      <c r="AZ1324" s="5"/>
      <c r="BA1324" s="2"/>
      <c r="BD1324" s="2"/>
      <c r="BE1324" s="2"/>
      <c r="BF1324" s="2"/>
      <c r="BG1324" s="2"/>
      <c r="BH1324" s="2"/>
      <c r="BI1324" s="2"/>
      <c r="BJ1324" s="2"/>
      <c r="BK1324" s="2"/>
      <c r="BM1324" s="2"/>
      <c r="BN1324" s="2"/>
      <c r="BO1324" s="2"/>
      <c r="BP1324" s="2"/>
      <c r="BQ1324" s="2"/>
      <c r="BR1324" s="6"/>
      <c r="BS1324" s="6"/>
      <c r="BT1324" s="2"/>
      <c r="BU1324" s="2"/>
      <c r="BV1324" s="2"/>
      <c r="BW1324" s="2"/>
      <c r="BX1324" s="2"/>
      <c r="BY1324" s="2"/>
      <c r="BZ1324" s="2"/>
      <c r="CA1324" s="2"/>
      <c r="CB1324" s="2"/>
      <c r="CC1324" s="2"/>
      <c r="CD1324" s="3"/>
      <c r="CE1324" s="2"/>
      <c r="CF1324" s="4"/>
      <c r="CG1324" s="4"/>
      <c r="CI1324" s="2"/>
    </row>
    <row r="1325" spans="1:87" s="101" customFormat="1" x14ac:dyDescent="0.35">
      <c r="A1325" s="1"/>
      <c r="C1325" s="1"/>
      <c r="G1325" s="2"/>
      <c r="H1325" s="2"/>
      <c r="I1325" s="2"/>
      <c r="J1325" s="2"/>
      <c r="K1325" s="81"/>
      <c r="L1325" s="4"/>
      <c r="M1325" s="4"/>
      <c r="N1325" s="4"/>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3"/>
      <c r="AP1325" s="2"/>
      <c r="AQ1325" s="2"/>
      <c r="AR1325" s="2"/>
      <c r="AS1325" s="2"/>
      <c r="AT1325" s="2"/>
      <c r="AU1325" s="2"/>
      <c r="AV1325" s="2"/>
      <c r="AW1325" s="2"/>
      <c r="AX1325" s="2"/>
      <c r="AY1325" s="2"/>
      <c r="AZ1325" s="5"/>
      <c r="BA1325" s="2"/>
      <c r="BD1325" s="2"/>
      <c r="BE1325" s="2"/>
      <c r="BF1325" s="2"/>
      <c r="BG1325" s="2"/>
      <c r="BH1325" s="2"/>
      <c r="BI1325" s="2"/>
      <c r="BJ1325" s="2"/>
      <c r="BK1325" s="2"/>
      <c r="BM1325" s="2"/>
      <c r="BN1325" s="2"/>
      <c r="BO1325" s="2"/>
      <c r="BP1325" s="2"/>
      <c r="BQ1325" s="2"/>
      <c r="BR1325" s="6"/>
      <c r="BS1325" s="6"/>
      <c r="BT1325" s="2"/>
      <c r="BU1325" s="2"/>
      <c r="BV1325" s="2"/>
      <c r="BW1325" s="2"/>
      <c r="BX1325" s="2"/>
      <c r="BY1325" s="2"/>
      <c r="BZ1325" s="2"/>
      <c r="CA1325" s="2"/>
      <c r="CB1325" s="2"/>
      <c r="CC1325" s="2"/>
      <c r="CD1325" s="3"/>
      <c r="CE1325" s="2"/>
      <c r="CF1325" s="4"/>
      <c r="CG1325" s="4"/>
      <c r="CI1325" s="2"/>
    </row>
    <row r="1326" spans="1:87" s="101" customFormat="1" x14ac:dyDescent="0.35">
      <c r="A1326" s="1"/>
      <c r="C1326" s="1"/>
      <c r="G1326" s="2"/>
      <c r="H1326" s="2"/>
      <c r="I1326" s="2"/>
      <c r="J1326" s="2"/>
      <c r="K1326" s="81"/>
      <c r="L1326" s="4"/>
      <c r="M1326" s="4"/>
      <c r="N1326" s="4"/>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3"/>
      <c r="AP1326" s="2"/>
      <c r="AQ1326" s="2"/>
      <c r="AR1326" s="2"/>
      <c r="AS1326" s="2"/>
      <c r="AT1326" s="2"/>
      <c r="AU1326" s="2"/>
      <c r="AV1326" s="2"/>
      <c r="AW1326" s="2"/>
      <c r="AX1326" s="2"/>
      <c r="AY1326" s="2"/>
      <c r="AZ1326" s="5"/>
      <c r="BA1326" s="2"/>
      <c r="BD1326" s="2"/>
      <c r="BE1326" s="2"/>
      <c r="BF1326" s="2"/>
      <c r="BG1326" s="2"/>
      <c r="BH1326" s="2"/>
      <c r="BI1326" s="2"/>
      <c r="BJ1326" s="2"/>
      <c r="BK1326" s="2"/>
      <c r="BM1326" s="2"/>
      <c r="BN1326" s="2"/>
      <c r="BO1326" s="2"/>
      <c r="BP1326" s="2"/>
      <c r="BQ1326" s="2"/>
      <c r="BR1326" s="6"/>
      <c r="BS1326" s="6"/>
      <c r="BT1326" s="2"/>
      <c r="BU1326" s="2"/>
      <c r="BV1326" s="2"/>
      <c r="BW1326" s="2"/>
      <c r="BX1326" s="2"/>
      <c r="BY1326" s="2"/>
      <c r="BZ1326" s="2"/>
      <c r="CA1326" s="2"/>
      <c r="CB1326" s="2"/>
      <c r="CC1326" s="2"/>
      <c r="CD1326" s="3"/>
      <c r="CE1326" s="2"/>
      <c r="CF1326" s="4"/>
      <c r="CG1326" s="4"/>
      <c r="CI1326" s="2"/>
    </row>
    <row r="1327" spans="1:87" s="101" customFormat="1" x14ac:dyDescent="0.35">
      <c r="A1327" s="1"/>
      <c r="C1327" s="1"/>
      <c r="G1327" s="2"/>
      <c r="H1327" s="2"/>
      <c r="I1327" s="2"/>
      <c r="J1327" s="2"/>
      <c r="K1327" s="81"/>
      <c r="L1327" s="4"/>
      <c r="M1327" s="4"/>
      <c r="N1327" s="4"/>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3"/>
      <c r="AP1327" s="2"/>
      <c r="AQ1327" s="2"/>
      <c r="AR1327" s="2"/>
      <c r="AS1327" s="2"/>
      <c r="AT1327" s="2"/>
      <c r="AU1327" s="2"/>
      <c r="AV1327" s="2"/>
      <c r="AW1327" s="2"/>
      <c r="AX1327" s="2"/>
      <c r="AY1327" s="2"/>
      <c r="AZ1327" s="5"/>
      <c r="BA1327" s="2"/>
      <c r="BD1327" s="2"/>
      <c r="BE1327" s="2"/>
      <c r="BF1327" s="2"/>
      <c r="BG1327" s="2"/>
      <c r="BH1327" s="2"/>
      <c r="BI1327" s="2"/>
      <c r="BJ1327" s="2"/>
      <c r="BK1327" s="2"/>
      <c r="BM1327" s="2"/>
      <c r="BN1327" s="2"/>
      <c r="BO1327" s="2"/>
      <c r="BP1327" s="2"/>
      <c r="BQ1327" s="2"/>
      <c r="BR1327" s="6"/>
      <c r="BS1327" s="6"/>
      <c r="BT1327" s="2"/>
      <c r="BU1327" s="2"/>
      <c r="BV1327" s="2"/>
      <c r="BW1327" s="2"/>
      <c r="BX1327" s="2"/>
      <c r="BY1327" s="2"/>
      <c r="BZ1327" s="2"/>
      <c r="CA1327" s="2"/>
      <c r="CB1327" s="2"/>
      <c r="CC1327" s="2"/>
      <c r="CD1327" s="3"/>
      <c r="CE1327" s="2"/>
      <c r="CF1327" s="4"/>
      <c r="CG1327" s="4"/>
      <c r="CI1327" s="2"/>
    </row>
    <row r="1328" spans="1:87" s="101" customFormat="1" x14ac:dyDescent="0.35">
      <c r="A1328" s="1"/>
      <c r="C1328" s="1"/>
      <c r="G1328" s="2"/>
      <c r="H1328" s="2"/>
      <c r="I1328" s="2"/>
      <c r="J1328" s="2"/>
      <c r="K1328" s="81"/>
      <c r="L1328" s="4"/>
      <c r="M1328" s="4"/>
      <c r="N1328" s="4"/>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3"/>
      <c r="AP1328" s="2"/>
      <c r="AQ1328" s="2"/>
      <c r="AR1328" s="2"/>
      <c r="AS1328" s="2"/>
      <c r="AT1328" s="2"/>
      <c r="AU1328" s="2"/>
      <c r="AV1328" s="2"/>
      <c r="AW1328" s="2"/>
      <c r="AX1328" s="2"/>
      <c r="AY1328" s="2"/>
      <c r="AZ1328" s="5"/>
      <c r="BA1328" s="2"/>
      <c r="BD1328" s="2"/>
      <c r="BE1328" s="2"/>
      <c r="BF1328" s="2"/>
      <c r="BG1328" s="2"/>
      <c r="BH1328" s="2"/>
      <c r="BI1328" s="2"/>
      <c r="BJ1328" s="2"/>
      <c r="BK1328" s="2"/>
      <c r="BM1328" s="2"/>
      <c r="BN1328" s="2"/>
      <c r="BO1328" s="2"/>
      <c r="BP1328" s="2"/>
      <c r="BQ1328" s="2"/>
      <c r="BR1328" s="6"/>
      <c r="BS1328" s="6"/>
      <c r="BT1328" s="2"/>
      <c r="BU1328" s="2"/>
      <c r="BV1328" s="2"/>
      <c r="BW1328" s="2"/>
      <c r="BX1328" s="2"/>
      <c r="BY1328" s="2"/>
      <c r="BZ1328" s="2"/>
      <c r="CA1328" s="2"/>
      <c r="CB1328" s="2"/>
      <c r="CC1328" s="2"/>
      <c r="CD1328" s="3"/>
      <c r="CE1328" s="2"/>
      <c r="CF1328" s="4"/>
      <c r="CG1328" s="4"/>
      <c r="CI1328" s="2"/>
    </row>
    <row r="1329" spans="1:87" s="101" customFormat="1" x14ac:dyDescent="0.35">
      <c r="A1329" s="1"/>
      <c r="C1329" s="1"/>
      <c r="G1329" s="2"/>
      <c r="H1329" s="2"/>
      <c r="I1329" s="2"/>
      <c r="J1329" s="2"/>
      <c r="K1329" s="81"/>
      <c r="L1329" s="4"/>
      <c r="M1329" s="4"/>
      <c r="N1329" s="4"/>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3"/>
      <c r="AP1329" s="2"/>
      <c r="AQ1329" s="2"/>
      <c r="AR1329" s="2"/>
      <c r="AS1329" s="2"/>
      <c r="AT1329" s="2"/>
      <c r="AU1329" s="2"/>
      <c r="AV1329" s="2"/>
      <c r="AW1329" s="2"/>
      <c r="AX1329" s="2"/>
      <c r="AY1329" s="2"/>
      <c r="AZ1329" s="5"/>
      <c r="BA1329" s="2"/>
      <c r="BD1329" s="2"/>
      <c r="BE1329" s="2"/>
      <c r="BF1329" s="2"/>
      <c r="BG1329" s="2"/>
      <c r="BH1329" s="2"/>
      <c r="BI1329" s="2"/>
      <c r="BJ1329" s="2"/>
      <c r="BK1329" s="2"/>
      <c r="BM1329" s="2"/>
      <c r="BN1329" s="2"/>
      <c r="BO1329" s="2"/>
      <c r="BP1329" s="2"/>
      <c r="BQ1329" s="2"/>
      <c r="BR1329" s="6"/>
      <c r="BS1329" s="6"/>
      <c r="BT1329" s="2"/>
      <c r="BU1329" s="2"/>
      <c r="BV1329" s="2"/>
      <c r="BW1329" s="2"/>
      <c r="BX1329" s="2"/>
      <c r="BY1329" s="2"/>
      <c r="BZ1329" s="2"/>
      <c r="CA1329" s="2"/>
      <c r="CB1329" s="2"/>
      <c r="CC1329" s="2"/>
      <c r="CD1329" s="3"/>
      <c r="CE1329" s="2"/>
      <c r="CF1329" s="4"/>
      <c r="CG1329" s="4"/>
      <c r="CI1329" s="2"/>
    </row>
    <row r="1330" spans="1:87" s="101" customFormat="1" x14ac:dyDescent="0.35">
      <c r="A1330" s="1"/>
      <c r="C1330" s="1"/>
      <c r="G1330" s="2"/>
      <c r="H1330" s="2"/>
      <c r="I1330" s="2"/>
      <c r="J1330" s="2"/>
      <c r="K1330" s="81"/>
      <c r="L1330" s="4"/>
      <c r="M1330" s="4"/>
      <c r="N1330" s="4"/>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3"/>
      <c r="AP1330" s="2"/>
      <c r="AQ1330" s="2"/>
      <c r="AR1330" s="2"/>
      <c r="AS1330" s="2"/>
      <c r="AT1330" s="2"/>
      <c r="AU1330" s="2"/>
      <c r="AV1330" s="2"/>
      <c r="AW1330" s="2"/>
      <c r="AX1330" s="2"/>
      <c r="AY1330" s="2"/>
      <c r="AZ1330" s="5"/>
      <c r="BA1330" s="2"/>
      <c r="BD1330" s="2"/>
      <c r="BE1330" s="2"/>
      <c r="BF1330" s="2"/>
      <c r="BG1330" s="2"/>
      <c r="BH1330" s="2"/>
      <c r="BI1330" s="2"/>
      <c r="BJ1330" s="2"/>
      <c r="BK1330" s="2"/>
      <c r="BM1330" s="2"/>
      <c r="BN1330" s="2"/>
      <c r="BO1330" s="2"/>
      <c r="BP1330" s="2"/>
      <c r="BQ1330" s="2"/>
      <c r="BR1330" s="6"/>
      <c r="BS1330" s="6"/>
      <c r="BT1330" s="2"/>
      <c r="BU1330" s="2"/>
      <c r="BV1330" s="2"/>
      <c r="BW1330" s="2"/>
      <c r="BX1330" s="2"/>
      <c r="BY1330" s="2"/>
      <c r="BZ1330" s="2"/>
      <c r="CA1330" s="2"/>
      <c r="CB1330" s="2"/>
      <c r="CC1330" s="2"/>
      <c r="CD1330" s="3"/>
      <c r="CE1330" s="2"/>
      <c r="CF1330" s="4"/>
      <c r="CG1330" s="4"/>
      <c r="CI1330" s="2"/>
    </row>
    <row r="1331" spans="1:87" s="101" customFormat="1" x14ac:dyDescent="0.35">
      <c r="A1331" s="1"/>
      <c r="C1331" s="1"/>
      <c r="G1331" s="2"/>
      <c r="H1331" s="2"/>
      <c r="I1331" s="2"/>
      <c r="J1331" s="2"/>
      <c r="K1331" s="81"/>
      <c r="L1331" s="4"/>
      <c r="M1331" s="4"/>
      <c r="N1331" s="4"/>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3"/>
      <c r="AP1331" s="2"/>
      <c r="AQ1331" s="2"/>
      <c r="AR1331" s="2"/>
      <c r="AS1331" s="2"/>
      <c r="AT1331" s="2"/>
      <c r="AU1331" s="2"/>
      <c r="AV1331" s="2"/>
      <c r="AW1331" s="2"/>
      <c r="AX1331" s="2"/>
      <c r="AY1331" s="2"/>
      <c r="AZ1331" s="5"/>
      <c r="BA1331" s="2"/>
      <c r="BD1331" s="2"/>
      <c r="BE1331" s="2"/>
      <c r="BF1331" s="2"/>
      <c r="BG1331" s="2"/>
      <c r="BH1331" s="2"/>
      <c r="BI1331" s="2"/>
      <c r="BJ1331" s="2"/>
      <c r="BK1331" s="2"/>
      <c r="BM1331" s="2"/>
      <c r="BN1331" s="2"/>
      <c r="BO1331" s="2"/>
      <c r="BP1331" s="2"/>
      <c r="BQ1331" s="2"/>
      <c r="BR1331" s="6"/>
      <c r="BS1331" s="6"/>
      <c r="BT1331" s="2"/>
      <c r="BU1331" s="2"/>
      <c r="BV1331" s="2"/>
      <c r="BW1331" s="2"/>
      <c r="BX1331" s="2"/>
      <c r="BY1331" s="2"/>
      <c r="BZ1331" s="2"/>
      <c r="CA1331" s="2"/>
      <c r="CB1331" s="2"/>
      <c r="CC1331" s="2"/>
      <c r="CD1331" s="3"/>
      <c r="CE1331" s="2"/>
      <c r="CF1331" s="4"/>
      <c r="CG1331" s="4"/>
      <c r="CI1331" s="2"/>
    </row>
    <row r="1332" spans="1:87" s="101" customFormat="1" x14ac:dyDescent="0.35">
      <c r="A1332" s="1"/>
      <c r="C1332" s="1"/>
      <c r="G1332" s="2"/>
      <c r="H1332" s="2"/>
      <c r="I1332" s="2"/>
      <c r="J1332" s="2"/>
      <c r="K1332" s="81"/>
      <c r="L1332" s="4"/>
      <c r="M1332" s="4"/>
      <c r="N1332" s="4"/>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3"/>
      <c r="AP1332" s="2"/>
      <c r="AQ1332" s="2"/>
      <c r="AR1332" s="2"/>
      <c r="AS1332" s="2"/>
      <c r="AT1332" s="2"/>
      <c r="AU1332" s="2"/>
      <c r="AV1332" s="2"/>
      <c r="AW1332" s="2"/>
      <c r="AX1332" s="2"/>
      <c r="AY1332" s="2"/>
      <c r="AZ1332" s="5"/>
      <c r="BA1332" s="2"/>
      <c r="BD1332" s="2"/>
      <c r="BE1332" s="2"/>
      <c r="BF1332" s="2"/>
      <c r="BG1332" s="2"/>
      <c r="BH1332" s="2"/>
      <c r="BI1332" s="2"/>
      <c r="BJ1332" s="2"/>
      <c r="BK1332" s="2"/>
      <c r="BM1332" s="2"/>
      <c r="BN1332" s="2"/>
      <c r="BO1332" s="2"/>
      <c r="BP1332" s="2"/>
      <c r="BQ1332" s="2"/>
      <c r="BR1332" s="6"/>
      <c r="BS1332" s="6"/>
      <c r="BT1332" s="2"/>
      <c r="BU1332" s="2"/>
      <c r="BV1332" s="2"/>
      <c r="BW1332" s="2"/>
      <c r="BX1332" s="2"/>
      <c r="BY1332" s="2"/>
      <c r="BZ1332" s="2"/>
      <c r="CA1332" s="2"/>
      <c r="CB1332" s="2"/>
      <c r="CC1332" s="2"/>
      <c r="CD1332" s="3"/>
      <c r="CE1332" s="2"/>
      <c r="CF1332" s="4"/>
      <c r="CG1332" s="4"/>
      <c r="CI1332" s="2"/>
    </row>
    <row r="1333" spans="1:87" s="101" customFormat="1" x14ac:dyDescent="0.35">
      <c r="A1333" s="1"/>
      <c r="C1333" s="1"/>
      <c r="G1333" s="2"/>
      <c r="H1333" s="2"/>
      <c r="I1333" s="2"/>
      <c r="J1333" s="2"/>
      <c r="K1333" s="81"/>
      <c r="L1333" s="4"/>
      <c r="M1333" s="4"/>
      <c r="N1333" s="4"/>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3"/>
      <c r="AP1333" s="2"/>
      <c r="AQ1333" s="2"/>
      <c r="AR1333" s="2"/>
      <c r="AS1333" s="2"/>
      <c r="AT1333" s="2"/>
      <c r="AU1333" s="2"/>
      <c r="AV1333" s="2"/>
      <c r="AW1333" s="2"/>
      <c r="AX1333" s="2"/>
      <c r="AY1333" s="2"/>
      <c r="AZ1333" s="5"/>
      <c r="BA1333" s="2"/>
      <c r="BD1333" s="2"/>
      <c r="BE1333" s="2"/>
      <c r="BF1333" s="2"/>
      <c r="BG1333" s="2"/>
      <c r="BH1333" s="2"/>
      <c r="BI1333" s="2"/>
      <c r="BJ1333" s="2"/>
      <c r="BK1333" s="2"/>
      <c r="BM1333" s="2"/>
      <c r="BN1333" s="2"/>
      <c r="BO1333" s="2"/>
      <c r="BP1333" s="2"/>
      <c r="BQ1333" s="2"/>
      <c r="BR1333" s="6"/>
      <c r="BS1333" s="6"/>
      <c r="BT1333" s="2"/>
      <c r="BU1333" s="2"/>
      <c r="BV1333" s="2"/>
      <c r="BW1333" s="2"/>
      <c r="BX1333" s="2"/>
      <c r="BY1333" s="2"/>
      <c r="BZ1333" s="2"/>
      <c r="CA1333" s="2"/>
      <c r="CB1333" s="2"/>
      <c r="CC1333" s="2"/>
      <c r="CD1333" s="3"/>
      <c r="CE1333" s="2"/>
      <c r="CF1333" s="4"/>
      <c r="CG1333" s="4"/>
      <c r="CI1333" s="2"/>
    </row>
    <row r="1334" spans="1:87" s="101" customFormat="1" x14ac:dyDescent="0.35">
      <c r="A1334" s="1"/>
      <c r="C1334" s="1"/>
      <c r="G1334" s="2"/>
      <c r="H1334" s="2"/>
      <c r="I1334" s="2"/>
      <c r="J1334" s="2"/>
      <c r="K1334" s="81"/>
      <c r="L1334" s="4"/>
      <c r="M1334" s="4"/>
      <c r="N1334" s="4"/>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3"/>
      <c r="AP1334" s="2"/>
      <c r="AQ1334" s="2"/>
      <c r="AR1334" s="2"/>
      <c r="AS1334" s="2"/>
      <c r="AT1334" s="2"/>
      <c r="AU1334" s="2"/>
      <c r="AV1334" s="2"/>
      <c r="AW1334" s="2"/>
      <c r="AX1334" s="2"/>
      <c r="AY1334" s="2"/>
      <c r="AZ1334" s="5"/>
      <c r="BA1334" s="2"/>
      <c r="BD1334" s="2"/>
      <c r="BE1334" s="2"/>
      <c r="BF1334" s="2"/>
      <c r="BG1334" s="2"/>
      <c r="BH1334" s="2"/>
      <c r="BI1334" s="2"/>
      <c r="BJ1334" s="2"/>
      <c r="BK1334" s="2"/>
      <c r="BM1334" s="2"/>
      <c r="BN1334" s="2"/>
      <c r="BO1334" s="2"/>
      <c r="BP1334" s="2"/>
      <c r="BQ1334" s="2"/>
      <c r="BR1334" s="6"/>
      <c r="BS1334" s="6"/>
      <c r="BT1334" s="2"/>
      <c r="BU1334" s="2"/>
      <c r="BV1334" s="2"/>
      <c r="BW1334" s="2"/>
      <c r="BX1334" s="2"/>
      <c r="BY1334" s="2"/>
      <c r="BZ1334" s="2"/>
      <c r="CA1334" s="2"/>
      <c r="CB1334" s="2"/>
      <c r="CC1334" s="2"/>
      <c r="CD1334" s="3"/>
      <c r="CE1334" s="2"/>
      <c r="CF1334" s="4"/>
      <c r="CG1334" s="4"/>
      <c r="CI1334" s="2"/>
    </row>
    <row r="1335" spans="1:87" s="101" customFormat="1" x14ac:dyDescent="0.35">
      <c r="A1335" s="1"/>
      <c r="C1335" s="1"/>
      <c r="G1335" s="2"/>
      <c r="H1335" s="2"/>
      <c r="I1335" s="2"/>
      <c r="J1335" s="2"/>
      <c r="K1335" s="81"/>
      <c r="L1335" s="4"/>
      <c r="M1335" s="4"/>
      <c r="N1335" s="4"/>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3"/>
      <c r="AP1335" s="2"/>
      <c r="AQ1335" s="2"/>
      <c r="AR1335" s="2"/>
      <c r="AS1335" s="2"/>
      <c r="AT1335" s="2"/>
      <c r="AU1335" s="2"/>
      <c r="AV1335" s="2"/>
      <c r="AW1335" s="2"/>
      <c r="AX1335" s="2"/>
      <c r="AY1335" s="2"/>
      <c r="AZ1335" s="5"/>
      <c r="BA1335" s="2"/>
      <c r="BD1335" s="2"/>
      <c r="BE1335" s="2"/>
      <c r="BF1335" s="2"/>
      <c r="BG1335" s="2"/>
      <c r="BH1335" s="2"/>
      <c r="BI1335" s="2"/>
      <c r="BJ1335" s="2"/>
      <c r="BK1335" s="2"/>
      <c r="BM1335" s="2"/>
      <c r="BN1335" s="2"/>
      <c r="BO1335" s="2"/>
      <c r="BP1335" s="2"/>
      <c r="BQ1335" s="2"/>
      <c r="BR1335" s="6"/>
      <c r="BS1335" s="6"/>
      <c r="BT1335" s="2"/>
      <c r="BU1335" s="2"/>
      <c r="BV1335" s="2"/>
      <c r="BW1335" s="2"/>
      <c r="BX1335" s="2"/>
      <c r="BY1335" s="2"/>
      <c r="BZ1335" s="2"/>
      <c r="CA1335" s="2"/>
      <c r="CB1335" s="2"/>
      <c r="CC1335" s="2"/>
      <c r="CD1335" s="3"/>
      <c r="CE1335" s="2"/>
      <c r="CF1335" s="4"/>
      <c r="CG1335" s="4"/>
      <c r="CI1335" s="2"/>
    </row>
    <row r="1336" spans="1:87" s="101" customFormat="1" x14ac:dyDescent="0.35">
      <c r="A1336" s="1"/>
      <c r="C1336" s="1"/>
      <c r="G1336" s="2"/>
      <c r="H1336" s="2"/>
      <c r="I1336" s="2"/>
      <c r="J1336" s="2"/>
      <c r="K1336" s="81"/>
      <c r="L1336" s="4"/>
      <c r="M1336" s="4"/>
      <c r="N1336" s="4"/>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3"/>
      <c r="AP1336" s="2"/>
      <c r="AQ1336" s="2"/>
      <c r="AR1336" s="2"/>
      <c r="AS1336" s="2"/>
      <c r="AT1336" s="2"/>
      <c r="AU1336" s="2"/>
      <c r="AV1336" s="2"/>
      <c r="AW1336" s="2"/>
      <c r="AX1336" s="2"/>
      <c r="AY1336" s="2"/>
      <c r="AZ1336" s="5"/>
      <c r="BA1336" s="2"/>
      <c r="BD1336" s="2"/>
      <c r="BE1336" s="2"/>
      <c r="BF1336" s="2"/>
      <c r="BG1336" s="2"/>
      <c r="BH1336" s="2"/>
      <c r="BI1336" s="2"/>
      <c r="BJ1336" s="2"/>
      <c r="BK1336" s="2"/>
      <c r="BM1336" s="2"/>
      <c r="BN1336" s="2"/>
      <c r="BO1336" s="2"/>
      <c r="BP1336" s="2"/>
      <c r="BQ1336" s="2"/>
      <c r="BR1336" s="6"/>
      <c r="BS1336" s="6"/>
      <c r="BT1336" s="2"/>
      <c r="BU1336" s="2"/>
      <c r="BV1336" s="2"/>
      <c r="BW1336" s="2"/>
      <c r="BX1336" s="2"/>
      <c r="BY1336" s="2"/>
      <c r="BZ1336" s="2"/>
      <c r="CA1336" s="2"/>
      <c r="CB1336" s="2"/>
      <c r="CC1336" s="2"/>
      <c r="CD1336" s="3"/>
      <c r="CE1336" s="2"/>
      <c r="CF1336" s="4"/>
      <c r="CG1336" s="4"/>
      <c r="CI1336" s="2"/>
    </row>
    <row r="1337" spans="1:87" s="101" customFormat="1" x14ac:dyDescent="0.35">
      <c r="A1337" s="1"/>
      <c r="C1337" s="1"/>
      <c r="G1337" s="2"/>
      <c r="H1337" s="2"/>
      <c r="I1337" s="2"/>
      <c r="J1337" s="2"/>
      <c r="K1337" s="81"/>
      <c r="L1337" s="4"/>
      <c r="M1337" s="4"/>
      <c r="N1337" s="4"/>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3"/>
      <c r="AP1337" s="2"/>
      <c r="AQ1337" s="2"/>
      <c r="AR1337" s="2"/>
      <c r="AS1337" s="2"/>
      <c r="AT1337" s="2"/>
      <c r="AU1337" s="2"/>
      <c r="AV1337" s="2"/>
      <c r="AW1337" s="2"/>
      <c r="AX1337" s="2"/>
      <c r="AY1337" s="2"/>
      <c r="AZ1337" s="5"/>
      <c r="BA1337" s="2"/>
      <c r="BD1337" s="2"/>
      <c r="BE1337" s="2"/>
      <c r="BF1337" s="2"/>
      <c r="BG1337" s="2"/>
      <c r="BH1337" s="2"/>
      <c r="BI1337" s="2"/>
      <c r="BJ1337" s="2"/>
      <c r="BK1337" s="2"/>
      <c r="BM1337" s="2"/>
      <c r="BN1337" s="2"/>
      <c r="BO1337" s="2"/>
      <c r="BP1337" s="2"/>
      <c r="BQ1337" s="2"/>
      <c r="BR1337" s="6"/>
      <c r="BS1337" s="6"/>
      <c r="BT1337" s="2"/>
      <c r="BU1337" s="2"/>
      <c r="BV1337" s="2"/>
      <c r="BW1337" s="2"/>
      <c r="BX1337" s="2"/>
      <c r="BY1337" s="2"/>
      <c r="BZ1337" s="2"/>
      <c r="CA1337" s="2"/>
      <c r="CB1337" s="2"/>
      <c r="CC1337" s="2"/>
      <c r="CD1337" s="3"/>
      <c r="CE1337" s="2"/>
      <c r="CF1337" s="4"/>
      <c r="CG1337" s="4"/>
      <c r="CI1337" s="2"/>
    </row>
    <row r="1338" spans="1:87" s="101" customFormat="1" x14ac:dyDescent="0.35">
      <c r="A1338" s="1"/>
      <c r="C1338" s="1"/>
      <c r="G1338" s="2"/>
      <c r="H1338" s="2"/>
      <c r="I1338" s="2"/>
      <c r="J1338" s="2"/>
      <c r="K1338" s="81"/>
      <c r="L1338" s="4"/>
      <c r="M1338" s="4"/>
      <c r="N1338" s="4"/>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3"/>
      <c r="AP1338" s="2"/>
      <c r="AQ1338" s="2"/>
      <c r="AR1338" s="2"/>
      <c r="AS1338" s="2"/>
      <c r="AT1338" s="2"/>
      <c r="AU1338" s="2"/>
      <c r="AV1338" s="2"/>
      <c r="AW1338" s="2"/>
      <c r="AX1338" s="2"/>
      <c r="AY1338" s="2"/>
      <c r="AZ1338" s="5"/>
      <c r="BA1338" s="2"/>
      <c r="BD1338" s="2"/>
      <c r="BE1338" s="2"/>
      <c r="BF1338" s="2"/>
      <c r="BG1338" s="2"/>
      <c r="BH1338" s="2"/>
      <c r="BI1338" s="2"/>
      <c r="BJ1338" s="2"/>
      <c r="BK1338" s="2"/>
      <c r="BM1338" s="2"/>
      <c r="BN1338" s="2"/>
      <c r="BO1338" s="2"/>
      <c r="BP1338" s="2"/>
      <c r="BQ1338" s="2"/>
      <c r="BR1338" s="6"/>
      <c r="BS1338" s="6"/>
      <c r="BT1338" s="2"/>
      <c r="BU1338" s="2"/>
      <c r="BV1338" s="2"/>
      <c r="BW1338" s="2"/>
      <c r="BX1338" s="2"/>
      <c r="BY1338" s="2"/>
      <c r="BZ1338" s="2"/>
      <c r="CA1338" s="2"/>
      <c r="CB1338" s="2"/>
      <c r="CC1338" s="2"/>
      <c r="CD1338" s="3"/>
      <c r="CE1338" s="2"/>
      <c r="CF1338" s="4"/>
      <c r="CG1338" s="4"/>
      <c r="CI1338" s="2"/>
    </row>
    <row r="1339" spans="1:87" s="101" customFormat="1" x14ac:dyDescent="0.35">
      <c r="A1339" s="1"/>
      <c r="C1339" s="1"/>
      <c r="G1339" s="2"/>
      <c r="H1339" s="2"/>
      <c r="I1339" s="2"/>
      <c r="J1339" s="2"/>
      <c r="K1339" s="81"/>
      <c r="L1339" s="4"/>
      <c r="M1339" s="4"/>
      <c r="N1339" s="4"/>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3"/>
      <c r="AP1339" s="2"/>
      <c r="AQ1339" s="2"/>
      <c r="AR1339" s="2"/>
      <c r="AS1339" s="2"/>
      <c r="AT1339" s="2"/>
      <c r="AU1339" s="2"/>
      <c r="AV1339" s="2"/>
      <c r="AW1339" s="2"/>
      <c r="AX1339" s="2"/>
      <c r="AY1339" s="2"/>
      <c r="AZ1339" s="5"/>
      <c r="BA1339" s="2"/>
      <c r="BD1339" s="2"/>
      <c r="BE1339" s="2"/>
      <c r="BF1339" s="2"/>
      <c r="BG1339" s="2"/>
      <c r="BH1339" s="2"/>
      <c r="BI1339" s="2"/>
      <c r="BJ1339" s="2"/>
      <c r="BK1339" s="2"/>
      <c r="BM1339" s="2"/>
      <c r="BN1339" s="2"/>
      <c r="BO1339" s="2"/>
      <c r="BP1339" s="2"/>
      <c r="BQ1339" s="2"/>
      <c r="BR1339" s="6"/>
      <c r="BS1339" s="6"/>
      <c r="BT1339" s="2"/>
      <c r="BU1339" s="2"/>
      <c r="BV1339" s="2"/>
      <c r="BW1339" s="2"/>
      <c r="BX1339" s="2"/>
      <c r="BY1339" s="2"/>
      <c r="BZ1339" s="2"/>
      <c r="CA1339" s="2"/>
      <c r="CB1339" s="2"/>
      <c r="CC1339" s="2"/>
      <c r="CD1339" s="3"/>
      <c r="CE1339" s="2"/>
      <c r="CF1339" s="4"/>
      <c r="CG1339" s="4"/>
      <c r="CI1339" s="2"/>
    </row>
    <row r="1340" spans="1:87" s="101" customFormat="1" x14ac:dyDescent="0.35">
      <c r="A1340" s="1"/>
      <c r="C1340" s="1"/>
      <c r="G1340" s="2"/>
      <c r="H1340" s="2"/>
      <c r="I1340" s="2"/>
      <c r="J1340" s="2"/>
      <c r="K1340" s="81"/>
      <c r="L1340" s="4"/>
      <c r="M1340" s="4"/>
      <c r="N1340" s="4"/>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3"/>
      <c r="AP1340" s="2"/>
      <c r="AQ1340" s="2"/>
      <c r="AR1340" s="2"/>
      <c r="AS1340" s="2"/>
      <c r="AT1340" s="2"/>
      <c r="AU1340" s="2"/>
      <c r="AV1340" s="2"/>
      <c r="AW1340" s="2"/>
      <c r="AX1340" s="2"/>
      <c r="AY1340" s="2"/>
      <c r="AZ1340" s="5"/>
      <c r="BA1340" s="2"/>
      <c r="BD1340" s="2"/>
      <c r="BE1340" s="2"/>
      <c r="BF1340" s="2"/>
      <c r="BG1340" s="2"/>
      <c r="BH1340" s="2"/>
      <c r="BI1340" s="2"/>
      <c r="BJ1340" s="2"/>
      <c r="BK1340" s="2"/>
      <c r="BM1340" s="2"/>
      <c r="BN1340" s="2"/>
      <c r="BO1340" s="2"/>
      <c r="BP1340" s="2"/>
      <c r="BQ1340" s="2"/>
      <c r="BR1340" s="6"/>
      <c r="BS1340" s="6"/>
      <c r="BT1340" s="2"/>
      <c r="BU1340" s="2"/>
      <c r="BV1340" s="2"/>
      <c r="BW1340" s="2"/>
      <c r="BX1340" s="2"/>
      <c r="BY1340" s="2"/>
      <c r="BZ1340" s="2"/>
      <c r="CA1340" s="2"/>
      <c r="CB1340" s="2"/>
      <c r="CC1340" s="2"/>
      <c r="CD1340" s="3"/>
      <c r="CE1340" s="2"/>
      <c r="CF1340" s="4"/>
      <c r="CG1340" s="4"/>
      <c r="CI1340" s="2"/>
    </row>
    <row r="1341" spans="1:87" s="101" customFormat="1" x14ac:dyDescent="0.35">
      <c r="A1341" s="1"/>
      <c r="C1341" s="1"/>
      <c r="G1341" s="2"/>
      <c r="H1341" s="2"/>
      <c r="I1341" s="2"/>
      <c r="J1341" s="2"/>
      <c r="K1341" s="81"/>
      <c r="L1341" s="4"/>
      <c r="M1341" s="4"/>
      <c r="N1341" s="4"/>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3"/>
      <c r="AP1341" s="2"/>
      <c r="AQ1341" s="2"/>
      <c r="AR1341" s="2"/>
      <c r="AS1341" s="2"/>
      <c r="AT1341" s="2"/>
      <c r="AU1341" s="2"/>
      <c r="AV1341" s="2"/>
      <c r="AW1341" s="2"/>
      <c r="AX1341" s="2"/>
      <c r="AY1341" s="2"/>
      <c r="AZ1341" s="5"/>
      <c r="BA1341" s="2"/>
      <c r="BD1341" s="2"/>
      <c r="BE1341" s="2"/>
      <c r="BF1341" s="2"/>
      <c r="BG1341" s="2"/>
      <c r="BH1341" s="2"/>
      <c r="BI1341" s="2"/>
      <c r="BJ1341" s="2"/>
      <c r="BK1341" s="2"/>
      <c r="BM1341" s="2"/>
      <c r="BN1341" s="2"/>
      <c r="BO1341" s="2"/>
      <c r="BP1341" s="2"/>
      <c r="BQ1341" s="2"/>
      <c r="BR1341" s="6"/>
      <c r="BS1341" s="6"/>
      <c r="BT1341" s="2"/>
      <c r="BU1341" s="2"/>
      <c r="BV1341" s="2"/>
      <c r="BW1341" s="2"/>
      <c r="BX1341" s="2"/>
      <c r="BY1341" s="2"/>
      <c r="BZ1341" s="2"/>
      <c r="CA1341" s="2"/>
      <c r="CB1341" s="2"/>
      <c r="CC1341" s="2"/>
      <c r="CD1341" s="3"/>
      <c r="CE1341" s="2"/>
      <c r="CF1341" s="4"/>
      <c r="CG1341" s="4"/>
      <c r="CI1341" s="2"/>
    </row>
    <row r="1342" spans="1:87" s="101" customFormat="1" x14ac:dyDescent="0.35">
      <c r="A1342" s="1"/>
      <c r="C1342" s="1"/>
      <c r="G1342" s="2"/>
      <c r="H1342" s="2"/>
      <c r="I1342" s="2"/>
      <c r="J1342" s="2"/>
      <c r="K1342" s="81"/>
      <c r="L1342" s="4"/>
      <c r="M1342" s="4"/>
      <c r="N1342" s="4"/>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3"/>
      <c r="AP1342" s="2"/>
      <c r="AQ1342" s="2"/>
      <c r="AR1342" s="2"/>
      <c r="AS1342" s="2"/>
      <c r="AT1342" s="2"/>
      <c r="AU1342" s="2"/>
      <c r="AV1342" s="2"/>
      <c r="AW1342" s="2"/>
      <c r="AX1342" s="2"/>
      <c r="AY1342" s="2"/>
      <c r="AZ1342" s="5"/>
      <c r="BA1342" s="2"/>
      <c r="BD1342" s="2"/>
      <c r="BE1342" s="2"/>
      <c r="BF1342" s="2"/>
      <c r="BG1342" s="2"/>
      <c r="BH1342" s="2"/>
      <c r="BI1342" s="2"/>
      <c r="BJ1342" s="2"/>
      <c r="BK1342" s="2"/>
      <c r="BM1342" s="2"/>
      <c r="BN1342" s="2"/>
      <c r="BO1342" s="2"/>
      <c r="BP1342" s="2"/>
      <c r="BQ1342" s="2"/>
      <c r="BR1342" s="6"/>
      <c r="BS1342" s="6"/>
      <c r="BT1342" s="2"/>
      <c r="BU1342" s="2"/>
      <c r="BV1342" s="2"/>
      <c r="BW1342" s="2"/>
      <c r="BX1342" s="2"/>
      <c r="BY1342" s="2"/>
      <c r="BZ1342" s="2"/>
      <c r="CA1342" s="2"/>
      <c r="CB1342" s="2"/>
      <c r="CC1342" s="2"/>
      <c r="CD1342" s="3"/>
      <c r="CE1342" s="2"/>
      <c r="CF1342" s="4"/>
      <c r="CG1342" s="4"/>
      <c r="CI1342" s="2"/>
    </row>
    <row r="1343" spans="1:87" s="101" customFormat="1" x14ac:dyDescent="0.35">
      <c r="A1343" s="1"/>
      <c r="C1343" s="1"/>
      <c r="G1343" s="2"/>
      <c r="H1343" s="2"/>
      <c r="I1343" s="2"/>
      <c r="J1343" s="2"/>
      <c r="K1343" s="81"/>
      <c r="L1343" s="4"/>
      <c r="M1343" s="4"/>
      <c r="N1343" s="4"/>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3"/>
      <c r="AP1343" s="2"/>
      <c r="AQ1343" s="2"/>
      <c r="AR1343" s="2"/>
      <c r="AS1343" s="2"/>
      <c r="AT1343" s="2"/>
      <c r="AU1343" s="2"/>
      <c r="AV1343" s="2"/>
      <c r="AW1343" s="2"/>
      <c r="AX1343" s="2"/>
      <c r="AY1343" s="2"/>
      <c r="AZ1343" s="5"/>
      <c r="BA1343" s="2"/>
      <c r="BD1343" s="2"/>
      <c r="BE1343" s="2"/>
      <c r="BF1343" s="2"/>
      <c r="BG1343" s="2"/>
      <c r="BH1343" s="2"/>
      <c r="BI1343" s="2"/>
      <c r="BJ1343" s="2"/>
      <c r="BK1343" s="2"/>
      <c r="BM1343" s="2"/>
      <c r="BN1343" s="2"/>
      <c r="BO1343" s="2"/>
      <c r="BP1343" s="2"/>
      <c r="BQ1343" s="2"/>
      <c r="BR1343" s="6"/>
      <c r="BS1343" s="6"/>
      <c r="BT1343" s="2"/>
      <c r="BU1343" s="2"/>
      <c r="BV1343" s="2"/>
      <c r="BW1343" s="2"/>
      <c r="BX1343" s="2"/>
      <c r="BY1343" s="2"/>
      <c r="BZ1343" s="2"/>
      <c r="CA1343" s="2"/>
      <c r="CB1343" s="2"/>
      <c r="CC1343" s="2"/>
      <c r="CD1343" s="3"/>
      <c r="CE1343" s="2"/>
      <c r="CF1343" s="4"/>
      <c r="CG1343" s="4"/>
      <c r="CI1343" s="2"/>
    </row>
    <row r="1344" spans="1:87" s="101" customFormat="1" x14ac:dyDescent="0.35">
      <c r="A1344" s="1"/>
      <c r="C1344" s="1"/>
      <c r="G1344" s="2"/>
      <c r="H1344" s="2"/>
      <c r="I1344" s="2"/>
      <c r="J1344" s="2"/>
      <c r="K1344" s="81"/>
      <c r="L1344" s="4"/>
      <c r="M1344" s="4"/>
      <c r="N1344" s="4"/>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3"/>
      <c r="AP1344" s="2"/>
      <c r="AQ1344" s="2"/>
      <c r="AR1344" s="2"/>
      <c r="AS1344" s="2"/>
      <c r="AT1344" s="2"/>
      <c r="AU1344" s="2"/>
      <c r="AV1344" s="2"/>
      <c r="AW1344" s="2"/>
      <c r="AX1344" s="2"/>
      <c r="AY1344" s="2"/>
      <c r="AZ1344" s="5"/>
      <c r="BA1344" s="2"/>
      <c r="BD1344" s="2"/>
      <c r="BE1344" s="2"/>
      <c r="BF1344" s="2"/>
      <c r="BG1344" s="2"/>
      <c r="BH1344" s="2"/>
      <c r="BI1344" s="2"/>
      <c r="BJ1344" s="2"/>
      <c r="BK1344" s="2"/>
      <c r="BM1344" s="2"/>
      <c r="BN1344" s="2"/>
      <c r="BO1344" s="2"/>
      <c r="BP1344" s="2"/>
      <c r="BQ1344" s="2"/>
      <c r="BR1344" s="6"/>
      <c r="BS1344" s="6"/>
      <c r="BT1344" s="2"/>
      <c r="BU1344" s="2"/>
      <c r="BV1344" s="2"/>
      <c r="BW1344" s="2"/>
      <c r="BX1344" s="2"/>
      <c r="BY1344" s="2"/>
      <c r="BZ1344" s="2"/>
      <c r="CA1344" s="2"/>
      <c r="CB1344" s="2"/>
      <c r="CC1344" s="2"/>
      <c r="CD1344" s="3"/>
      <c r="CE1344" s="2"/>
      <c r="CF1344" s="4"/>
      <c r="CG1344" s="4"/>
      <c r="CI1344" s="2"/>
    </row>
    <row r="1345" spans="1:87" s="101" customFormat="1" x14ac:dyDescent="0.35">
      <c r="A1345" s="1"/>
      <c r="C1345" s="1"/>
      <c r="G1345" s="2"/>
      <c r="H1345" s="2"/>
      <c r="I1345" s="2"/>
      <c r="J1345" s="2"/>
      <c r="K1345" s="81"/>
      <c r="L1345" s="4"/>
      <c r="M1345" s="4"/>
      <c r="N1345" s="4"/>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3"/>
      <c r="AP1345" s="2"/>
      <c r="AQ1345" s="2"/>
      <c r="AR1345" s="2"/>
      <c r="AS1345" s="2"/>
      <c r="AT1345" s="2"/>
      <c r="AU1345" s="2"/>
      <c r="AV1345" s="2"/>
      <c r="AW1345" s="2"/>
      <c r="AX1345" s="2"/>
      <c r="AY1345" s="2"/>
      <c r="AZ1345" s="5"/>
      <c r="BA1345" s="2"/>
      <c r="BD1345" s="2"/>
      <c r="BE1345" s="2"/>
      <c r="BF1345" s="2"/>
      <c r="BG1345" s="2"/>
      <c r="BH1345" s="2"/>
      <c r="BI1345" s="2"/>
      <c r="BJ1345" s="2"/>
      <c r="BK1345" s="2"/>
      <c r="BM1345" s="2"/>
      <c r="BN1345" s="2"/>
      <c r="BO1345" s="2"/>
      <c r="BP1345" s="2"/>
      <c r="BQ1345" s="2"/>
      <c r="BR1345" s="6"/>
      <c r="BS1345" s="6"/>
      <c r="BT1345" s="2"/>
      <c r="BU1345" s="2"/>
      <c r="BV1345" s="2"/>
      <c r="BW1345" s="2"/>
      <c r="BX1345" s="2"/>
      <c r="BY1345" s="2"/>
      <c r="BZ1345" s="2"/>
      <c r="CA1345" s="2"/>
      <c r="CB1345" s="2"/>
      <c r="CC1345" s="2"/>
      <c r="CD1345" s="3"/>
      <c r="CE1345" s="2"/>
      <c r="CF1345" s="4"/>
      <c r="CG1345" s="4"/>
      <c r="CI1345" s="2"/>
    </row>
    <row r="1346" spans="1:87" s="101" customFormat="1" x14ac:dyDescent="0.35">
      <c r="A1346" s="1"/>
      <c r="C1346" s="1"/>
      <c r="G1346" s="2"/>
      <c r="H1346" s="2"/>
      <c r="I1346" s="2"/>
      <c r="J1346" s="2"/>
      <c r="K1346" s="81"/>
      <c r="L1346" s="4"/>
      <c r="M1346" s="4"/>
      <c r="N1346" s="4"/>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3"/>
      <c r="AP1346" s="2"/>
      <c r="AQ1346" s="2"/>
      <c r="AR1346" s="2"/>
      <c r="AS1346" s="2"/>
      <c r="AT1346" s="2"/>
      <c r="AU1346" s="2"/>
      <c r="AV1346" s="2"/>
      <c r="AW1346" s="2"/>
      <c r="AX1346" s="2"/>
      <c r="AY1346" s="2"/>
      <c r="AZ1346" s="5"/>
      <c r="BA1346" s="2"/>
      <c r="BD1346" s="2"/>
      <c r="BE1346" s="2"/>
      <c r="BF1346" s="2"/>
      <c r="BG1346" s="2"/>
      <c r="BH1346" s="2"/>
      <c r="BI1346" s="2"/>
      <c r="BJ1346" s="2"/>
      <c r="BK1346" s="2"/>
      <c r="BM1346" s="2"/>
      <c r="BN1346" s="2"/>
      <c r="BO1346" s="2"/>
      <c r="BP1346" s="2"/>
      <c r="BQ1346" s="2"/>
      <c r="BR1346" s="6"/>
      <c r="BS1346" s="6"/>
      <c r="BT1346" s="2"/>
      <c r="BU1346" s="2"/>
      <c r="BV1346" s="2"/>
      <c r="BW1346" s="2"/>
      <c r="BX1346" s="2"/>
      <c r="BY1346" s="2"/>
      <c r="BZ1346" s="2"/>
      <c r="CA1346" s="2"/>
      <c r="CB1346" s="2"/>
      <c r="CC1346" s="2"/>
      <c r="CD1346" s="3"/>
      <c r="CE1346" s="2"/>
      <c r="CF1346" s="4"/>
      <c r="CG1346" s="4"/>
      <c r="CI1346" s="2"/>
    </row>
    <row r="1347" spans="1:87" s="101" customFormat="1" x14ac:dyDescent="0.35">
      <c r="A1347" s="1"/>
      <c r="C1347" s="1"/>
      <c r="G1347" s="2"/>
      <c r="H1347" s="2"/>
      <c r="I1347" s="2"/>
      <c r="J1347" s="2"/>
      <c r="K1347" s="81"/>
      <c r="L1347" s="4"/>
      <c r="M1347" s="4"/>
      <c r="N1347" s="4"/>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3"/>
      <c r="AP1347" s="2"/>
      <c r="AQ1347" s="2"/>
      <c r="AR1347" s="2"/>
      <c r="AS1347" s="2"/>
      <c r="AT1347" s="2"/>
      <c r="AU1347" s="2"/>
      <c r="AV1347" s="2"/>
      <c r="AW1347" s="2"/>
      <c r="AX1347" s="2"/>
      <c r="AY1347" s="2"/>
      <c r="AZ1347" s="5"/>
      <c r="BA1347" s="2"/>
      <c r="BD1347" s="2"/>
      <c r="BE1347" s="2"/>
      <c r="BF1347" s="2"/>
      <c r="BG1347" s="2"/>
      <c r="BH1347" s="2"/>
      <c r="BI1347" s="2"/>
      <c r="BJ1347" s="2"/>
      <c r="BK1347" s="2"/>
      <c r="BM1347" s="2"/>
      <c r="BN1347" s="2"/>
      <c r="BO1347" s="2"/>
      <c r="BP1347" s="2"/>
      <c r="BQ1347" s="2"/>
      <c r="BR1347" s="6"/>
      <c r="BS1347" s="6"/>
      <c r="BT1347" s="2"/>
      <c r="BU1347" s="2"/>
      <c r="BV1347" s="2"/>
      <c r="BW1347" s="2"/>
      <c r="BX1347" s="2"/>
      <c r="BY1347" s="2"/>
      <c r="BZ1347" s="2"/>
      <c r="CA1347" s="2"/>
      <c r="CB1347" s="2"/>
      <c r="CC1347" s="2"/>
      <c r="CD1347" s="3"/>
      <c r="CE1347" s="2"/>
      <c r="CF1347" s="4"/>
      <c r="CG1347" s="4"/>
      <c r="CI1347" s="2"/>
    </row>
    <row r="1348" spans="1:87" s="101" customFormat="1" x14ac:dyDescent="0.35">
      <c r="A1348" s="1"/>
      <c r="C1348" s="1"/>
      <c r="G1348" s="2"/>
      <c r="H1348" s="2"/>
      <c r="I1348" s="2"/>
      <c r="J1348" s="2"/>
      <c r="K1348" s="81"/>
      <c r="L1348" s="4"/>
      <c r="M1348" s="4"/>
      <c r="N1348" s="4"/>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3"/>
      <c r="AP1348" s="2"/>
      <c r="AQ1348" s="2"/>
      <c r="AR1348" s="2"/>
      <c r="AS1348" s="2"/>
      <c r="AT1348" s="2"/>
      <c r="AU1348" s="2"/>
      <c r="AV1348" s="2"/>
      <c r="AW1348" s="2"/>
      <c r="AX1348" s="2"/>
      <c r="AY1348" s="2"/>
      <c r="AZ1348" s="5"/>
      <c r="BA1348" s="2"/>
      <c r="BD1348" s="2"/>
      <c r="BE1348" s="2"/>
      <c r="BF1348" s="2"/>
      <c r="BG1348" s="2"/>
      <c r="BH1348" s="2"/>
      <c r="BI1348" s="2"/>
      <c r="BJ1348" s="2"/>
      <c r="BK1348" s="2"/>
      <c r="BM1348" s="2"/>
      <c r="BN1348" s="2"/>
      <c r="BO1348" s="2"/>
      <c r="BP1348" s="2"/>
      <c r="BQ1348" s="2"/>
      <c r="BR1348" s="6"/>
      <c r="BS1348" s="6"/>
      <c r="BT1348" s="2"/>
      <c r="BU1348" s="2"/>
      <c r="BV1348" s="2"/>
      <c r="BW1348" s="2"/>
      <c r="BX1348" s="2"/>
      <c r="BY1348" s="2"/>
      <c r="BZ1348" s="2"/>
      <c r="CA1348" s="2"/>
      <c r="CB1348" s="2"/>
      <c r="CC1348" s="2"/>
      <c r="CD1348" s="3"/>
      <c r="CE1348" s="2"/>
      <c r="CF1348" s="4"/>
      <c r="CG1348" s="4"/>
      <c r="CI1348" s="2"/>
    </row>
    <row r="1349" spans="1:87" s="101" customFormat="1" x14ac:dyDescent="0.35">
      <c r="A1349" s="1"/>
      <c r="C1349" s="1"/>
      <c r="G1349" s="2"/>
      <c r="H1349" s="2"/>
      <c r="I1349" s="2"/>
      <c r="J1349" s="2"/>
      <c r="K1349" s="81"/>
      <c r="L1349" s="4"/>
      <c r="M1349" s="4"/>
      <c r="N1349" s="4"/>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3"/>
      <c r="AP1349" s="2"/>
      <c r="AQ1349" s="2"/>
      <c r="AR1349" s="2"/>
      <c r="AS1349" s="2"/>
      <c r="AT1349" s="2"/>
      <c r="AU1349" s="2"/>
      <c r="AV1349" s="2"/>
      <c r="AW1349" s="2"/>
      <c r="AX1349" s="2"/>
      <c r="AY1349" s="2"/>
      <c r="AZ1349" s="5"/>
      <c r="BA1349" s="2"/>
      <c r="BD1349" s="2"/>
      <c r="BE1349" s="2"/>
      <c r="BF1349" s="2"/>
      <c r="BG1349" s="2"/>
      <c r="BH1349" s="2"/>
      <c r="BI1349" s="2"/>
      <c r="BJ1349" s="2"/>
      <c r="BK1349" s="2"/>
      <c r="BM1349" s="2"/>
      <c r="BN1349" s="2"/>
      <c r="BO1349" s="2"/>
      <c r="BP1349" s="2"/>
      <c r="BQ1349" s="2"/>
      <c r="BR1349" s="6"/>
      <c r="BS1349" s="6"/>
      <c r="BT1349" s="2"/>
      <c r="BU1349" s="2"/>
      <c r="BV1349" s="2"/>
      <c r="BW1349" s="2"/>
      <c r="BX1349" s="2"/>
      <c r="BY1349" s="2"/>
      <c r="BZ1349" s="2"/>
      <c r="CA1349" s="2"/>
      <c r="CB1349" s="2"/>
      <c r="CC1349" s="2"/>
      <c r="CD1349" s="3"/>
      <c r="CE1349" s="2"/>
      <c r="CF1349" s="4"/>
      <c r="CG1349" s="4"/>
      <c r="CI1349" s="2"/>
    </row>
    <row r="1350" spans="1:87" s="101" customFormat="1" x14ac:dyDescent="0.35">
      <c r="A1350" s="1"/>
      <c r="C1350" s="1"/>
      <c r="G1350" s="2"/>
      <c r="H1350" s="2"/>
      <c r="I1350" s="2"/>
      <c r="J1350" s="2"/>
      <c r="K1350" s="81"/>
      <c r="L1350" s="4"/>
      <c r="M1350" s="4"/>
      <c r="N1350" s="4"/>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3"/>
      <c r="AP1350" s="2"/>
      <c r="AQ1350" s="2"/>
      <c r="AR1350" s="2"/>
      <c r="AS1350" s="2"/>
      <c r="AT1350" s="2"/>
      <c r="AU1350" s="2"/>
      <c r="AV1350" s="2"/>
      <c r="AW1350" s="2"/>
      <c r="AX1350" s="2"/>
      <c r="AY1350" s="2"/>
      <c r="AZ1350" s="5"/>
      <c r="BA1350" s="2"/>
      <c r="BD1350" s="2"/>
      <c r="BE1350" s="2"/>
      <c r="BF1350" s="2"/>
      <c r="BG1350" s="2"/>
      <c r="BH1350" s="2"/>
      <c r="BI1350" s="2"/>
      <c r="BJ1350" s="2"/>
      <c r="BK1350" s="2"/>
      <c r="BM1350" s="2"/>
      <c r="BN1350" s="2"/>
      <c r="BO1350" s="2"/>
      <c r="BP1350" s="2"/>
      <c r="BQ1350" s="2"/>
      <c r="BR1350" s="6"/>
      <c r="BS1350" s="6"/>
      <c r="BT1350" s="2"/>
      <c r="BU1350" s="2"/>
      <c r="BV1350" s="2"/>
      <c r="BW1350" s="2"/>
      <c r="BX1350" s="2"/>
      <c r="BY1350" s="2"/>
      <c r="BZ1350" s="2"/>
      <c r="CA1350" s="2"/>
      <c r="CB1350" s="2"/>
      <c r="CC1350" s="2"/>
      <c r="CD1350" s="3"/>
      <c r="CE1350" s="2"/>
      <c r="CF1350" s="4"/>
      <c r="CG1350" s="4"/>
      <c r="CI1350" s="2"/>
    </row>
    <row r="1351" spans="1:87" s="101" customFormat="1" x14ac:dyDescent="0.35">
      <c r="A1351" s="1"/>
      <c r="C1351" s="1"/>
      <c r="G1351" s="2"/>
      <c r="H1351" s="2"/>
      <c r="I1351" s="2"/>
      <c r="J1351" s="2"/>
      <c r="K1351" s="81"/>
      <c r="L1351" s="4"/>
      <c r="M1351" s="4"/>
      <c r="N1351" s="4"/>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3"/>
      <c r="AP1351" s="2"/>
      <c r="AQ1351" s="2"/>
      <c r="AR1351" s="2"/>
      <c r="AS1351" s="2"/>
      <c r="AT1351" s="2"/>
      <c r="AU1351" s="2"/>
      <c r="AV1351" s="2"/>
      <c r="AW1351" s="2"/>
      <c r="AX1351" s="2"/>
      <c r="AY1351" s="2"/>
      <c r="AZ1351" s="5"/>
      <c r="BA1351" s="2"/>
      <c r="BD1351" s="2"/>
      <c r="BE1351" s="2"/>
      <c r="BF1351" s="2"/>
      <c r="BG1351" s="2"/>
      <c r="BH1351" s="2"/>
      <c r="BI1351" s="2"/>
      <c r="BJ1351" s="2"/>
      <c r="BK1351" s="2"/>
      <c r="BM1351" s="2"/>
      <c r="BN1351" s="2"/>
      <c r="BO1351" s="2"/>
      <c r="BP1351" s="2"/>
      <c r="BQ1351" s="2"/>
      <c r="BR1351" s="6"/>
      <c r="BS1351" s="6"/>
      <c r="BT1351" s="2"/>
      <c r="BU1351" s="2"/>
      <c r="BV1351" s="2"/>
      <c r="BW1351" s="2"/>
      <c r="BX1351" s="2"/>
      <c r="BY1351" s="2"/>
      <c r="BZ1351" s="2"/>
      <c r="CA1351" s="2"/>
      <c r="CB1351" s="2"/>
      <c r="CC1351" s="2"/>
      <c r="CD1351" s="3"/>
      <c r="CE1351" s="2"/>
      <c r="CF1351" s="4"/>
      <c r="CG1351" s="4"/>
      <c r="CI1351" s="2"/>
    </row>
    <row r="1352" spans="1:87" s="101" customFormat="1" x14ac:dyDescent="0.35">
      <c r="A1352" s="1"/>
      <c r="C1352" s="1"/>
      <c r="G1352" s="2"/>
      <c r="H1352" s="2"/>
      <c r="I1352" s="2"/>
      <c r="J1352" s="2"/>
      <c r="K1352" s="81"/>
      <c r="L1352" s="4"/>
      <c r="M1352" s="4"/>
      <c r="N1352" s="4"/>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3"/>
      <c r="AP1352" s="2"/>
      <c r="AQ1352" s="2"/>
      <c r="AR1352" s="2"/>
      <c r="AS1352" s="2"/>
      <c r="AT1352" s="2"/>
      <c r="AU1352" s="2"/>
      <c r="AV1352" s="2"/>
      <c r="AW1352" s="2"/>
      <c r="AX1352" s="2"/>
      <c r="AY1352" s="2"/>
      <c r="AZ1352" s="5"/>
      <c r="BA1352" s="2"/>
      <c r="BD1352" s="2"/>
      <c r="BE1352" s="2"/>
      <c r="BF1352" s="2"/>
      <c r="BG1352" s="2"/>
      <c r="BH1352" s="2"/>
      <c r="BI1352" s="2"/>
      <c r="BJ1352" s="2"/>
      <c r="BK1352" s="2"/>
      <c r="BM1352" s="2"/>
      <c r="BN1352" s="2"/>
      <c r="BO1352" s="2"/>
      <c r="BP1352" s="2"/>
      <c r="BQ1352" s="2"/>
      <c r="BR1352" s="6"/>
      <c r="BS1352" s="6"/>
      <c r="BT1352" s="2"/>
      <c r="BU1352" s="2"/>
      <c r="BV1352" s="2"/>
      <c r="BW1352" s="2"/>
      <c r="BX1352" s="2"/>
      <c r="BY1352" s="2"/>
      <c r="BZ1352" s="2"/>
      <c r="CA1352" s="2"/>
      <c r="CB1352" s="2"/>
      <c r="CC1352" s="2"/>
      <c r="CD1352" s="3"/>
      <c r="CE1352" s="2"/>
      <c r="CF1352" s="4"/>
      <c r="CG1352" s="4"/>
      <c r="CI1352" s="2"/>
    </row>
    <row r="1353" spans="1:87" s="101" customFormat="1" x14ac:dyDescent="0.35">
      <c r="A1353" s="1"/>
      <c r="C1353" s="1"/>
      <c r="G1353" s="2"/>
      <c r="H1353" s="2"/>
      <c r="I1353" s="2"/>
      <c r="J1353" s="2"/>
      <c r="K1353" s="81"/>
      <c r="L1353" s="4"/>
      <c r="M1353" s="4"/>
      <c r="N1353" s="4"/>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3"/>
      <c r="AP1353" s="2"/>
      <c r="AQ1353" s="2"/>
      <c r="AR1353" s="2"/>
      <c r="AS1353" s="2"/>
      <c r="AT1353" s="2"/>
      <c r="AU1353" s="2"/>
      <c r="AV1353" s="2"/>
      <c r="AW1353" s="2"/>
      <c r="AX1353" s="2"/>
      <c r="AY1353" s="2"/>
      <c r="AZ1353" s="5"/>
      <c r="BA1353" s="2"/>
      <c r="BD1353" s="2"/>
      <c r="BE1353" s="2"/>
      <c r="BF1353" s="2"/>
      <c r="BG1353" s="2"/>
      <c r="BH1353" s="2"/>
      <c r="BI1353" s="2"/>
      <c r="BJ1353" s="2"/>
      <c r="BK1353" s="2"/>
      <c r="BM1353" s="2"/>
      <c r="BN1353" s="2"/>
      <c r="BO1353" s="2"/>
      <c r="BP1353" s="2"/>
      <c r="BQ1353" s="2"/>
      <c r="BR1353" s="6"/>
      <c r="BS1353" s="6"/>
      <c r="BT1353" s="2"/>
      <c r="BU1353" s="2"/>
      <c r="BV1353" s="2"/>
      <c r="BW1353" s="2"/>
      <c r="BX1353" s="2"/>
      <c r="BY1353" s="2"/>
      <c r="BZ1353" s="2"/>
      <c r="CA1353" s="2"/>
      <c r="CB1353" s="2"/>
      <c r="CC1353" s="2"/>
      <c r="CD1353" s="3"/>
      <c r="CE1353" s="2"/>
      <c r="CF1353" s="4"/>
      <c r="CG1353" s="4"/>
      <c r="CI1353" s="2"/>
    </row>
    <row r="1354" spans="1:87" s="101" customFormat="1" x14ac:dyDescent="0.35">
      <c r="A1354" s="1"/>
      <c r="C1354" s="1"/>
      <c r="G1354" s="2"/>
      <c r="H1354" s="2"/>
      <c r="I1354" s="2"/>
      <c r="J1354" s="2"/>
      <c r="K1354" s="81"/>
      <c r="L1354" s="4"/>
      <c r="M1354" s="4"/>
      <c r="N1354" s="4"/>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3"/>
      <c r="AP1354" s="2"/>
      <c r="AQ1354" s="2"/>
      <c r="AR1354" s="2"/>
      <c r="AS1354" s="2"/>
      <c r="AT1354" s="2"/>
      <c r="AU1354" s="2"/>
      <c r="AV1354" s="2"/>
      <c r="AW1354" s="2"/>
      <c r="AX1354" s="2"/>
      <c r="AY1354" s="2"/>
      <c r="AZ1354" s="5"/>
      <c r="BA1354" s="2"/>
      <c r="BD1354" s="2"/>
      <c r="BE1354" s="2"/>
      <c r="BF1354" s="2"/>
      <c r="BG1354" s="2"/>
      <c r="BH1354" s="2"/>
      <c r="BI1354" s="2"/>
      <c r="BJ1354" s="2"/>
      <c r="BK1354" s="2"/>
      <c r="BM1354" s="2"/>
      <c r="BN1354" s="2"/>
      <c r="BO1354" s="2"/>
      <c r="BP1354" s="2"/>
      <c r="BQ1354" s="2"/>
      <c r="BR1354" s="6"/>
      <c r="BS1354" s="6"/>
      <c r="BT1354" s="2"/>
      <c r="BU1354" s="2"/>
      <c r="BV1354" s="2"/>
      <c r="BW1354" s="2"/>
      <c r="BX1354" s="2"/>
      <c r="BY1354" s="2"/>
      <c r="BZ1354" s="2"/>
      <c r="CA1354" s="2"/>
      <c r="CB1354" s="2"/>
      <c r="CC1354" s="2"/>
      <c r="CD1354" s="3"/>
      <c r="CE1354" s="2"/>
      <c r="CF1354" s="4"/>
      <c r="CG1354" s="4"/>
      <c r="CI1354" s="2"/>
    </row>
    <row r="1355" spans="1:87" s="101" customFormat="1" x14ac:dyDescent="0.35">
      <c r="A1355" s="1"/>
      <c r="C1355" s="1"/>
      <c r="G1355" s="2"/>
      <c r="H1355" s="2"/>
      <c r="I1355" s="2"/>
      <c r="J1355" s="2"/>
      <c r="K1355" s="81"/>
      <c r="L1355" s="4"/>
      <c r="M1355" s="4"/>
      <c r="N1355" s="4"/>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3"/>
      <c r="AP1355" s="2"/>
      <c r="AQ1355" s="2"/>
      <c r="AR1355" s="2"/>
      <c r="AS1355" s="2"/>
      <c r="AT1355" s="2"/>
      <c r="AU1355" s="2"/>
      <c r="AV1355" s="2"/>
      <c r="AW1355" s="2"/>
      <c r="AX1355" s="2"/>
      <c r="AY1355" s="2"/>
      <c r="AZ1355" s="5"/>
      <c r="BA1355" s="2"/>
      <c r="BD1355" s="2"/>
      <c r="BE1355" s="2"/>
      <c r="BF1355" s="2"/>
      <c r="BG1355" s="2"/>
      <c r="BH1355" s="2"/>
      <c r="BI1355" s="2"/>
      <c r="BJ1355" s="2"/>
      <c r="BK1355" s="2"/>
      <c r="BM1355" s="2"/>
      <c r="BN1355" s="2"/>
      <c r="BO1355" s="2"/>
      <c r="BP1355" s="2"/>
      <c r="BQ1355" s="2"/>
      <c r="BR1355" s="6"/>
      <c r="BS1355" s="6"/>
      <c r="BT1355" s="2"/>
      <c r="BU1355" s="2"/>
      <c r="BV1355" s="2"/>
      <c r="BW1355" s="2"/>
      <c r="BX1355" s="2"/>
      <c r="BY1355" s="2"/>
      <c r="BZ1355" s="2"/>
      <c r="CA1355" s="2"/>
      <c r="CB1355" s="2"/>
      <c r="CC1355" s="2"/>
      <c r="CD1355" s="3"/>
      <c r="CE1355" s="2"/>
      <c r="CF1355" s="4"/>
      <c r="CG1355" s="4"/>
      <c r="CI1355" s="2"/>
    </row>
    <row r="1356" spans="1:87" s="101" customFormat="1" x14ac:dyDescent="0.35">
      <c r="A1356" s="1"/>
      <c r="C1356" s="1"/>
      <c r="G1356" s="2"/>
      <c r="H1356" s="2"/>
      <c r="I1356" s="2"/>
      <c r="J1356" s="2"/>
      <c r="K1356" s="81"/>
      <c r="L1356" s="4"/>
      <c r="M1356" s="4"/>
      <c r="N1356" s="4"/>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3"/>
      <c r="AP1356" s="2"/>
      <c r="AQ1356" s="2"/>
      <c r="AR1356" s="2"/>
      <c r="AS1356" s="2"/>
      <c r="AT1356" s="2"/>
      <c r="AU1356" s="2"/>
      <c r="AV1356" s="2"/>
      <c r="AW1356" s="2"/>
      <c r="AX1356" s="2"/>
      <c r="AY1356" s="2"/>
      <c r="AZ1356" s="5"/>
      <c r="BA1356" s="2"/>
      <c r="BD1356" s="2"/>
      <c r="BE1356" s="2"/>
      <c r="BF1356" s="2"/>
      <c r="BG1356" s="2"/>
      <c r="BH1356" s="2"/>
      <c r="BI1356" s="2"/>
      <c r="BJ1356" s="2"/>
      <c r="BK1356" s="2"/>
      <c r="BM1356" s="2"/>
      <c r="BN1356" s="2"/>
      <c r="BO1356" s="2"/>
      <c r="BP1356" s="2"/>
      <c r="BQ1356" s="2"/>
      <c r="BR1356" s="6"/>
      <c r="BS1356" s="6"/>
      <c r="BT1356" s="2"/>
      <c r="BU1356" s="2"/>
      <c r="BV1356" s="2"/>
      <c r="BW1356" s="2"/>
      <c r="BX1356" s="2"/>
      <c r="BY1356" s="2"/>
      <c r="BZ1356" s="2"/>
      <c r="CA1356" s="2"/>
      <c r="CB1356" s="2"/>
      <c r="CC1356" s="2"/>
      <c r="CD1356" s="3"/>
      <c r="CE1356" s="2"/>
      <c r="CF1356" s="4"/>
      <c r="CG1356" s="4"/>
      <c r="CI1356" s="2"/>
    </row>
    <row r="1357" spans="1:87" s="101" customFormat="1" x14ac:dyDescent="0.35">
      <c r="A1357" s="1"/>
      <c r="C1357" s="1"/>
      <c r="G1357" s="2"/>
      <c r="H1357" s="2"/>
      <c r="I1357" s="2"/>
      <c r="J1357" s="2"/>
      <c r="K1357" s="81"/>
      <c r="L1357" s="4"/>
      <c r="M1357" s="4"/>
      <c r="N1357" s="4"/>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3"/>
      <c r="AP1357" s="2"/>
      <c r="AQ1357" s="2"/>
      <c r="AR1357" s="2"/>
      <c r="AS1357" s="2"/>
      <c r="AT1357" s="2"/>
      <c r="AU1357" s="2"/>
      <c r="AV1357" s="2"/>
      <c r="AW1357" s="2"/>
      <c r="AX1357" s="2"/>
      <c r="AY1357" s="2"/>
      <c r="AZ1357" s="5"/>
      <c r="BA1357" s="2"/>
      <c r="BD1357" s="2"/>
      <c r="BE1357" s="2"/>
      <c r="BF1357" s="2"/>
      <c r="BG1357" s="2"/>
      <c r="BH1357" s="2"/>
      <c r="BI1357" s="2"/>
      <c r="BJ1357" s="2"/>
      <c r="BK1357" s="2"/>
      <c r="BM1357" s="2"/>
      <c r="BN1357" s="2"/>
      <c r="BO1357" s="2"/>
      <c r="BP1357" s="2"/>
      <c r="BQ1357" s="2"/>
      <c r="BR1357" s="6"/>
      <c r="BS1357" s="6"/>
      <c r="BT1357" s="2"/>
      <c r="BU1357" s="2"/>
      <c r="BV1357" s="2"/>
      <c r="BW1357" s="2"/>
      <c r="BX1357" s="2"/>
      <c r="BY1357" s="2"/>
      <c r="BZ1357" s="2"/>
      <c r="CA1357" s="2"/>
      <c r="CB1357" s="2"/>
      <c r="CC1357" s="2"/>
      <c r="CD1357" s="3"/>
      <c r="CE1357" s="2"/>
      <c r="CF1357" s="4"/>
      <c r="CG1357" s="4"/>
      <c r="CI1357" s="2"/>
    </row>
    <row r="1358" spans="1:87" s="101" customFormat="1" x14ac:dyDescent="0.35">
      <c r="A1358" s="1"/>
      <c r="C1358" s="1"/>
      <c r="G1358" s="2"/>
      <c r="H1358" s="2"/>
      <c r="I1358" s="2"/>
      <c r="J1358" s="2"/>
      <c r="K1358" s="81"/>
      <c r="L1358" s="4"/>
      <c r="M1358" s="4"/>
      <c r="N1358" s="4"/>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3"/>
      <c r="AP1358" s="2"/>
      <c r="AQ1358" s="2"/>
      <c r="AR1358" s="2"/>
      <c r="AS1358" s="2"/>
      <c r="AT1358" s="2"/>
      <c r="AU1358" s="2"/>
      <c r="AV1358" s="2"/>
      <c r="AW1358" s="2"/>
      <c r="AX1358" s="2"/>
      <c r="AY1358" s="2"/>
      <c r="AZ1358" s="5"/>
      <c r="BA1358" s="2"/>
      <c r="BD1358" s="2"/>
      <c r="BE1358" s="2"/>
      <c r="BF1358" s="2"/>
      <c r="BG1358" s="2"/>
      <c r="BH1358" s="2"/>
      <c r="BI1358" s="2"/>
      <c r="BJ1358" s="2"/>
      <c r="BK1358" s="2"/>
      <c r="BM1358" s="2"/>
      <c r="BN1358" s="2"/>
      <c r="BO1358" s="2"/>
      <c r="BP1358" s="2"/>
      <c r="BQ1358" s="2"/>
      <c r="BR1358" s="6"/>
      <c r="BS1358" s="6"/>
      <c r="BT1358" s="2"/>
      <c r="BU1358" s="2"/>
      <c r="BV1358" s="2"/>
      <c r="BW1358" s="2"/>
      <c r="BX1358" s="2"/>
      <c r="BY1358" s="2"/>
      <c r="BZ1358" s="2"/>
      <c r="CA1358" s="2"/>
      <c r="CB1358" s="2"/>
      <c r="CC1358" s="2"/>
      <c r="CD1358" s="3"/>
      <c r="CE1358" s="2"/>
      <c r="CF1358" s="4"/>
      <c r="CG1358" s="4"/>
      <c r="CI1358" s="2"/>
    </row>
    <row r="1359" spans="1:87" s="101" customFormat="1" x14ac:dyDescent="0.35">
      <c r="A1359" s="1"/>
      <c r="C1359" s="1"/>
      <c r="G1359" s="2"/>
      <c r="H1359" s="2"/>
      <c r="I1359" s="2"/>
      <c r="J1359" s="2"/>
      <c r="K1359" s="81"/>
      <c r="L1359" s="4"/>
      <c r="M1359" s="4"/>
      <c r="N1359" s="4"/>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3"/>
      <c r="AP1359" s="2"/>
      <c r="AQ1359" s="2"/>
      <c r="AR1359" s="2"/>
      <c r="AS1359" s="2"/>
      <c r="AT1359" s="2"/>
      <c r="AU1359" s="2"/>
      <c r="AV1359" s="2"/>
      <c r="AW1359" s="2"/>
      <c r="AX1359" s="2"/>
      <c r="AY1359" s="2"/>
      <c r="AZ1359" s="5"/>
      <c r="BA1359" s="2"/>
      <c r="BD1359" s="2"/>
      <c r="BE1359" s="2"/>
      <c r="BF1359" s="2"/>
      <c r="BG1359" s="2"/>
      <c r="BH1359" s="2"/>
      <c r="BI1359" s="2"/>
      <c r="BJ1359" s="2"/>
      <c r="BK1359" s="2"/>
      <c r="BM1359" s="2"/>
      <c r="BN1359" s="2"/>
      <c r="BO1359" s="2"/>
      <c r="BP1359" s="2"/>
      <c r="BQ1359" s="2"/>
      <c r="BR1359" s="6"/>
      <c r="BS1359" s="6"/>
      <c r="BT1359" s="2"/>
      <c r="BU1359" s="2"/>
      <c r="BV1359" s="2"/>
      <c r="BW1359" s="2"/>
      <c r="BX1359" s="2"/>
      <c r="BY1359" s="2"/>
      <c r="BZ1359" s="2"/>
      <c r="CA1359" s="2"/>
      <c r="CB1359" s="2"/>
      <c r="CC1359" s="2"/>
      <c r="CD1359" s="3"/>
      <c r="CE1359" s="2"/>
      <c r="CF1359" s="4"/>
      <c r="CG1359" s="4"/>
      <c r="CI1359" s="2"/>
    </row>
    <row r="1360" spans="1:87" s="101" customFormat="1" x14ac:dyDescent="0.35">
      <c r="A1360" s="1"/>
      <c r="C1360" s="1"/>
      <c r="G1360" s="2"/>
      <c r="H1360" s="2"/>
      <c r="I1360" s="2"/>
      <c r="J1360" s="2"/>
      <c r="K1360" s="81"/>
      <c r="L1360" s="4"/>
      <c r="M1360" s="4"/>
      <c r="N1360" s="4"/>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3"/>
      <c r="AP1360" s="2"/>
      <c r="AQ1360" s="2"/>
      <c r="AR1360" s="2"/>
      <c r="AS1360" s="2"/>
      <c r="AT1360" s="2"/>
      <c r="AU1360" s="2"/>
      <c r="AV1360" s="2"/>
      <c r="AW1360" s="2"/>
      <c r="AX1360" s="2"/>
      <c r="AY1360" s="2"/>
      <c r="AZ1360" s="5"/>
      <c r="BA1360" s="2"/>
      <c r="BD1360" s="2"/>
      <c r="BE1360" s="2"/>
      <c r="BF1360" s="2"/>
      <c r="BG1360" s="2"/>
      <c r="BH1360" s="2"/>
      <c r="BI1360" s="2"/>
      <c r="BJ1360" s="2"/>
      <c r="BK1360" s="2"/>
      <c r="BM1360" s="2"/>
      <c r="BN1360" s="2"/>
      <c r="BO1360" s="2"/>
      <c r="BP1360" s="2"/>
      <c r="BQ1360" s="2"/>
      <c r="BR1360" s="6"/>
      <c r="BS1360" s="6"/>
      <c r="BT1360" s="2"/>
      <c r="BU1360" s="2"/>
      <c r="BV1360" s="2"/>
      <c r="BW1360" s="2"/>
      <c r="BX1360" s="2"/>
      <c r="BY1360" s="2"/>
      <c r="BZ1360" s="2"/>
      <c r="CA1360" s="2"/>
      <c r="CB1360" s="2"/>
      <c r="CC1360" s="2"/>
      <c r="CD1360" s="3"/>
      <c r="CE1360" s="2"/>
      <c r="CF1360" s="4"/>
      <c r="CG1360" s="4"/>
      <c r="CI1360" s="2"/>
    </row>
    <row r="1361" spans="1:87" s="101" customFormat="1" x14ac:dyDescent="0.35">
      <c r="A1361" s="1"/>
      <c r="C1361" s="1"/>
      <c r="G1361" s="2"/>
      <c r="H1361" s="2"/>
      <c r="I1361" s="2"/>
      <c r="J1361" s="2"/>
      <c r="K1361" s="81"/>
      <c r="L1361" s="4"/>
      <c r="M1361" s="4"/>
      <c r="N1361" s="4"/>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3"/>
      <c r="AP1361" s="2"/>
      <c r="AQ1361" s="2"/>
      <c r="AR1361" s="2"/>
      <c r="AS1361" s="2"/>
      <c r="AT1361" s="2"/>
      <c r="AU1361" s="2"/>
      <c r="AV1361" s="2"/>
      <c r="AW1361" s="2"/>
      <c r="AX1361" s="2"/>
      <c r="AY1361" s="2"/>
      <c r="AZ1361" s="5"/>
      <c r="BA1361" s="2"/>
      <c r="BD1361" s="2"/>
      <c r="BE1361" s="2"/>
      <c r="BF1361" s="2"/>
      <c r="BG1361" s="2"/>
      <c r="BH1361" s="2"/>
      <c r="BI1361" s="2"/>
      <c r="BJ1361" s="2"/>
      <c r="BK1361" s="2"/>
      <c r="BM1361" s="2"/>
      <c r="BN1361" s="2"/>
      <c r="BO1361" s="2"/>
      <c r="BP1361" s="2"/>
      <c r="BQ1361" s="2"/>
      <c r="BR1361" s="6"/>
      <c r="BS1361" s="6"/>
      <c r="BT1361" s="2"/>
      <c r="BU1361" s="2"/>
      <c r="BV1361" s="2"/>
      <c r="BW1361" s="2"/>
      <c r="BX1361" s="2"/>
      <c r="BY1361" s="2"/>
      <c r="BZ1361" s="2"/>
      <c r="CA1361" s="2"/>
      <c r="CB1361" s="2"/>
      <c r="CC1361" s="2"/>
      <c r="CD1361" s="3"/>
      <c r="CE1361" s="2"/>
      <c r="CF1361" s="4"/>
      <c r="CG1361" s="4"/>
      <c r="CI1361" s="2"/>
    </row>
    <row r="1362" spans="1:87" s="101" customFormat="1" x14ac:dyDescent="0.35">
      <c r="A1362" s="1"/>
      <c r="C1362" s="1"/>
      <c r="G1362" s="2"/>
      <c r="H1362" s="2"/>
      <c r="I1362" s="2"/>
      <c r="J1362" s="2"/>
      <c r="K1362" s="81"/>
      <c r="L1362" s="4"/>
      <c r="M1362" s="4"/>
      <c r="N1362" s="4"/>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3"/>
      <c r="AP1362" s="2"/>
      <c r="AQ1362" s="2"/>
      <c r="AR1362" s="2"/>
      <c r="AS1362" s="2"/>
      <c r="AT1362" s="2"/>
      <c r="AU1362" s="2"/>
      <c r="AV1362" s="2"/>
      <c r="AW1362" s="2"/>
      <c r="AX1362" s="2"/>
      <c r="AY1362" s="2"/>
      <c r="AZ1362" s="5"/>
      <c r="BA1362" s="2"/>
      <c r="BD1362" s="2"/>
      <c r="BE1362" s="2"/>
      <c r="BF1362" s="2"/>
      <c r="BG1362" s="2"/>
      <c r="BH1362" s="2"/>
      <c r="BI1362" s="2"/>
      <c r="BJ1362" s="2"/>
      <c r="BK1362" s="2"/>
      <c r="BM1362" s="2"/>
      <c r="BN1362" s="2"/>
      <c r="BO1362" s="2"/>
      <c r="BP1362" s="2"/>
      <c r="BQ1362" s="2"/>
      <c r="BR1362" s="6"/>
      <c r="BS1362" s="6"/>
      <c r="BT1362" s="2"/>
      <c r="BU1362" s="2"/>
      <c r="BV1362" s="2"/>
      <c r="BW1362" s="2"/>
      <c r="BX1362" s="2"/>
      <c r="BY1362" s="2"/>
      <c r="BZ1362" s="2"/>
      <c r="CA1362" s="2"/>
      <c r="CB1362" s="2"/>
      <c r="CC1362" s="2"/>
      <c r="CD1362" s="3"/>
      <c r="CE1362" s="2"/>
      <c r="CF1362" s="4"/>
      <c r="CG1362" s="4"/>
      <c r="CI1362" s="2"/>
    </row>
    <row r="1363" spans="1:87" s="101" customFormat="1" x14ac:dyDescent="0.35">
      <c r="A1363" s="1"/>
      <c r="C1363" s="1"/>
      <c r="G1363" s="2"/>
      <c r="H1363" s="2"/>
      <c r="I1363" s="2"/>
      <c r="J1363" s="2"/>
      <c r="K1363" s="81"/>
      <c r="L1363" s="4"/>
      <c r="M1363" s="4"/>
      <c r="N1363" s="4"/>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3"/>
      <c r="AP1363" s="2"/>
      <c r="AQ1363" s="2"/>
      <c r="AR1363" s="2"/>
      <c r="AS1363" s="2"/>
      <c r="AT1363" s="2"/>
      <c r="AU1363" s="2"/>
      <c r="AV1363" s="2"/>
      <c r="AW1363" s="2"/>
      <c r="AX1363" s="2"/>
      <c r="AY1363" s="2"/>
      <c r="AZ1363" s="5"/>
      <c r="BA1363" s="2"/>
      <c r="BD1363" s="2"/>
      <c r="BE1363" s="2"/>
      <c r="BF1363" s="2"/>
      <c r="BG1363" s="2"/>
      <c r="BH1363" s="2"/>
      <c r="BI1363" s="2"/>
      <c r="BJ1363" s="2"/>
      <c r="BK1363" s="2"/>
      <c r="BM1363" s="2"/>
      <c r="BN1363" s="2"/>
      <c r="BO1363" s="2"/>
      <c r="BP1363" s="2"/>
      <c r="BQ1363" s="2"/>
      <c r="BR1363" s="6"/>
      <c r="BS1363" s="6"/>
      <c r="BT1363" s="2"/>
      <c r="BU1363" s="2"/>
      <c r="BV1363" s="2"/>
      <c r="BW1363" s="2"/>
      <c r="BX1363" s="2"/>
      <c r="BY1363" s="2"/>
      <c r="BZ1363" s="2"/>
      <c r="CA1363" s="2"/>
      <c r="CB1363" s="2"/>
      <c r="CC1363" s="2"/>
      <c r="CD1363" s="3"/>
      <c r="CE1363" s="2"/>
      <c r="CF1363" s="4"/>
      <c r="CG1363" s="4"/>
      <c r="CI1363" s="2"/>
    </row>
    <row r="1364" spans="1:87" s="101" customFormat="1" x14ac:dyDescent="0.35">
      <c r="A1364" s="1"/>
      <c r="C1364" s="1"/>
      <c r="G1364" s="2"/>
      <c r="H1364" s="2"/>
      <c r="I1364" s="2"/>
      <c r="J1364" s="2"/>
      <c r="K1364" s="81"/>
      <c r="L1364" s="4"/>
      <c r="M1364" s="4"/>
      <c r="N1364" s="4"/>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3"/>
      <c r="AP1364" s="2"/>
      <c r="AQ1364" s="2"/>
      <c r="AR1364" s="2"/>
      <c r="AS1364" s="2"/>
      <c r="AT1364" s="2"/>
      <c r="AU1364" s="2"/>
      <c r="AV1364" s="2"/>
      <c r="AW1364" s="2"/>
      <c r="AX1364" s="2"/>
      <c r="AY1364" s="2"/>
      <c r="AZ1364" s="5"/>
      <c r="BA1364" s="2"/>
      <c r="BD1364" s="2"/>
      <c r="BE1364" s="2"/>
      <c r="BF1364" s="2"/>
      <c r="BG1364" s="2"/>
      <c r="BH1364" s="2"/>
      <c r="BI1364" s="2"/>
      <c r="BJ1364" s="2"/>
      <c r="BK1364" s="2"/>
      <c r="BM1364" s="2"/>
      <c r="BN1364" s="2"/>
      <c r="BO1364" s="2"/>
      <c r="BP1364" s="2"/>
      <c r="BQ1364" s="2"/>
      <c r="BR1364" s="6"/>
      <c r="BS1364" s="6"/>
      <c r="BT1364" s="2"/>
      <c r="BU1364" s="2"/>
      <c r="BV1364" s="2"/>
      <c r="BW1364" s="2"/>
      <c r="BX1364" s="2"/>
      <c r="BY1364" s="2"/>
      <c r="BZ1364" s="2"/>
      <c r="CA1364" s="2"/>
      <c r="CB1364" s="2"/>
      <c r="CC1364" s="2"/>
      <c r="CD1364" s="3"/>
      <c r="CE1364" s="2"/>
      <c r="CF1364" s="4"/>
      <c r="CG1364" s="4"/>
      <c r="CI1364" s="2"/>
    </row>
    <row r="1365" spans="1:87" s="101" customFormat="1" x14ac:dyDescent="0.35">
      <c r="A1365" s="1"/>
      <c r="C1365" s="1"/>
      <c r="G1365" s="2"/>
      <c r="H1365" s="2"/>
      <c r="I1365" s="2"/>
      <c r="J1365" s="2"/>
      <c r="K1365" s="81"/>
      <c r="L1365" s="4"/>
      <c r="M1365" s="4"/>
      <c r="N1365" s="4"/>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3"/>
      <c r="AP1365" s="2"/>
      <c r="AQ1365" s="2"/>
      <c r="AR1365" s="2"/>
      <c r="AS1365" s="2"/>
      <c r="AT1365" s="2"/>
      <c r="AU1365" s="2"/>
      <c r="AV1365" s="2"/>
      <c r="AW1365" s="2"/>
      <c r="AX1365" s="2"/>
      <c r="AY1365" s="2"/>
      <c r="AZ1365" s="5"/>
      <c r="BA1365" s="2"/>
      <c r="BD1365" s="2"/>
      <c r="BE1365" s="2"/>
      <c r="BF1365" s="2"/>
      <c r="BG1365" s="2"/>
      <c r="BH1365" s="2"/>
      <c r="BI1365" s="2"/>
      <c r="BJ1365" s="2"/>
      <c r="BK1365" s="2"/>
      <c r="BM1365" s="2"/>
      <c r="BN1365" s="2"/>
      <c r="BO1365" s="2"/>
      <c r="BP1365" s="2"/>
      <c r="BQ1365" s="2"/>
      <c r="BR1365" s="6"/>
      <c r="BS1365" s="6"/>
      <c r="BT1365" s="2"/>
      <c r="BU1365" s="2"/>
      <c r="BV1365" s="2"/>
      <c r="BW1365" s="2"/>
      <c r="BX1365" s="2"/>
      <c r="BY1365" s="2"/>
      <c r="BZ1365" s="2"/>
      <c r="CA1365" s="2"/>
      <c r="CB1365" s="2"/>
      <c r="CC1365" s="2"/>
      <c r="CD1365" s="3"/>
      <c r="CE1365" s="2"/>
      <c r="CF1365" s="4"/>
      <c r="CG1365" s="4"/>
      <c r="CI1365" s="2"/>
    </row>
    <row r="1366" spans="1:87" s="101" customFormat="1" x14ac:dyDescent="0.35">
      <c r="A1366" s="1"/>
      <c r="C1366" s="1"/>
      <c r="G1366" s="2"/>
      <c r="H1366" s="2"/>
      <c r="I1366" s="2"/>
      <c r="J1366" s="2"/>
      <c r="K1366" s="81"/>
      <c r="L1366" s="4"/>
      <c r="M1366" s="4"/>
      <c r="N1366" s="4"/>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3"/>
      <c r="AP1366" s="2"/>
      <c r="AQ1366" s="2"/>
      <c r="AR1366" s="2"/>
      <c r="AS1366" s="2"/>
      <c r="AT1366" s="2"/>
      <c r="AU1366" s="2"/>
      <c r="AV1366" s="2"/>
      <c r="AW1366" s="2"/>
      <c r="AX1366" s="2"/>
      <c r="AY1366" s="2"/>
      <c r="AZ1366" s="5"/>
      <c r="BA1366" s="2"/>
      <c r="BD1366" s="2"/>
      <c r="BE1366" s="2"/>
      <c r="BF1366" s="2"/>
      <c r="BG1366" s="2"/>
      <c r="BH1366" s="2"/>
      <c r="BI1366" s="2"/>
      <c r="BJ1366" s="2"/>
      <c r="BK1366" s="2"/>
      <c r="BM1366" s="2"/>
      <c r="BN1366" s="2"/>
      <c r="BO1366" s="2"/>
      <c r="BP1366" s="2"/>
      <c r="BQ1366" s="2"/>
      <c r="BR1366" s="6"/>
      <c r="BS1366" s="6"/>
      <c r="BT1366" s="2"/>
      <c r="BU1366" s="2"/>
      <c r="BV1366" s="2"/>
      <c r="BW1366" s="2"/>
      <c r="BX1366" s="2"/>
      <c r="BY1366" s="2"/>
      <c r="BZ1366" s="2"/>
      <c r="CA1366" s="2"/>
      <c r="CB1366" s="2"/>
      <c r="CC1366" s="2"/>
      <c r="CD1366" s="3"/>
      <c r="CE1366" s="2"/>
      <c r="CF1366" s="4"/>
      <c r="CG1366" s="4"/>
      <c r="CI1366" s="2"/>
    </row>
    <row r="1367" spans="1:87" s="101" customFormat="1" x14ac:dyDescent="0.35">
      <c r="A1367" s="1"/>
      <c r="C1367" s="1"/>
      <c r="G1367" s="2"/>
      <c r="H1367" s="2"/>
      <c r="I1367" s="2"/>
      <c r="J1367" s="2"/>
      <c r="K1367" s="81"/>
      <c r="L1367" s="4"/>
      <c r="M1367" s="4"/>
      <c r="N1367" s="4"/>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3"/>
      <c r="AP1367" s="2"/>
      <c r="AQ1367" s="2"/>
      <c r="AR1367" s="2"/>
      <c r="AS1367" s="2"/>
      <c r="AT1367" s="2"/>
      <c r="AU1367" s="2"/>
      <c r="AV1367" s="2"/>
      <c r="AW1367" s="2"/>
      <c r="AX1367" s="2"/>
      <c r="AY1367" s="2"/>
      <c r="AZ1367" s="5"/>
      <c r="BA1367" s="2"/>
      <c r="BD1367" s="2"/>
      <c r="BE1367" s="2"/>
      <c r="BF1367" s="2"/>
      <c r="BG1367" s="2"/>
      <c r="BH1367" s="2"/>
      <c r="BI1367" s="2"/>
      <c r="BJ1367" s="2"/>
      <c r="BK1367" s="2"/>
      <c r="BM1367" s="2"/>
      <c r="BN1367" s="2"/>
      <c r="BO1367" s="2"/>
      <c r="BP1367" s="2"/>
      <c r="BQ1367" s="2"/>
      <c r="BR1367" s="6"/>
      <c r="BS1367" s="6"/>
      <c r="BT1367" s="2"/>
      <c r="BU1367" s="2"/>
      <c r="BV1367" s="2"/>
      <c r="BW1367" s="2"/>
      <c r="BX1367" s="2"/>
      <c r="BY1367" s="2"/>
      <c r="BZ1367" s="2"/>
      <c r="CA1367" s="2"/>
      <c r="CB1367" s="2"/>
      <c r="CC1367" s="2"/>
      <c r="CD1367" s="3"/>
      <c r="CE1367" s="2"/>
      <c r="CF1367" s="4"/>
      <c r="CG1367" s="4"/>
      <c r="CI1367" s="2"/>
    </row>
    <row r="1368" spans="1:87" s="101" customFormat="1" x14ac:dyDescent="0.35">
      <c r="A1368" s="1"/>
      <c r="C1368" s="1"/>
      <c r="G1368" s="2"/>
      <c r="H1368" s="2"/>
      <c r="I1368" s="2"/>
      <c r="J1368" s="2"/>
      <c r="K1368" s="81"/>
      <c r="L1368" s="4"/>
      <c r="M1368" s="4"/>
      <c r="N1368" s="4"/>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3"/>
      <c r="AP1368" s="2"/>
      <c r="AQ1368" s="2"/>
      <c r="AR1368" s="2"/>
      <c r="AS1368" s="2"/>
      <c r="AT1368" s="2"/>
      <c r="AU1368" s="2"/>
      <c r="AV1368" s="2"/>
      <c r="AW1368" s="2"/>
      <c r="AX1368" s="2"/>
      <c r="AY1368" s="2"/>
      <c r="AZ1368" s="5"/>
      <c r="BA1368" s="2"/>
      <c r="BD1368" s="2"/>
      <c r="BE1368" s="2"/>
      <c r="BF1368" s="2"/>
      <c r="BG1368" s="2"/>
      <c r="BH1368" s="2"/>
      <c r="BI1368" s="2"/>
      <c r="BJ1368" s="2"/>
      <c r="BK1368" s="2"/>
      <c r="BM1368" s="2"/>
      <c r="BN1368" s="2"/>
      <c r="BO1368" s="2"/>
      <c r="BP1368" s="2"/>
      <c r="BQ1368" s="2"/>
      <c r="BR1368" s="6"/>
      <c r="BS1368" s="6"/>
      <c r="BT1368" s="2"/>
      <c r="BU1368" s="2"/>
      <c r="BV1368" s="2"/>
      <c r="BW1368" s="2"/>
      <c r="BX1368" s="2"/>
      <c r="BY1368" s="2"/>
      <c r="BZ1368" s="2"/>
      <c r="CA1368" s="2"/>
      <c r="CB1368" s="2"/>
      <c r="CC1368" s="2"/>
      <c r="CD1368" s="3"/>
      <c r="CE1368" s="2"/>
      <c r="CF1368" s="4"/>
      <c r="CG1368" s="4"/>
      <c r="CI1368" s="2"/>
    </row>
    <row r="1369" spans="1:87" s="101" customFormat="1" x14ac:dyDescent="0.35">
      <c r="A1369" s="1"/>
      <c r="C1369" s="1"/>
      <c r="G1369" s="2"/>
      <c r="H1369" s="2"/>
      <c r="I1369" s="2"/>
      <c r="J1369" s="2"/>
      <c r="K1369" s="81"/>
      <c r="L1369" s="4"/>
      <c r="M1369" s="4"/>
      <c r="N1369" s="4"/>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3"/>
      <c r="AP1369" s="2"/>
      <c r="AQ1369" s="2"/>
      <c r="AR1369" s="2"/>
      <c r="AS1369" s="2"/>
      <c r="AT1369" s="2"/>
      <c r="AU1369" s="2"/>
      <c r="AV1369" s="2"/>
      <c r="AW1369" s="2"/>
      <c r="AX1369" s="2"/>
      <c r="AY1369" s="2"/>
      <c r="AZ1369" s="5"/>
      <c r="BA1369" s="2"/>
      <c r="BD1369" s="2"/>
      <c r="BE1369" s="2"/>
      <c r="BF1369" s="2"/>
      <c r="BG1369" s="2"/>
      <c r="BH1369" s="2"/>
      <c r="BI1369" s="2"/>
      <c r="BJ1369" s="2"/>
      <c r="BK1369" s="2"/>
      <c r="BM1369" s="2"/>
      <c r="BN1369" s="2"/>
      <c r="BO1369" s="2"/>
      <c r="BP1369" s="2"/>
      <c r="BQ1369" s="2"/>
      <c r="BR1369" s="6"/>
      <c r="BS1369" s="6"/>
      <c r="BT1369" s="2"/>
      <c r="BU1369" s="2"/>
      <c r="BV1369" s="2"/>
      <c r="BW1369" s="2"/>
      <c r="BX1369" s="2"/>
      <c r="BY1369" s="2"/>
      <c r="BZ1369" s="2"/>
      <c r="CA1369" s="2"/>
      <c r="CB1369" s="2"/>
      <c r="CC1369" s="2"/>
      <c r="CD1369" s="3"/>
      <c r="CE1369" s="2"/>
      <c r="CF1369" s="4"/>
      <c r="CG1369" s="4"/>
      <c r="CI1369" s="2"/>
    </row>
    <row r="1370" spans="1:87" s="101" customFormat="1" x14ac:dyDescent="0.35">
      <c r="A1370" s="1"/>
      <c r="C1370" s="1"/>
      <c r="G1370" s="2"/>
      <c r="H1370" s="2"/>
      <c r="I1370" s="2"/>
      <c r="J1370" s="2"/>
      <c r="K1370" s="81"/>
      <c r="L1370" s="4"/>
      <c r="M1370" s="4"/>
      <c r="N1370" s="4"/>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3"/>
      <c r="AP1370" s="2"/>
      <c r="AQ1370" s="2"/>
      <c r="AR1370" s="2"/>
      <c r="AS1370" s="2"/>
      <c r="AT1370" s="2"/>
      <c r="AU1370" s="2"/>
      <c r="AV1370" s="2"/>
      <c r="AW1370" s="2"/>
      <c r="AX1370" s="2"/>
      <c r="AY1370" s="2"/>
      <c r="AZ1370" s="5"/>
      <c r="BA1370" s="2"/>
      <c r="BD1370" s="2"/>
      <c r="BE1370" s="2"/>
      <c r="BF1370" s="2"/>
      <c r="BG1370" s="2"/>
      <c r="BH1370" s="2"/>
      <c r="BI1370" s="2"/>
      <c r="BJ1370" s="2"/>
      <c r="BK1370" s="2"/>
      <c r="BM1370" s="2"/>
      <c r="BN1370" s="2"/>
      <c r="BO1370" s="2"/>
      <c r="BP1370" s="2"/>
      <c r="BQ1370" s="2"/>
      <c r="BR1370" s="6"/>
      <c r="BS1370" s="6"/>
      <c r="BT1370" s="2"/>
      <c r="BU1370" s="2"/>
      <c r="BV1370" s="2"/>
      <c r="BW1370" s="2"/>
      <c r="BX1370" s="2"/>
      <c r="BY1370" s="2"/>
      <c r="BZ1370" s="2"/>
      <c r="CA1370" s="2"/>
      <c r="CB1370" s="2"/>
      <c r="CC1370" s="2"/>
      <c r="CD1370" s="3"/>
      <c r="CE1370" s="2"/>
      <c r="CF1370" s="4"/>
      <c r="CG1370" s="4"/>
      <c r="CI1370" s="2"/>
    </row>
    <row r="1371" spans="1:87" s="101" customFormat="1" x14ac:dyDescent="0.35">
      <c r="A1371" s="1"/>
      <c r="C1371" s="1"/>
      <c r="G1371" s="2"/>
      <c r="H1371" s="2"/>
      <c r="I1371" s="2"/>
      <c r="J1371" s="2"/>
      <c r="K1371" s="81"/>
      <c r="L1371" s="4"/>
      <c r="M1371" s="4"/>
      <c r="N1371" s="4"/>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3"/>
      <c r="AP1371" s="2"/>
      <c r="AQ1371" s="2"/>
      <c r="AR1371" s="2"/>
      <c r="AS1371" s="2"/>
      <c r="AT1371" s="2"/>
      <c r="AU1371" s="2"/>
      <c r="AV1371" s="2"/>
      <c r="AW1371" s="2"/>
      <c r="AX1371" s="2"/>
      <c r="AY1371" s="2"/>
      <c r="AZ1371" s="5"/>
      <c r="BA1371" s="2"/>
      <c r="BD1371" s="2"/>
      <c r="BE1371" s="2"/>
      <c r="BF1371" s="2"/>
      <c r="BG1371" s="2"/>
      <c r="BH1371" s="2"/>
      <c r="BI1371" s="2"/>
      <c r="BJ1371" s="2"/>
      <c r="BK1371" s="2"/>
      <c r="BM1371" s="2"/>
      <c r="BN1371" s="2"/>
      <c r="BO1371" s="2"/>
      <c r="BP1371" s="2"/>
      <c r="BQ1371" s="2"/>
      <c r="BR1371" s="6"/>
      <c r="BS1371" s="6"/>
      <c r="BT1371" s="2"/>
      <c r="BU1371" s="2"/>
      <c r="BV1371" s="2"/>
      <c r="BW1371" s="2"/>
      <c r="BX1371" s="2"/>
      <c r="BY1371" s="2"/>
      <c r="BZ1371" s="2"/>
      <c r="CA1371" s="2"/>
      <c r="CB1371" s="2"/>
      <c r="CC1371" s="2"/>
      <c r="CD1371" s="3"/>
      <c r="CE1371" s="2"/>
      <c r="CF1371" s="4"/>
      <c r="CG1371" s="4"/>
      <c r="CI1371" s="2"/>
    </row>
    <row r="1372" spans="1:87" s="101" customFormat="1" x14ac:dyDescent="0.35">
      <c r="A1372" s="1"/>
      <c r="C1372" s="1"/>
      <c r="G1372" s="2"/>
      <c r="H1372" s="2"/>
      <c r="I1372" s="2"/>
      <c r="J1372" s="2"/>
      <c r="K1372" s="81"/>
      <c r="L1372" s="4"/>
      <c r="M1372" s="4"/>
      <c r="N1372" s="4"/>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3"/>
      <c r="AP1372" s="2"/>
      <c r="AQ1372" s="2"/>
      <c r="AR1372" s="2"/>
      <c r="AS1372" s="2"/>
      <c r="AT1372" s="2"/>
      <c r="AU1372" s="2"/>
      <c r="AV1372" s="2"/>
      <c r="AW1372" s="2"/>
      <c r="AX1372" s="2"/>
      <c r="AY1372" s="2"/>
      <c r="AZ1372" s="5"/>
      <c r="BA1372" s="2"/>
      <c r="BD1372" s="2"/>
      <c r="BE1372" s="2"/>
      <c r="BF1372" s="2"/>
      <c r="BG1372" s="2"/>
      <c r="BH1372" s="2"/>
      <c r="BI1372" s="2"/>
      <c r="BJ1372" s="2"/>
      <c r="BK1372" s="2"/>
      <c r="BM1372" s="2"/>
      <c r="BN1372" s="2"/>
      <c r="BO1372" s="2"/>
      <c r="BP1372" s="2"/>
      <c r="BQ1372" s="2"/>
      <c r="BR1372" s="6"/>
      <c r="BS1372" s="6"/>
      <c r="BT1372" s="2"/>
      <c r="BU1372" s="2"/>
      <c r="BV1372" s="2"/>
      <c r="BW1372" s="2"/>
      <c r="BX1372" s="2"/>
      <c r="BY1372" s="2"/>
      <c r="BZ1372" s="2"/>
      <c r="CA1372" s="2"/>
      <c r="CB1372" s="2"/>
      <c r="CC1372" s="2"/>
      <c r="CD1372" s="3"/>
      <c r="CE1372" s="2"/>
      <c r="CF1372" s="4"/>
      <c r="CG1372" s="4"/>
      <c r="CI1372" s="2"/>
    </row>
    <row r="1373" spans="1:87" s="101" customFormat="1" x14ac:dyDescent="0.35">
      <c r="A1373" s="1"/>
      <c r="C1373" s="1"/>
      <c r="G1373" s="2"/>
      <c r="H1373" s="2"/>
      <c r="I1373" s="2"/>
      <c r="J1373" s="2"/>
      <c r="K1373" s="81"/>
      <c r="L1373" s="4"/>
      <c r="M1373" s="4"/>
      <c r="N1373" s="4"/>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3"/>
      <c r="AP1373" s="2"/>
      <c r="AQ1373" s="2"/>
      <c r="AR1373" s="2"/>
      <c r="AS1373" s="2"/>
      <c r="AT1373" s="2"/>
      <c r="AU1373" s="2"/>
      <c r="AV1373" s="2"/>
      <c r="AW1373" s="2"/>
      <c r="AX1373" s="2"/>
      <c r="AY1373" s="2"/>
      <c r="AZ1373" s="5"/>
      <c r="BA1373" s="2"/>
      <c r="BD1373" s="2"/>
      <c r="BE1373" s="2"/>
      <c r="BF1373" s="2"/>
      <c r="BG1373" s="2"/>
      <c r="BH1373" s="2"/>
      <c r="BI1373" s="2"/>
      <c r="BJ1373" s="2"/>
      <c r="BK1373" s="2"/>
      <c r="BM1373" s="2"/>
      <c r="BN1373" s="2"/>
      <c r="BO1373" s="2"/>
      <c r="BP1373" s="2"/>
      <c r="BQ1373" s="2"/>
      <c r="BR1373" s="6"/>
      <c r="BS1373" s="6"/>
      <c r="BT1373" s="2"/>
      <c r="BU1373" s="2"/>
      <c r="BV1373" s="2"/>
      <c r="BW1373" s="2"/>
      <c r="BX1373" s="2"/>
      <c r="BY1373" s="2"/>
      <c r="BZ1373" s="2"/>
      <c r="CA1373" s="2"/>
      <c r="CB1373" s="2"/>
      <c r="CC1373" s="2"/>
      <c r="CD1373" s="3"/>
      <c r="CE1373" s="2"/>
      <c r="CF1373" s="4"/>
      <c r="CG1373" s="4"/>
      <c r="CI1373" s="2"/>
    </row>
    <row r="1374" spans="1:87" s="101" customFormat="1" x14ac:dyDescent="0.35">
      <c r="A1374" s="1"/>
      <c r="C1374" s="1"/>
      <c r="G1374" s="2"/>
      <c r="H1374" s="2"/>
      <c r="I1374" s="2"/>
      <c r="J1374" s="2"/>
      <c r="K1374" s="81"/>
      <c r="L1374" s="4"/>
      <c r="M1374" s="4"/>
      <c r="N1374" s="4"/>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3"/>
      <c r="AP1374" s="2"/>
      <c r="AQ1374" s="2"/>
      <c r="AR1374" s="2"/>
      <c r="AS1374" s="2"/>
      <c r="AT1374" s="2"/>
      <c r="AU1374" s="2"/>
      <c r="AV1374" s="2"/>
      <c r="AW1374" s="2"/>
      <c r="AX1374" s="2"/>
      <c r="AY1374" s="2"/>
      <c r="AZ1374" s="5"/>
      <c r="BA1374" s="2"/>
      <c r="BD1374" s="2"/>
      <c r="BE1374" s="2"/>
      <c r="BF1374" s="2"/>
      <c r="BG1374" s="2"/>
      <c r="BH1374" s="2"/>
      <c r="BI1374" s="2"/>
      <c r="BJ1374" s="2"/>
      <c r="BK1374" s="2"/>
      <c r="BM1374" s="2"/>
      <c r="BN1374" s="2"/>
      <c r="BO1374" s="2"/>
      <c r="BP1374" s="2"/>
      <c r="BQ1374" s="2"/>
      <c r="BR1374" s="6"/>
      <c r="BS1374" s="6"/>
      <c r="BT1374" s="2"/>
      <c r="BU1374" s="2"/>
      <c r="BV1374" s="2"/>
      <c r="BW1374" s="2"/>
      <c r="BX1374" s="2"/>
      <c r="BY1374" s="2"/>
      <c r="BZ1374" s="2"/>
      <c r="CA1374" s="2"/>
      <c r="CB1374" s="2"/>
      <c r="CC1374" s="2"/>
      <c r="CD1374" s="3"/>
      <c r="CE1374" s="2"/>
      <c r="CF1374" s="4"/>
      <c r="CG1374" s="4"/>
      <c r="CI1374" s="2"/>
    </row>
    <row r="1375" spans="1:87" s="101" customFormat="1" x14ac:dyDescent="0.35">
      <c r="A1375" s="1"/>
      <c r="C1375" s="1"/>
      <c r="G1375" s="2"/>
      <c r="H1375" s="2"/>
      <c r="I1375" s="2"/>
      <c r="J1375" s="2"/>
      <c r="K1375" s="81"/>
      <c r="L1375" s="4"/>
      <c r="M1375" s="4"/>
      <c r="N1375" s="4"/>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3"/>
      <c r="AP1375" s="2"/>
      <c r="AQ1375" s="2"/>
      <c r="AR1375" s="2"/>
      <c r="AS1375" s="2"/>
      <c r="AT1375" s="2"/>
      <c r="AU1375" s="2"/>
      <c r="AV1375" s="2"/>
      <c r="AW1375" s="2"/>
      <c r="AX1375" s="2"/>
      <c r="AY1375" s="2"/>
      <c r="AZ1375" s="5"/>
      <c r="BA1375" s="2"/>
      <c r="BD1375" s="2"/>
      <c r="BE1375" s="2"/>
      <c r="BF1375" s="2"/>
      <c r="BG1375" s="2"/>
      <c r="BH1375" s="2"/>
      <c r="BI1375" s="2"/>
      <c r="BJ1375" s="2"/>
      <c r="BK1375" s="2"/>
      <c r="BM1375" s="2"/>
      <c r="BN1375" s="2"/>
      <c r="BO1375" s="2"/>
      <c r="BP1375" s="2"/>
      <c r="BQ1375" s="2"/>
      <c r="BR1375" s="6"/>
      <c r="BS1375" s="6"/>
      <c r="BT1375" s="2"/>
      <c r="BU1375" s="2"/>
      <c r="BV1375" s="2"/>
      <c r="BW1375" s="2"/>
      <c r="BX1375" s="2"/>
      <c r="BY1375" s="2"/>
      <c r="BZ1375" s="2"/>
      <c r="CA1375" s="2"/>
      <c r="CB1375" s="2"/>
      <c r="CC1375" s="2"/>
      <c r="CD1375" s="3"/>
      <c r="CE1375" s="2"/>
      <c r="CF1375" s="4"/>
      <c r="CG1375" s="4"/>
      <c r="CI1375" s="2"/>
    </row>
    <row r="1376" spans="1:87" s="101" customFormat="1" x14ac:dyDescent="0.35">
      <c r="A1376" s="1"/>
      <c r="C1376" s="1"/>
      <c r="G1376" s="2"/>
      <c r="H1376" s="2"/>
      <c r="I1376" s="2"/>
      <c r="J1376" s="2"/>
      <c r="K1376" s="81"/>
      <c r="L1376" s="4"/>
      <c r="M1376" s="4"/>
      <c r="N1376" s="4"/>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3"/>
      <c r="AP1376" s="2"/>
      <c r="AQ1376" s="2"/>
      <c r="AR1376" s="2"/>
      <c r="AS1376" s="2"/>
      <c r="AT1376" s="2"/>
      <c r="AU1376" s="2"/>
      <c r="AV1376" s="2"/>
      <c r="AW1376" s="2"/>
      <c r="AX1376" s="2"/>
      <c r="AY1376" s="2"/>
      <c r="AZ1376" s="5"/>
      <c r="BA1376" s="2"/>
      <c r="BD1376" s="2"/>
      <c r="BE1376" s="2"/>
      <c r="BF1376" s="2"/>
      <c r="BG1376" s="2"/>
      <c r="BH1376" s="2"/>
      <c r="BI1376" s="2"/>
      <c r="BJ1376" s="2"/>
      <c r="BK1376" s="2"/>
      <c r="BM1376" s="2"/>
      <c r="BN1376" s="2"/>
      <c r="BO1376" s="2"/>
      <c r="BP1376" s="2"/>
      <c r="BQ1376" s="2"/>
      <c r="BR1376" s="6"/>
      <c r="BS1376" s="6"/>
      <c r="BT1376" s="2"/>
      <c r="BU1376" s="2"/>
      <c r="BV1376" s="2"/>
      <c r="BW1376" s="2"/>
      <c r="BX1376" s="2"/>
      <c r="BY1376" s="2"/>
      <c r="BZ1376" s="2"/>
      <c r="CA1376" s="2"/>
      <c r="CB1376" s="2"/>
      <c r="CC1376" s="2"/>
      <c r="CD1376" s="3"/>
      <c r="CE1376" s="2"/>
      <c r="CF1376" s="4"/>
      <c r="CG1376" s="4"/>
      <c r="CI1376" s="2"/>
    </row>
    <row r="1377" spans="1:87" s="101" customFormat="1" x14ac:dyDescent="0.35">
      <c r="A1377" s="1"/>
      <c r="C1377" s="1"/>
      <c r="G1377" s="2"/>
      <c r="H1377" s="2"/>
      <c r="I1377" s="2"/>
      <c r="J1377" s="2"/>
      <c r="K1377" s="81"/>
      <c r="L1377" s="4"/>
      <c r="M1377" s="4"/>
      <c r="N1377" s="4"/>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3"/>
      <c r="AP1377" s="2"/>
      <c r="AQ1377" s="2"/>
      <c r="AR1377" s="2"/>
      <c r="AS1377" s="2"/>
      <c r="AT1377" s="2"/>
      <c r="AU1377" s="2"/>
      <c r="AV1377" s="2"/>
      <c r="AW1377" s="2"/>
      <c r="AX1377" s="2"/>
      <c r="AY1377" s="2"/>
      <c r="AZ1377" s="5"/>
      <c r="BA1377" s="2"/>
      <c r="BD1377" s="2"/>
      <c r="BE1377" s="2"/>
      <c r="BF1377" s="2"/>
      <c r="BG1377" s="2"/>
      <c r="BH1377" s="2"/>
      <c r="BI1377" s="2"/>
      <c r="BJ1377" s="2"/>
      <c r="BK1377" s="2"/>
      <c r="BM1377" s="2"/>
      <c r="BN1377" s="2"/>
      <c r="BO1377" s="2"/>
      <c r="BP1377" s="2"/>
      <c r="BQ1377" s="2"/>
      <c r="BR1377" s="6"/>
      <c r="BS1377" s="6"/>
      <c r="BT1377" s="2"/>
      <c r="BU1377" s="2"/>
      <c r="BV1377" s="2"/>
      <c r="BW1377" s="2"/>
      <c r="BX1377" s="2"/>
      <c r="BY1377" s="2"/>
      <c r="BZ1377" s="2"/>
      <c r="CA1377" s="2"/>
      <c r="CB1377" s="2"/>
      <c r="CC1377" s="2"/>
      <c r="CD1377" s="3"/>
      <c r="CE1377" s="2"/>
      <c r="CF1377" s="4"/>
      <c r="CG1377" s="4"/>
      <c r="CI1377" s="2"/>
    </row>
    <row r="1378" spans="1:87" s="101" customFormat="1" x14ac:dyDescent="0.35">
      <c r="A1378" s="1"/>
      <c r="C1378" s="1"/>
      <c r="G1378" s="2"/>
      <c r="H1378" s="2"/>
      <c r="I1378" s="2"/>
      <c r="J1378" s="2"/>
      <c r="K1378" s="81"/>
      <c r="L1378" s="4"/>
      <c r="M1378" s="4"/>
      <c r="N1378" s="4"/>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3"/>
      <c r="AP1378" s="2"/>
      <c r="AQ1378" s="2"/>
      <c r="AR1378" s="2"/>
      <c r="AS1378" s="2"/>
      <c r="AT1378" s="2"/>
      <c r="AU1378" s="2"/>
      <c r="AV1378" s="2"/>
      <c r="AW1378" s="2"/>
      <c r="AX1378" s="2"/>
      <c r="AY1378" s="2"/>
      <c r="AZ1378" s="5"/>
      <c r="BA1378" s="2"/>
      <c r="BD1378" s="2"/>
      <c r="BE1378" s="2"/>
      <c r="BF1378" s="2"/>
      <c r="BG1378" s="2"/>
      <c r="BH1378" s="2"/>
      <c r="BI1378" s="2"/>
      <c r="BJ1378" s="2"/>
      <c r="BK1378" s="2"/>
      <c r="BM1378" s="2"/>
      <c r="BN1378" s="2"/>
      <c r="BO1378" s="2"/>
      <c r="BP1378" s="2"/>
      <c r="BQ1378" s="2"/>
      <c r="BR1378" s="6"/>
      <c r="BS1378" s="6"/>
      <c r="BT1378" s="2"/>
      <c r="BU1378" s="2"/>
      <c r="BV1378" s="2"/>
      <c r="BW1378" s="2"/>
      <c r="BX1378" s="2"/>
      <c r="BY1378" s="2"/>
      <c r="BZ1378" s="2"/>
      <c r="CA1378" s="2"/>
      <c r="CB1378" s="2"/>
      <c r="CC1378" s="2"/>
      <c r="CD1378" s="3"/>
      <c r="CE1378" s="2"/>
      <c r="CF1378" s="4"/>
      <c r="CG1378" s="4"/>
      <c r="CI1378" s="2"/>
    </row>
    <row r="1379" spans="1:87" s="101" customFormat="1" x14ac:dyDescent="0.35">
      <c r="A1379" s="1"/>
      <c r="C1379" s="1"/>
      <c r="G1379" s="2"/>
      <c r="H1379" s="2"/>
      <c r="I1379" s="2"/>
      <c r="J1379" s="2"/>
      <c r="K1379" s="81"/>
      <c r="L1379" s="4"/>
      <c r="M1379" s="4"/>
      <c r="N1379" s="4"/>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3"/>
      <c r="AP1379" s="2"/>
      <c r="AQ1379" s="2"/>
      <c r="AR1379" s="2"/>
      <c r="AS1379" s="2"/>
      <c r="AT1379" s="2"/>
      <c r="AU1379" s="2"/>
      <c r="AV1379" s="2"/>
      <c r="AW1379" s="2"/>
      <c r="AX1379" s="2"/>
      <c r="AY1379" s="2"/>
      <c r="AZ1379" s="5"/>
      <c r="BA1379" s="2"/>
      <c r="BD1379" s="2"/>
      <c r="BE1379" s="2"/>
      <c r="BF1379" s="2"/>
      <c r="BG1379" s="2"/>
      <c r="BH1379" s="2"/>
      <c r="BI1379" s="2"/>
      <c r="BJ1379" s="2"/>
      <c r="BK1379" s="2"/>
      <c r="BM1379" s="2"/>
      <c r="BN1379" s="2"/>
      <c r="BO1379" s="2"/>
      <c r="BP1379" s="2"/>
      <c r="BQ1379" s="2"/>
      <c r="BR1379" s="6"/>
      <c r="BS1379" s="6"/>
      <c r="BT1379" s="2"/>
      <c r="BU1379" s="2"/>
      <c r="BV1379" s="2"/>
      <c r="BW1379" s="2"/>
      <c r="BX1379" s="2"/>
      <c r="BY1379" s="2"/>
      <c r="BZ1379" s="2"/>
      <c r="CA1379" s="2"/>
      <c r="CB1379" s="2"/>
      <c r="CC1379" s="2"/>
      <c r="CD1379" s="3"/>
      <c r="CE1379" s="2"/>
      <c r="CF1379" s="4"/>
      <c r="CG1379" s="4"/>
      <c r="CI1379" s="2"/>
    </row>
    <row r="1380" spans="1:87" s="101" customFormat="1" x14ac:dyDescent="0.35">
      <c r="A1380" s="1"/>
      <c r="C1380" s="1"/>
      <c r="G1380" s="2"/>
      <c r="H1380" s="2"/>
      <c r="I1380" s="2"/>
      <c r="J1380" s="2"/>
      <c r="K1380" s="81"/>
      <c r="L1380" s="4"/>
      <c r="M1380" s="4"/>
      <c r="N1380" s="4"/>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3"/>
      <c r="AP1380" s="2"/>
      <c r="AQ1380" s="2"/>
      <c r="AR1380" s="2"/>
      <c r="AS1380" s="2"/>
      <c r="AT1380" s="2"/>
      <c r="AU1380" s="2"/>
      <c r="AV1380" s="2"/>
      <c r="AW1380" s="2"/>
      <c r="AX1380" s="2"/>
      <c r="AY1380" s="2"/>
      <c r="AZ1380" s="5"/>
      <c r="BA1380" s="2"/>
      <c r="BD1380" s="2"/>
      <c r="BE1380" s="2"/>
      <c r="BF1380" s="2"/>
      <c r="BG1380" s="2"/>
      <c r="BH1380" s="2"/>
      <c r="BI1380" s="2"/>
      <c r="BJ1380" s="2"/>
      <c r="BK1380" s="2"/>
      <c r="BM1380" s="2"/>
      <c r="BN1380" s="2"/>
      <c r="BO1380" s="2"/>
      <c r="BP1380" s="2"/>
      <c r="BQ1380" s="2"/>
      <c r="BR1380" s="6"/>
      <c r="BS1380" s="6"/>
      <c r="BT1380" s="2"/>
      <c r="BU1380" s="2"/>
      <c r="BV1380" s="2"/>
      <c r="BW1380" s="2"/>
      <c r="BX1380" s="2"/>
      <c r="BY1380" s="2"/>
      <c r="BZ1380" s="2"/>
      <c r="CA1380" s="2"/>
      <c r="CB1380" s="2"/>
      <c r="CC1380" s="2"/>
      <c r="CD1380" s="3"/>
      <c r="CE1380" s="2"/>
      <c r="CF1380" s="4"/>
      <c r="CG1380" s="4"/>
      <c r="CI1380" s="2"/>
    </row>
    <row r="1381" spans="1:87" s="101" customFormat="1" x14ac:dyDescent="0.35">
      <c r="A1381" s="1"/>
      <c r="C1381" s="1"/>
      <c r="G1381" s="2"/>
      <c r="H1381" s="2"/>
      <c r="I1381" s="2"/>
      <c r="J1381" s="2"/>
      <c r="K1381" s="81"/>
      <c r="L1381" s="4"/>
      <c r="M1381" s="4"/>
      <c r="N1381" s="4"/>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3"/>
      <c r="AP1381" s="2"/>
      <c r="AQ1381" s="2"/>
      <c r="AR1381" s="2"/>
      <c r="AS1381" s="2"/>
      <c r="AT1381" s="2"/>
      <c r="AU1381" s="2"/>
      <c r="AV1381" s="2"/>
      <c r="AW1381" s="2"/>
      <c r="AX1381" s="2"/>
      <c r="AY1381" s="2"/>
      <c r="AZ1381" s="5"/>
      <c r="BA1381" s="2"/>
      <c r="BD1381" s="2"/>
      <c r="BE1381" s="2"/>
      <c r="BF1381" s="2"/>
      <c r="BG1381" s="2"/>
      <c r="BH1381" s="2"/>
      <c r="BI1381" s="2"/>
      <c r="BJ1381" s="2"/>
      <c r="BK1381" s="2"/>
      <c r="BM1381" s="2"/>
      <c r="BN1381" s="2"/>
      <c r="BO1381" s="2"/>
      <c r="BP1381" s="2"/>
      <c r="BQ1381" s="2"/>
      <c r="BR1381" s="6"/>
      <c r="BS1381" s="6"/>
      <c r="BT1381" s="2"/>
      <c r="BU1381" s="2"/>
      <c r="BV1381" s="2"/>
      <c r="BW1381" s="2"/>
      <c r="BX1381" s="2"/>
      <c r="BY1381" s="2"/>
      <c r="BZ1381" s="2"/>
      <c r="CA1381" s="2"/>
      <c r="CB1381" s="2"/>
      <c r="CC1381" s="2"/>
      <c r="CD1381" s="3"/>
      <c r="CE1381" s="2"/>
      <c r="CF1381" s="4"/>
      <c r="CG1381" s="4"/>
      <c r="CI1381" s="2"/>
    </row>
    <row r="1382" spans="1:87" s="101" customFormat="1" x14ac:dyDescent="0.35">
      <c r="A1382" s="1"/>
      <c r="C1382" s="1"/>
      <c r="G1382" s="2"/>
      <c r="H1382" s="2"/>
      <c r="I1382" s="2"/>
      <c r="J1382" s="2"/>
      <c r="K1382" s="81"/>
      <c r="L1382" s="4"/>
      <c r="M1382" s="4"/>
      <c r="N1382" s="4"/>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3"/>
      <c r="AP1382" s="2"/>
      <c r="AQ1382" s="2"/>
      <c r="AR1382" s="2"/>
      <c r="AS1382" s="2"/>
      <c r="AT1382" s="2"/>
      <c r="AU1382" s="2"/>
      <c r="AV1382" s="2"/>
      <c r="AW1382" s="2"/>
      <c r="AX1382" s="2"/>
      <c r="AY1382" s="2"/>
      <c r="AZ1382" s="5"/>
      <c r="BA1382" s="2"/>
      <c r="BD1382" s="2"/>
      <c r="BE1382" s="2"/>
      <c r="BF1382" s="2"/>
      <c r="BG1382" s="2"/>
      <c r="BH1382" s="2"/>
      <c r="BI1382" s="2"/>
      <c r="BJ1382" s="2"/>
      <c r="BK1382" s="2"/>
      <c r="BM1382" s="2"/>
      <c r="BN1382" s="2"/>
      <c r="BO1382" s="2"/>
      <c r="BP1382" s="2"/>
      <c r="BQ1382" s="2"/>
      <c r="BR1382" s="6"/>
      <c r="BS1382" s="6"/>
      <c r="BT1382" s="2"/>
      <c r="BU1382" s="2"/>
      <c r="BV1382" s="2"/>
      <c r="BW1382" s="2"/>
      <c r="BX1382" s="2"/>
      <c r="BY1382" s="2"/>
      <c r="BZ1382" s="2"/>
      <c r="CA1382" s="2"/>
      <c r="CB1382" s="2"/>
      <c r="CC1382" s="2"/>
      <c r="CD1382" s="3"/>
      <c r="CE1382" s="2"/>
      <c r="CF1382" s="4"/>
      <c r="CG1382" s="4"/>
      <c r="CI1382" s="2"/>
    </row>
    <row r="1383" spans="1:87" s="101" customFormat="1" x14ac:dyDescent="0.35">
      <c r="A1383" s="1"/>
      <c r="C1383" s="1"/>
      <c r="G1383" s="2"/>
      <c r="H1383" s="2"/>
      <c r="I1383" s="2"/>
      <c r="J1383" s="2"/>
      <c r="K1383" s="81"/>
      <c r="L1383" s="4"/>
      <c r="M1383" s="4"/>
      <c r="N1383" s="4"/>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3"/>
      <c r="AP1383" s="2"/>
      <c r="AQ1383" s="2"/>
      <c r="AR1383" s="2"/>
      <c r="AS1383" s="2"/>
      <c r="AT1383" s="2"/>
      <c r="AU1383" s="2"/>
      <c r="AV1383" s="2"/>
      <c r="AW1383" s="2"/>
      <c r="AX1383" s="2"/>
      <c r="AY1383" s="2"/>
      <c r="AZ1383" s="5"/>
      <c r="BA1383" s="2"/>
      <c r="BD1383" s="2"/>
      <c r="BE1383" s="2"/>
      <c r="BF1383" s="2"/>
      <c r="BG1383" s="2"/>
      <c r="BH1383" s="2"/>
      <c r="BI1383" s="2"/>
      <c r="BJ1383" s="2"/>
      <c r="BK1383" s="2"/>
      <c r="BM1383" s="2"/>
      <c r="BN1383" s="2"/>
      <c r="BO1383" s="2"/>
      <c r="BP1383" s="2"/>
      <c r="BQ1383" s="2"/>
      <c r="BR1383" s="6"/>
      <c r="BS1383" s="6"/>
      <c r="BT1383" s="2"/>
      <c r="BU1383" s="2"/>
      <c r="BV1383" s="2"/>
      <c r="BW1383" s="2"/>
      <c r="BX1383" s="2"/>
      <c r="BY1383" s="2"/>
      <c r="BZ1383" s="2"/>
      <c r="CA1383" s="2"/>
      <c r="CB1383" s="2"/>
      <c r="CC1383" s="2"/>
      <c r="CD1383" s="3"/>
      <c r="CE1383" s="2"/>
      <c r="CF1383" s="4"/>
      <c r="CG1383" s="4"/>
      <c r="CI1383" s="2"/>
    </row>
    <row r="1384" spans="1:87" s="101" customFormat="1" x14ac:dyDescent="0.35">
      <c r="A1384" s="1"/>
      <c r="C1384" s="1"/>
      <c r="G1384" s="2"/>
      <c r="H1384" s="2"/>
      <c r="I1384" s="2"/>
      <c r="J1384" s="2"/>
      <c r="K1384" s="81"/>
      <c r="L1384" s="4"/>
      <c r="M1384" s="4"/>
      <c r="N1384" s="4"/>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3"/>
      <c r="AP1384" s="2"/>
      <c r="AQ1384" s="2"/>
      <c r="AR1384" s="2"/>
      <c r="AS1384" s="2"/>
      <c r="AT1384" s="2"/>
      <c r="AU1384" s="2"/>
      <c r="AV1384" s="2"/>
      <c r="AW1384" s="2"/>
      <c r="AX1384" s="2"/>
      <c r="AY1384" s="2"/>
      <c r="AZ1384" s="5"/>
      <c r="BA1384" s="2"/>
      <c r="BD1384" s="2"/>
      <c r="BE1384" s="2"/>
      <c r="BF1384" s="2"/>
      <c r="BG1384" s="2"/>
      <c r="BH1384" s="2"/>
      <c r="BI1384" s="2"/>
      <c r="BJ1384" s="2"/>
      <c r="BK1384" s="2"/>
      <c r="BM1384" s="2"/>
      <c r="BN1384" s="2"/>
      <c r="BO1384" s="2"/>
      <c r="BP1384" s="2"/>
      <c r="BQ1384" s="2"/>
      <c r="BR1384" s="6"/>
      <c r="BS1384" s="6"/>
      <c r="BT1384" s="2"/>
      <c r="BU1384" s="2"/>
      <c r="BV1384" s="2"/>
      <c r="BW1384" s="2"/>
      <c r="BX1384" s="2"/>
      <c r="BY1384" s="2"/>
      <c r="BZ1384" s="2"/>
      <c r="CA1384" s="2"/>
      <c r="CB1384" s="2"/>
      <c r="CC1384" s="2"/>
      <c r="CD1384" s="3"/>
      <c r="CE1384" s="2"/>
      <c r="CF1384" s="4"/>
      <c r="CG1384" s="4"/>
      <c r="CI1384" s="2"/>
    </row>
    <row r="1385" spans="1:87" s="101" customFormat="1" x14ac:dyDescent="0.35">
      <c r="A1385" s="1"/>
      <c r="C1385" s="1"/>
      <c r="G1385" s="2"/>
      <c r="H1385" s="2"/>
      <c r="I1385" s="2"/>
      <c r="J1385" s="2"/>
      <c r="K1385" s="81"/>
      <c r="L1385" s="4"/>
      <c r="M1385" s="4"/>
      <c r="N1385" s="4"/>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3"/>
      <c r="AP1385" s="2"/>
      <c r="AQ1385" s="2"/>
      <c r="AR1385" s="2"/>
      <c r="AS1385" s="2"/>
      <c r="AT1385" s="2"/>
      <c r="AU1385" s="2"/>
      <c r="AV1385" s="2"/>
      <c r="AW1385" s="2"/>
      <c r="AX1385" s="2"/>
      <c r="AY1385" s="2"/>
      <c r="AZ1385" s="5"/>
      <c r="BA1385" s="2"/>
      <c r="BD1385" s="2"/>
      <c r="BE1385" s="2"/>
      <c r="BF1385" s="2"/>
      <c r="BG1385" s="2"/>
      <c r="BH1385" s="2"/>
      <c r="BI1385" s="2"/>
      <c r="BJ1385" s="2"/>
      <c r="BK1385" s="2"/>
      <c r="BM1385" s="2"/>
      <c r="BN1385" s="2"/>
      <c r="BO1385" s="2"/>
      <c r="BP1385" s="2"/>
      <c r="BQ1385" s="2"/>
      <c r="BR1385" s="6"/>
      <c r="BS1385" s="6"/>
      <c r="BT1385" s="2"/>
      <c r="BU1385" s="2"/>
      <c r="BV1385" s="2"/>
      <c r="BW1385" s="2"/>
      <c r="BX1385" s="2"/>
      <c r="BY1385" s="2"/>
      <c r="BZ1385" s="2"/>
      <c r="CA1385" s="2"/>
      <c r="CB1385" s="2"/>
      <c r="CC1385" s="2"/>
      <c r="CD1385" s="3"/>
      <c r="CE1385" s="2"/>
      <c r="CF1385" s="4"/>
      <c r="CG1385" s="4"/>
      <c r="CI1385" s="2"/>
    </row>
    <row r="1386" spans="1:87" s="101" customFormat="1" x14ac:dyDescent="0.35">
      <c r="A1386" s="1"/>
      <c r="C1386" s="1"/>
      <c r="G1386" s="2"/>
      <c r="H1386" s="2"/>
      <c r="I1386" s="2"/>
      <c r="J1386" s="2"/>
      <c r="K1386" s="81"/>
      <c r="L1386" s="4"/>
      <c r="M1386" s="4"/>
      <c r="N1386" s="4"/>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3"/>
      <c r="AP1386" s="2"/>
      <c r="AQ1386" s="2"/>
      <c r="AR1386" s="2"/>
      <c r="AS1386" s="2"/>
      <c r="AT1386" s="2"/>
      <c r="AU1386" s="2"/>
      <c r="AV1386" s="2"/>
      <c r="AW1386" s="2"/>
      <c r="AX1386" s="2"/>
      <c r="AY1386" s="2"/>
      <c r="AZ1386" s="5"/>
      <c r="BA1386" s="2"/>
      <c r="BD1386" s="2"/>
      <c r="BE1386" s="2"/>
      <c r="BF1386" s="2"/>
      <c r="BG1386" s="2"/>
      <c r="BH1386" s="2"/>
      <c r="BI1386" s="2"/>
      <c r="BJ1386" s="2"/>
      <c r="BK1386" s="2"/>
      <c r="BM1386" s="2"/>
      <c r="BN1386" s="2"/>
      <c r="BO1386" s="2"/>
      <c r="BP1386" s="2"/>
      <c r="BQ1386" s="2"/>
      <c r="BR1386" s="6"/>
      <c r="BS1386" s="6"/>
      <c r="BT1386" s="2"/>
      <c r="BU1386" s="2"/>
      <c r="BV1386" s="2"/>
      <c r="BW1386" s="2"/>
      <c r="BX1386" s="2"/>
      <c r="BY1386" s="2"/>
      <c r="BZ1386" s="2"/>
      <c r="CA1386" s="2"/>
      <c r="CB1386" s="2"/>
      <c r="CC1386" s="2"/>
      <c r="CD1386" s="3"/>
      <c r="CE1386" s="2"/>
      <c r="CF1386" s="4"/>
      <c r="CG1386" s="4"/>
      <c r="CI1386" s="2"/>
    </row>
    <row r="1387" spans="1:87" s="101" customFormat="1" x14ac:dyDescent="0.35">
      <c r="A1387" s="1"/>
      <c r="C1387" s="1"/>
      <c r="G1387" s="2"/>
      <c r="H1387" s="2"/>
      <c r="I1387" s="2"/>
      <c r="J1387" s="2"/>
      <c r="K1387" s="81"/>
      <c r="L1387" s="4"/>
      <c r="M1387" s="4"/>
      <c r="N1387" s="4"/>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3"/>
      <c r="AP1387" s="2"/>
      <c r="AQ1387" s="2"/>
      <c r="AR1387" s="2"/>
      <c r="AS1387" s="2"/>
      <c r="AT1387" s="2"/>
      <c r="AU1387" s="2"/>
      <c r="AV1387" s="2"/>
      <c r="AW1387" s="2"/>
      <c r="AX1387" s="2"/>
      <c r="AY1387" s="2"/>
      <c r="AZ1387" s="5"/>
      <c r="BA1387" s="2"/>
      <c r="BD1387" s="2"/>
      <c r="BE1387" s="2"/>
      <c r="BF1387" s="2"/>
      <c r="BG1387" s="2"/>
      <c r="BH1387" s="2"/>
      <c r="BI1387" s="2"/>
      <c r="BJ1387" s="2"/>
      <c r="BK1387" s="2"/>
      <c r="BM1387" s="2"/>
      <c r="BN1387" s="2"/>
      <c r="BO1387" s="2"/>
      <c r="BP1387" s="2"/>
      <c r="BQ1387" s="2"/>
      <c r="BR1387" s="6"/>
      <c r="BS1387" s="6"/>
      <c r="BT1387" s="2"/>
      <c r="BU1387" s="2"/>
      <c r="BV1387" s="2"/>
      <c r="BW1387" s="2"/>
      <c r="BX1387" s="2"/>
      <c r="BY1387" s="2"/>
      <c r="BZ1387" s="2"/>
      <c r="CA1387" s="2"/>
      <c r="CB1387" s="2"/>
      <c r="CC1387" s="2"/>
      <c r="CD1387" s="3"/>
      <c r="CE1387" s="2"/>
      <c r="CF1387" s="4"/>
      <c r="CG1387" s="4"/>
      <c r="CI1387" s="2"/>
    </row>
    <row r="1388" spans="1:87" s="101" customFormat="1" x14ac:dyDescent="0.35">
      <c r="A1388" s="1"/>
      <c r="C1388" s="1"/>
      <c r="G1388" s="2"/>
      <c r="H1388" s="2"/>
      <c r="I1388" s="2"/>
      <c r="J1388" s="2"/>
      <c r="K1388" s="81"/>
      <c r="L1388" s="4"/>
      <c r="M1388" s="4"/>
      <c r="N1388" s="4"/>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3"/>
      <c r="AP1388" s="2"/>
      <c r="AQ1388" s="2"/>
      <c r="AR1388" s="2"/>
      <c r="AS1388" s="2"/>
      <c r="AT1388" s="2"/>
      <c r="AU1388" s="2"/>
      <c r="AV1388" s="2"/>
      <c r="AW1388" s="2"/>
      <c r="AX1388" s="2"/>
      <c r="AY1388" s="2"/>
      <c r="AZ1388" s="5"/>
      <c r="BA1388" s="2"/>
      <c r="BD1388" s="2"/>
      <c r="BE1388" s="2"/>
      <c r="BF1388" s="2"/>
      <c r="BG1388" s="2"/>
      <c r="BH1388" s="2"/>
      <c r="BI1388" s="2"/>
      <c r="BJ1388" s="2"/>
      <c r="BK1388" s="2"/>
      <c r="BM1388" s="2"/>
      <c r="BN1388" s="2"/>
      <c r="BO1388" s="2"/>
      <c r="BP1388" s="2"/>
      <c r="BQ1388" s="2"/>
      <c r="BR1388" s="6"/>
      <c r="BS1388" s="6"/>
      <c r="BT1388" s="2"/>
      <c r="BU1388" s="2"/>
      <c r="BV1388" s="2"/>
      <c r="BW1388" s="2"/>
      <c r="BX1388" s="2"/>
      <c r="BY1388" s="2"/>
      <c r="BZ1388" s="2"/>
      <c r="CA1388" s="2"/>
      <c r="CB1388" s="2"/>
      <c r="CC1388" s="2"/>
      <c r="CD1388" s="3"/>
      <c r="CE1388" s="2"/>
      <c r="CF1388" s="4"/>
      <c r="CG1388" s="4"/>
      <c r="CI1388" s="2"/>
    </row>
    <row r="1389" spans="1:87" s="101" customFormat="1" x14ac:dyDescent="0.35">
      <c r="A1389" s="1"/>
      <c r="C1389" s="1"/>
      <c r="G1389" s="2"/>
      <c r="H1389" s="2"/>
      <c r="I1389" s="2"/>
      <c r="J1389" s="2"/>
      <c r="K1389" s="81"/>
      <c r="L1389" s="4"/>
      <c r="M1389" s="4"/>
      <c r="N1389" s="4"/>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3"/>
      <c r="AP1389" s="2"/>
      <c r="AQ1389" s="2"/>
      <c r="AR1389" s="2"/>
      <c r="AS1389" s="2"/>
      <c r="AT1389" s="2"/>
      <c r="AU1389" s="2"/>
      <c r="AV1389" s="2"/>
      <c r="AW1389" s="2"/>
      <c r="AX1389" s="2"/>
      <c r="AY1389" s="2"/>
      <c r="AZ1389" s="5"/>
      <c r="BA1389" s="2"/>
      <c r="BD1389" s="2"/>
      <c r="BE1389" s="2"/>
      <c r="BF1389" s="2"/>
      <c r="BG1389" s="2"/>
      <c r="BH1389" s="2"/>
      <c r="BI1389" s="2"/>
      <c r="BJ1389" s="2"/>
      <c r="BK1389" s="2"/>
      <c r="BM1389" s="2"/>
      <c r="BN1389" s="2"/>
      <c r="BO1389" s="2"/>
      <c r="BP1389" s="2"/>
      <c r="BQ1389" s="2"/>
      <c r="BR1389" s="6"/>
      <c r="BS1389" s="6"/>
      <c r="BT1389" s="2"/>
      <c r="BU1389" s="2"/>
      <c r="BV1389" s="2"/>
      <c r="BW1389" s="2"/>
      <c r="BX1389" s="2"/>
      <c r="BY1389" s="2"/>
      <c r="BZ1389" s="2"/>
      <c r="CA1389" s="2"/>
      <c r="CB1389" s="2"/>
      <c r="CC1389" s="2"/>
      <c r="CD1389" s="3"/>
      <c r="CE1389" s="2"/>
      <c r="CF1389" s="4"/>
      <c r="CG1389" s="4"/>
      <c r="CI1389" s="2"/>
    </row>
    <row r="1390" spans="1:87" s="101" customFormat="1" x14ac:dyDescent="0.35">
      <c r="A1390" s="1"/>
      <c r="C1390" s="1"/>
      <c r="G1390" s="2"/>
      <c r="H1390" s="2"/>
      <c r="I1390" s="2"/>
      <c r="J1390" s="2"/>
      <c r="K1390" s="81"/>
      <c r="L1390" s="4"/>
      <c r="M1390" s="4"/>
      <c r="N1390" s="4"/>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3"/>
      <c r="AP1390" s="2"/>
      <c r="AQ1390" s="2"/>
      <c r="AR1390" s="2"/>
      <c r="AS1390" s="2"/>
      <c r="AT1390" s="2"/>
      <c r="AU1390" s="2"/>
      <c r="AV1390" s="2"/>
      <c r="AW1390" s="2"/>
      <c r="AX1390" s="2"/>
      <c r="AY1390" s="2"/>
      <c r="AZ1390" s="5"/>
      <c r="BA1390" s="2"/>
      <c r="BD1390" s="2"/>
      <c r="BE1390" s="2"/>
      <c r="BF1390" s="2"/>
      <c r="BG1390" s="2"/>
      <c r="BH1390" s="2"/>
      <c r="BI1390" s="2"/>
      <c r="BJ1390" s="2"/>
      <c r="BK1390" s="2"/>
      <c r="BM1390" s="2"/>
      <c r="BN1390" s="2"/>
      <c r="BO1390" s="2"/>
      <c r="BP1390" s="2"/>
      <c r="BQ1390" s="2"/>
      <c r="BR1390" s="6"/>
      <c r="BS1390" s="6"/>
      <c r="BT1390" s="2"/>
      <c r="BU1390" s="2"/>
      <c r="BV1390" s="2"/>
      <c r="BW1390" s="2"/>
      <c r="BX1390" s="2"/>
      <c r="BY1390" s="2"/>
      <c r="BZ1390" s="2"/>
      <c r="CA1390" s="2"/>
      <c r="CB1390" s="2"/>
      <c r="CC1390" s="2"/>
      <c r="CD1390" s="3"/>
      <c r="CE1390" s="2"/>
      <c r="CF1390" s="4"/>
      <c r="CG1390" s="4"/>
      <c r="CI1390" s="2"/>
    </row>
    <row r="1391" spans="1:87" s="101" customFormat="1" x14ac:dyDescent="0.35">
      <c r="A1391" s="1"/>
      <c r="C1391" s="1"/>
      <c r="G1391" s="2"/>
      <c r="H1391" s="2"/>
      <c r="I1391" s="2"/>
      <c r="J1391" s="2"/>
      <c r="K1391" s="81"/>
      <c r="L1391" s="4"/>
      <c r="M1391" s="4"/>
      <c r="N1391" s="4"/>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3"/>
      <c r="AP1391" s="2"/>
      <c r="AQ1391" s="2"/>
      <c r="AR1391" s="2"/>
      <c r="AS1391" s="2"/>
      <c r="AT1391" s="2"/>
      <c r="AU1391" s="2"/>
      <c r="AV1391" s="2"/>
      <c r="AW1391" s="2"/>
      <c r="AX1391" s="2"/>
      <c r="AY1391" s="2"/>
      <c r="AZ1391" s="5"/>
      <c r="BA1391" s="2"/>
      <c r="BD1391" s="2"/>
      <c r="BE1391" s="2"/>
      <c r="BF1391" s="2"/>
      <c r="BG1391" s="2"/>
      <c r="BH1391" s="2"/>
      <c r="BI1391" s="2"/>
      <c r="BJ1391" s="2"/>
      <c r="BK1391" s="2"/>
      <c r="BM1391" s="2"/>
      <c r="BN1391" s="2"/>
      <c r="BO1391" s="2"/>
      <c r="BP1391" s="2"/>
      <c r="BQ1391" s="2"/>
      <c r="BR1391" s="6"/>
      <c r="BS1391" s="6"/>
      <c r="BT1391" s="2"/>
      <c r="BU1391" s="2"/>
      <c r="BV1391" s="2"/>
      <c r="BW1391" s="2"/>
      <c r="BX1391" s="2"/>
      <c r="BY1391" s="2"/>
      <c r="BZ1391" s="2"/>
      <c r="CA1391" s="2"/>
      <c r="CB1391" s="2"/>
      <c r="CC1391" s="2"/>
      <c r="CD1391" s="3"/>
      <c r="CE1391" s="2"/>
      <c r="CF1391" s="4"/>
      <c r="CG1391" s="4"/>
      <c r="CI1391" s="2"/>
    </row>
    <row r="1392" spans="1:87" s="101" customFormat="1" x14ac:dyDescent="0.35">
      <c r="A1392" s="1"/>
      <c r="C1392" s="1"/>
      <c r="G1392" s="2"/>
      <c r="H1392" s="2"/>
      <c r="I1392" s="2"/>
      <c r="J1392" s="2"/>
      <c r="K1392" s="81"/>
      <c r="L1392" s="4"/>
      <c r="M1392" s="4"/>
      <c r="N1392" s="4"/>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3"/>
      <c r="AP1392" s="2"/>
      <c r="AQ1392" s="2"/>
      <c r="AR1392" s="2"/>
      <c r="AS1392" s="2"/>
      <c r="AT1392" s="2"/>
      <c r="AU1392" s="2"/>
      <c r="AV1392" s="2"/>
      <c r="AW1392" s="2"/>
      <c r="AX1392" s="2"/>
      <c r="AY1392" s="2"/>
      <c r="AZ1392" s="5"/>
      <c r="BA1392" s="2"/>
      <c r="BD1392" s="2"/>
      <c r="BE1392" s="2"/>
      <c r="BF1392" s="2"/>
      <c r="BG1392" s="2"/>
      <c r="BH1392" s="2"/>
      <c r="BI1392" s="2"/>
      <c r="BJ1392" s="2"/>
      <c r="BK1392" s="2"/>
      <c r="BM1392" s="2"/>
      <c r="BN1392" s="2"/>
      <c r="BO1392" s="2"/>
      <c r="BP1392" s="2"/>
      <c r="BQ1392" s="2"/>
      <c r="BR1392" s="6"/>
      <c r="BS1392" s="6"/>
      <c r="BT1392" s="2"/>
      <c r="BU1392" s="2"/>
      <c r="BV1392" s="2"/>
      <c r="BW1392" s="2"/>
      <c r="BX1392" s="2"/>
      <c r="BY1392" s="2"/>
      <c r="BZ1392" s="2"/>
      <c r="CA1392" s="2"/>
      <c r="CB1392" s="2"/>
      <c r="CC1392" s="2"/>
      <c r="CD1392" s="3"/>
      <c r="CE1392" s="2"/>
      <c r="CF1392" s="4"/>
      <c r="CG1392" s="4"/>
      <c r="CI1392" s="2"/>
    </row>
    <row r="1393" spans="1:87" s="101" customFormat="1" x14ac:dyDescent="0.35">
      <c r="A1393" s="1"/>
      <c r="C1393" s="1"/>
      <c r="G1393" s="2"/>
      <c r="H1393" s="2"/>
      <c r="I1393" s="2"/>
      <c r="J1393" s="2"/>
      <c r="K1393" s="81"/>
      <c r="L1393" s="4"/>
      <c r="M1393" s="4"/>
      <c r="N1393" s="4"/>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3"/>
      <c r="AP1393" s="2"/>
      <c r="AQ1393" s="2"/>
      <c r="AR1393" s="2"/>
      <c r="AS1393" s="2"/>
      <c r="AT1393" s="2"/>
      <c r="AU1393" s="2"/>
      <c r="AV1393" s="2"/>
      <c r="AW1393" s="2"/>
      <c r="AX1393" s="2"/>
      <c r="AY1393" s="2"/>
      <c r="AZ1393" s="5"/>
      <c r="BA1393" s="2"/>
      <c r="BD1393" s="2"/>
      <c r="BE1393" s="2"/>
      <c r="BF1393" s="2"/>
      <c r="BG1393" s="2"/>
      <c r="BH1393" s="2"/>
      <c r="BI1393" s="2"/>
      <c r="BJ1393" s="2"/>
      <c r="BK1393" s="2"/>
      <c r="BM1393" s="2"/>
      <c r="BN1393" s="2"/>
      <c r="BO1393" s="2"/>
      <c r="BP1393" s="2"/>
      <c r="BQ1393" s="2"/>
      <c r="BR1393" s="6"/>
      <c r="BS1393" s="6"/>
      <c r="BT1393" s="2"/>
      <c r="BU1393" s="2"/>
      <c r="BV1393" s="2"/>
      <c r="BW1393" s="2"/>
      <c r="BX1393" s="2"/>
      <c r="BY1393" s="2"/>
      <c r="BZ1393" s="2"/>
      <c r="CA1393" s="2"/>
      <c r="CB1393" s="2"/>
      <c r="CC1393" s="2"/>
      <c r="CD1393" s="3"/>
      <c r="CE1393" s="2"/>
      <c r="CF1393" s="4"/>
      <c r="CG1393" s="4"/>
      <c r="CI1393" s="2"/>
    </row>
    <row r="1394" spans="1:87" s="101" customFormat="1" x14ac:dyDescent="0.35">
      <c r="A1394" s="1"/>
      <c r="C1394" s="1"/>
      <c r="G1394" s="2"/>
      <c r="H1394" s="2"/>
      <c r="I1394" s="2"/>
      <c r="J1394" s="2"/>
      <c r="K1394" s="81"/>
      <c r="L1394" s="4"/>
      <c r="M1394" s="4"/>
      <c r="N1394" s="4"/>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3"/>
      <c r="AP1394" s="2"/>
      <c r="AQ1394" s="2"/>
      <c r="AR1394" s="2"/>
      <c r="AS1394" s="2"/>
      <c r="AT1394" s="2"/>
      <c r="AU1394" s="2"/>
      <c r="AV1394" s="2"/>
      <c r="AW1394" s="2"/>
      <c r="AX1394" s="2"/>
      <c r="AY1394" s="2"/>
      <c r="AZ1394" s="5"/>
      <c r="BA1394" s="2"/>
      <c r="BD1394" s="2"/>
      <c r="BE1394" s="2"/>
      <c r="BF1394" s="2"/>
      <c r="BG1394" s="2"/>
      <c r="BH1394" s="2"/>
      <c r="BI1394" s="2"/>
      <c r="BJ1394" s="2"/>
      <c r="BK1394" s="2"/>
      <c r="BM1394" s="2"/>
      <c r="BN1394" s="2"/>
      <c r="BO1394" s="2"/>
      <c r="BP1394" s="2"/>
      <c r="BQ1394" s="2"/>
      <c r="BR1394" s="6"/>
      <c r="BS1394" s="6"/>
      <c r="BT1394" s="2"/>
      <c r="BU1394" s="2"/>
      <c r="BV1394" s="2"/>
      <c r="BW1394" s="2"/>
      <c r="BX1394" s="2"/>
      <c r="BY1394" s="2"/>
      <c r="BZ1394" s="2"/>
      <c r="CA1394" s="2"/>
      <c r="CB1394" s="2"/>
      <c r="CC1394" s="2"/>
      <c r="CD1394" s="3"/>
      <c r="CE1394" s="2"/>
      <c r="CF1394" s="4"/>
      <c r="CG1394" s="4"/>
      <c r="CI1394" s="2"/>
    </row>
    <row r="1395" spans="1:87" s="101" customFormat="1" x14ac:dyDescent="0.35">
      <c r="A1395" s="1"/>
      <c r="C1395" s="1"/>
      <c r="G1395" s="2"/>
      <c r="H1395" s="2"/>
      <c r="I1395" s="2"/>
      <c r="J1395" s="2"/>
      <c r="K1395" s="81"/>
      <c r="L1395" s="4"/>
      <c r="M1395" s="4"/>
      <c r="N1395" s="4"/>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3"/>
      <c r="AP1395" s="2"/>
      <c r="AQ1395" s="2"/>
      <c r="AR1395" s="2"/>
      <c r="AS1395" s="2"/>
      <c r="AT1395" s="2"/>
      <c r="AU1395" s="2"/>
      <c r="AV1395" s="2"/>
      <c r="AW1395" s="2"/>
      <c r="AX1395" s="2"/>
      <c r="AY1395" s="2"/>
      <c r="AZ1395" s="5"/>
      <c r="BA1395" s="2"/>
      <c r="BD1395" s="2"/>
      <c r="BE1395" s="2"/>
      <c r="BF1395" s="2"/>
      <c r="BG1395" s="2"/>
      <c r="BH1395" s="2"/>
      <c r="BI1395" s="2"/>
      <c r="BJ1395" s="2"/>
      <c r="BK1395" s="2"/>
      <c r="BM1395" s="2"/>
      <c r="BN1395" s="2"/>
      <c r="BO1395" s="2"/>
      <c r="BP1395" s="2"/>
      <c r="BQ1395" s="2"/>
      <c r="BR1395" s="6"/>
      <c r="BS1395" s="6"/>
      <c r="BT1395" s="2"/>
      <c r="BU1395" s="2"/>
      <c r="BV1395" s="2"/>
      <c r="BW1395" s="2"/>
      <c r="BX1395" s="2"/>
      <c r="BY1395" s="2"/>
      <c r="BZ1395" s="2"/>
      <c r="CA1395" s="2"/>
      <c r="CB1395" s="2"/>
      <c r="CC1395" s="2"/>
      <c r="CD1395" s="3"/>
      <c r="CE1395" s="2"/>
      <c r="CF1395" s="4"/>
      <c r="CG1395" s="4"/>
      <c r="CI1395" s="2"/>
    </row>
    <row r="1396" spans="1:87" s="101" customFormat="1" x14ac:dyDescent="0.35">
      <c r="A1396" s="1"/>
      <c r="C1396" s="1"/>
      <c r="G1396" s="2"/>
      <c r="H1396" s="2"/>
      <c r="I1396" s="2"/>
      <c r="J1396" s="2"/>
      <c r="K1396" s="81"/>
      <c r="L1396" s="4"/>
      <c r="M1396" s="4"/>
      <c r="N1396" s="4"/>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3"/>
      <c r="AP1396" s="2"/>
      <c r="AQ1396" s="2"/>
      <c r="AR1396" s="2"/>
      <c r="AS1396" s="2"/>
      <c r="AT1396" s="2"/>
      <c r="AU1396" s="2"/>
      <c r="AV1396" s="2"/>
      <c r="AW1396" s="2"/>
      <c r="AX1396" s="2"/>
      <c r="AY1396" s="2"/>
      <c r="AZ1396" s="5"/>
      <c r="BA1396" s="2"/>
      <c r="BD1396" s="2"/>
      <c r="BE1396" s="2"/>
      <c r="BF1396" s="2"/>
      <c r="BG1396" s="2"/>
      <c r="BH1396" s="2"/>
      <c r="BI1396" s="2"/>
      <c r="BJ1396" s="2"/>
      <c r="BK1396" s="2"/>
      <c r="BM1396" s="2"/>
      <c r="BN1396" s="2"/>
      <c r="BO1396" s="2"/>
      <c r="BP1396" s="2"/>
      <c r="BQ1396" s="2"/>
      <c r="BR1396" s="6"/>
      <c r="BS1396" s="6"/>
      <c r="BT1396" s="2"/>
      <c r="BU1396" s="2"/>
      <c r="BV1396" s="2"/>
      <c r="BW1396" s="2"/>
      <c r="BX1396" s="2"/>
      <c r="BY1396" s="2"/>
      <c r="BZ1396" s="2"/>
      <c r="CA1396" s="2"/>
      <c r="CB1396" s="2"/>
      <c r="CC1396" s="2"/>
      <c r="CD1396" s="3"/>
      <c r="CE1396" s="2"/>
      <c r="CF1396" s="4"/>
      <c r="CG1396" s="4"/>
      <c r="CI1396" s="2"/>
    </row>
    <row r="1397" spans="1:87" s="101" customFormat="1" x14ac:dyDescent="0.35">
      <c r="A1397" s="1"/>
      <c r="C1397" s="1"/>
      <c r="G1397" s="2"/>
      <c r="H1397" s="2"/>
      <c r="I1397" s="2"/>
      <c r="J1397" s="2"/>
      <c r="K1397" s="81"/>
      <c r="L1397" s="4"/>
      <c r="M1397" s="4"/>
      <c r="N1397" s="4"/>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3"/>
      <c r="AP1397" s="2"/>
      <c r="AQ1397" s="2"/>
      <c r="AR1397" s="2"/>
      <c r="AS1397" s="2"/>
      <c r="AT1397" s="2"/>
      <c r="AU1397" s="2"/>
      <c r="AV1397" s="2"/>
      <c r="AW1397" s="2"/>
      <c r="AX1397" s="2"/>
      <c r="AY1397" s="2"/>
      <c r="AZ1397" s="5"/>
      <c r="BA1397" s="2"/>
      <c r="BD1397" s="2"/>
      <c r="BE1397" s="2"/>
      <c r="BF1397" s="2"/>
      <c r="BG1397" s="2"/>
      <c r="BH1397" s="2"/>
      <c r="BI1397" s="2"/>
      <c r="BJ1397" s="2"/>
      <c r="BK1397" s="2"/>
      <c r="BM1397" s="2"/>
      <c r="BN1397" s="2"/>
      <c r="BO1397" s="2"/>
      <c r="BP1397" s="2"/>
      <c r="BQ1397" s="2"/>
      <c r="BR1397" s="6"/>
      <c r="BS1397" s="6"/>
      <c r="BT1397" s="2"/>
      <c r="BU1397" s="2"/>
      <c r="BV1397" s="2"/>
      <c r="BW1397" s="2"/>
      <c r="BX1397" s="2"/>
      <c r="BY1397" s="2"/>
      <c r="BZ1397" s="2"/>
      <c r="CA1397" s="2"/>
      <c r="CB1397" s="2"/>
      <c r="CC1397" s="2"/>
      <c r="CD1397" s="3"/>
      <c r="CE1397" s="2"/>
      <c r="CF1397" s="4"/>
      <c r="CG1397" s="4"/>
      <c r="CI1397" s="2"/>
    </row>
    <row r="1398" spans="1:87" s="101" customFormat="1" x14ac:dyDescent="0.35">
      <c r="A1398" s="1"/>
      <c r="C1398" s="1"/>
      <c r="G1398" s="2"/>
      <c r="H1398" s="2"/>
      <c r="I1398" s="2"/>
      <c r="J1398" s="2"/>
      <c r="K1398" s="81"/>
      <c r="L1398" s="4"/>
      <c r="M1398" s="4"/>
      <c r="N1398" s="4"/>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3"/>
      <c r="AP1398" s="2"/>
      <c r="AQ1398" s="2"/>
      <c r="AR1398" s="2"/>
      <c r="AS1398" s="2"/>
      <c r="AT1398" s="2"/>
      <c r="AU1398" s="2"/>
      <c r="AV1398" s="2"/>
      <c r="AW1398" s="2"/>
      <c r="AX1398" s="2"/>
      <c r="AY1398" s="2"/>
      <c r="AZ1398" s="5"/>
      <c r="BA1398" s="2"/>
      <c r="BD1398" s="2"/>
      <c r="BE1398" s="2"/>
      <c r="BF1398" s="2"/>
      <c r="BG1398" s="2"/>
      <c r="BH1398" s="2"/>
      <c r="BI1398" s="2"/>
      <c r="BJ1398" s="2"/>
      <c r="BK1398" s="2"/>
      <c r="BM1398" s="2"/>
      <c r="BN1398" s="2"/>
      <c r="BO1398" s="2"/>
      <c r="BP1398" s="2"/>
      <c r="BQ1398" s="2"/>
      <c r="BR1398" s="6"/>
      <c r="BS1398" s="6"/>
      <c r="BT1398" s="2"/>
      <c r="BU1398" s="2"/>
      <c r="BV1398" s="2"/>
      <c r="BW1398" s="2"/>
      <c r="BX1398" s="2"/>
      <c r="BY1398" s="2"/>
      <c r="BZ1398" s="2"/>
      <c r="CA1398" s="2"/>
      <c r="CB1398" s="2"/>
      <c r="CC1398" s="2"/>
      <c r="CD1398" s="3"/>
      <c r="CE1398" s="2"/>
      <c r="CF1398" s="4"/>
      <c r="CG1398" s="4"/>
      <c r="CI1398" s="2"/>
    </row>
    <row r="1399" spans="1:87" s="101" customFormat="1" x14ac:dyDescent="0.35">
      <c r="A1399" s="1"/>
      <c r="C1399" s="1"/>
      <c r="G1399" s="2"/>
      <c r="H1399" s="2"/>
      <c r="I1399" s="2"/>
      <c r="J1399" s="2"/>
      <c r="K1399" s="81"/>
      <c r="L1399" s="4"/>
      <c r="M1399" s="4"/>
      <c r="N1399" s="4"/>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3"/>
      <c r="AP1399" s="2"/>
      <c r="AQ1399" s="2"/>
      <c r="AR1399" s="2"/>
      <c r="AS1399" s="2"/>
      <c r="AT1399" s="2"/>
      <c r="AU1399" s="2"/>
      <c r="AV1399" s="2"/>
      <c r="AW1399" s="2"/>
      <c r="AX1399" s="2"/>
      <c r="AY1399" s="2"/>
      <c r="AZ1399" s="5"/>
      <c r="BA1399" s="2"/>
      <c r="BD1399" s="2"/>
      <c r="BE1399" s="2"/>
      <c r="BF1399" s="2"/>
      <c r="BG1399" s="2"/>
      <c r="BH1399" s="2"/>
      <c r="BI1399" s="2"/>
      <c r="BJ1399" s="2"/>
      <c r="BK1399" s="2"/>
      <c r="BM1399" s="2"/>
      <c r="BN1399" s="2"/>
      <c r="BO1399" s="2"/>
      <c r="BP1399" s="2"/>
      <c r="BQ1399" s="2"/>
      <c r="BR1399" s="6"/>
      <c r="BS1399" s="6"/>
      <c r="BT1399" s="2"/>
      <c r="BU1399" s="2"/>
      <c r="BV1399" s="2"/>
      <c r="BW1399" s="2"/>
      <c r="BX1399" s="2"/>
      <c r="BY1399" s="2"/>
      <c r="BZ1399" s="2"/>
      <c r="CA1399" s="2"/>
      <c r="CB1399" s="2"/>
      <c r="CC1399" s="2"/>
      <c r="CD1399" s="3"/>
      <c r="CE1399" s="2"/>
      <c r="CF1399" s="4"/>
      <c r="CG1399" s="4"/>
      <c r="CI1399" s="2"/>
    </row>
    <row r="1400" spans="1:87" s="101" customFormat="1" x14ac:dyDescent="0.35">
      <c r="A1400" s="1"/>
      <c r="C1400" s="1"/>
      <c r="G1400" s="2"/>
      <c r="H1400" s="2"/>
      <c r="I1400" s="2"/>
      <c r="J1400" s="2"/>
      <c r="K1400" s="81"/>
      <c r="L1400" s="4"/>
      <c r="M1400" s="4"/>
      <c r="N1400" s="4"/>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3"/>
      <c r="AP1400" s="2"/>
      <c r="AQ1400" s="2"/>
      <c r="AR1400" s="2"/>
      <c r="AS1400" s="2"/>
      <c r="AT1400" s="2"/>
      <c r="AU1400" s="2"/>
      <c r="AV1400" s="2"/>
      <c r="AW1400" s="2"/>
      <c r="AX1400" s="2"/>
      <c r="AY1400" s="2"/>
      <c r="AZ1400" s="5"/>
      <c r="BA1400" s="2"/>
      <c r="BD1400" s="2"/>
      <c r="BE1400" s="2"/>
      <c r="BF1400" s="2"/>
      <c r="BG1400" s="2"/>
      <c r="BH1400" s="2"/>
      <c r="BI1400" s="2"/>
      <c r="BJ1400" s="2"/>
      <c r="BK1400" s="2"/>
      <c r="BM1400" s="2"/>
      <c r="BN1400" s="2"/>
      <c r="BO1400" s="2"/>
      <c r="BP1400" s="2"/>
      <c r="BQ1400" s="2"/>
      <c r="BR1400" s="6"/>
      <c r="BS1400" s="6"/>
      <c r="BT1400" s="2"/>
      <c r="BU1400" s="2"/>
      <c r="BV1400" s="2"/>
      <c r="BW1400" s="2"/>
      <c r="BX1400" s="2"/>
      <c r="BY1400" s="2"/>
      <c r="BZ1400" s="2"/>
      <c r="CA1400" s="2"/>
      <c r="CB1400" s="2"/>
      <c r="CC1400" s="2"/>
      <c r="CD1400" s="3"/>
      <c r="CE1400" s="2"/>
      <c r="CF1400" s="4"/>
      <c r="CG1400" s="4"/>
      <c r="CI1400" s="2"/>
    </row>
    <row r="1401" spans="1:87" s="101" customFormat="1" x14ac:dyDescent="0.35">
      <c r="A1401" s="1"/>
      <c r="C1401" s="1"/>
      <c r="G1401" s="2"/>
      <c r="H1401" s="2"/>
      <c r="I1401" s="2"/>
      <c r="J1401" s="2"/>
      <c r="K1401" s="81"/>
      <c r="L1401" s="4"/>
      <c r="M1401" s="4"/>
      <c r="N1401" s="4"/>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3"/>
      <c r="AP1401" s="2"/>
      <c r="AQ1401" s="2"/>
      <c r="AR1401" s="2"/>
      <c r="AS1401" s="2"/>
      <c r="AT1401" s="2"/>
      <c r="AU1401" s="2"/>
      <c r="AV1401" s="2"/>
      <c r="AW1401" s="2"/>
      <c r="AX1401" s="2"/>
      <c r="AY1401" s="2"/>
      <c r="AZ1401" s="5"/>
      <c r="BA1401" s="2"/>
      <c r="BD1401" s="2"/>
      <c r="BE1401" s="2"/>
      <c r="BF1401" s="2"/>
      <c r="BG1401" s="2"/>
      <c r="BH1401" s="2"/>
      <c r="BI1401" s="2"/>
      <c r="BJ1401" s="2"/>
      <c r="BK1401" s="2"/>
      <c r="BM1401" s="2"/>
      <c r="BN1401" s="2"/>
      <c r="BO1401" s="2"/>
      <c r="BP1401" s="2"/>
      <c r="BQ1401" s="2"/>
      <c r="BR1401" s="6"/>
      <c r="BS1401" s="6"/>
      <c r="BT1401" s="2"/>
      <c r="BU1401" s="2"/>
      <c r="BV1401" s="2"/>
      <c r="BW1401" s="2"/>
      <c r="BX1401" s="2"/>
      <c r="BY1401" s="2"/>
      <c r="BZ1401" s="2"/>
      <c r="CA1401" s="2"/>
      <c r="CB1401" s="2"/>
      <c r="CC1401" s="2"/>
      <c r="CD1401" s="3"/>
      <c r="CE1401" s="2"/>
      <c r="CF1401" s="4"/>
      <c r="CG1401" s="4"/>
      <c r="CI1401" s="2"/>
    </row>
    <row r="1402" spans="1:87" s="101" customFormat="1" x14ac:dyDescent="0.35">
      <c r="A1402" s="1"/>
      <c r="C1402" s="1"/>
      <c r="G1402" s="2"/>
      <c r="H1402" s="2"/>
      <c r="I1402" s="2"/>
      <c r="J1402" s="2"/>
      <c r="K1402" s="81"/>
      <c r="L1402" s="4"/>
      <c r="M1402" s="4"/>
      <c r="N1402" s="4"/>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3"/>
      <c r="AP1402" s="2"/>
      <c r="AQ1402" s="2"/>
      <c r="AR1402" s="2"/>
      <c r="AS1402" s="2"/>
      <c r="AT1402" s="2"/>
      <c r="AU1402" s="2"/>
      <c r="AV1402" s="2"/>
      <c r="AW1402" s="2"/>
      <c r="AX1402" s="2"/>
      <c r="AY1402" s="2"/>
      <c r="AZ1402" s="5"/>
      <c r="BA1402" s="2"/>
      <c r="BD1402" s="2"/>
      <c r="BE1402" s="2"/>
      <c r="BF1402" s="2"/>
      <c r="BG1402" s="2"/>
      <c r="BH1402" s="2"/>
      <c r="BI1402" s="2"/>
      <c r="BJ1402" s="2"/>
      <c r="BK1402" s="2"/>
      <c r="BM1402" s="2"/>
      <c r="BN1402" s="2"/>
      <c r="BO1402" s="2"/>
      <c r="BP1402" s="2"/>
      <c r="BQ1402" s="2"/>
      <c r="BR1402" s="6"/>
      <c r="BS1402" s="6"/>
      <c r="BT1402" s="2"/>
      <c r="BU1402" s="2"/>
      <c r="BV1402" s="2"/>
      <c r="BW1402" s="2"/>
      <c r="BX1402" s="2"/>
      <c r="BY1402" s="2"/>
      <c r="BZ1402" s="2"/>
      <c r="CA1402" s="2"/>
      <c r="CB1402" s="2"/>
      <c r="CC1402" s="2"/>
      <c r="CD1402" s="3"/>
      <c r="CE1402" s="2"/>
      <c r="CF1402" s="4"/>
      <c r="CG1402" s="4"/>
      <c r="CI1402" s="2"/>
    </row>
    <row r="1403" spans="1:87" s="101" customFormat="1" x14ac:dyDescent="0.35">
      <c r="A1403" s="1"/>
      <c r="C1403" s="1"/>
      <c r="G1403" s="2"/>
      <c r="H1403" s="2"/>
      <c r="I1403" s="2"/>
      <c r="J1403" s="2"/>
      <c r="K1403" s="81"/>
      <c r="L1403" s="4"/>
      <c r="M1403" s="4"/>
      <c r="N1403" s="4"/>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3"/>
      <c r="AP1403" s="2"/>
      <c r="AQ1403" s="2"/>
      <c r="AR1403" s="2"/>
      <c r="AS1403" s="2"/>
      <c r="AT1403" s="2"/>
      <c r="AU1403" s="2"/>
      <c r="AV1403" s="2"/>
      <c r="AW1403" s="2"/>
      <c r="AX1403" s="2"/>
      <c r="AY1403" s="2"/>
      <c r="AZ1403" s="5"/>
      <c r="BA1403" s="2"/>
      <c r="BD1403" s="2"/>
      <c r="BE1403" s="2"/>
      <c r="BF1403" s="2"/>
      <c r="BG1403" s="2"/>
      <c r="BH1403" s="2"/>
      <c r="BI1403" s="2"/>
      <c r="BJ1403" s="2"/>
      <c r="BK1403" s="2"/>
      <c r="BM1403" s="2"/>
      <c r="BN1403" s="2"/>
      <c r="BO1403" s="2"/>
      <c r="BP1403" s="2"/>
      <c r="BQ1403" s="2"/>
      <c r="BR1403" s="6"/>
      <c r="BS1403" s="6"/>
      <c r="BT1403" s="2"/>
      <c r="BU1403" s="2"/>
      <c r="BV1403" s="2"/>
      <c r="BW1403" s="2"/>
      <c r="BX1403" s="2"/>
      <c r="BY1403" s="2"/>
      <c r="BZ1403" s="2"/>
      <c r="CA1403" s="2"/>
      <c r="CB1403" s="2"/>
      <c r="CC1403" s="2"/>
      <c r="CD1403" s="3"/>
      <c r="CE1403" s="2"/>
      <c r="CF1403" s="4"/>
      <c r="CG1403" s="4"/>
      <c r="CI1403" s="2"/>
    </row>
    <row r="1404" spans="1:87" s="101" customFormat="1" x14ac:dyDescent="0.35">
      <c r="A1404" s="1"/>
      <c r="C1404" s="1"/>
      <c r="G1404" s="2"/>
      <c r="H1404" s="2"/>
      <c r="I1404" s="2"/>
      <c r="J1404" s="2"/>
      <c r="K1404" s="81"/>
      <c r="L1404" s="4"/>
      <c r="M1404" s="4"/>
      <c r="N1404" s="4"/>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3"/>
      <c r="AP1404" s="2"/>
      <c r="AQ1404" s="2"/>
      <c r="AR1404" s="2"/>
      <c r="AS1404" s="2"/>
      <c r="AT1404" s="2"/>
      <c r="AU1404" s="2"/>
      <c r="AV1404" s="2"/>
      <c r="AW1404" s="2"/>
      <c r="AX1404" s="2"/>
      <c r="AY1404" s="2"/>
      <c r="AZ1404" s="5"/>
      <c r="BA1404" s="2"/>
      <c r="BD1404" s="2"/>
      <c r="BE1404" s="2"/>
      <c r="BF1404" s="2"/>
      <c r="BG1404" s="2"/>
      <c r="BH1404" s="2"/>
      <c r="BI1404" s="2"/>
      <c r="BJ1404" s="2"/>
      <c r="BK1404" s="2"/>
      <c r="BM1404" s="2"/>
      <c r="BN1404" s="2"/>
      <c r="BO1404" s="2"/>
      <c r="BP1404" s="2"/>
      <c r="BQ1404" s="2"/>
      <c r="BR1404" s="6"/>
      <c r="BS1404" s="6"/>
      <c r="BT1404" s="2"/>
      <c r="BU1404" s="2"/>
      <c r="BV1404" s="2"/>
      <c r="BW1404" s="2"/>
      <c r="BX1404" s="2"/>
      <c r="BY1404" s="2"/>
      <c r="BZ1404" s="2"/>
      <c r="CA1404" s="2"/>
      <c r="CB1404" s="2"/>
      <c r="CC1404" s="2"/>
      <c r="CD1404" s="3"/>
      <c r="CE1404" s="2"/>
      <c r="CF1404" s="4"/>
      <c r="CG1404" s="4"/>
      <c r="CI1404" s="2"/>
    </row>
    <row r="1405" spans="1:87" s="101" customFormat="1" x14ac:dyDescent="0.35">
      <c r="A1405" s="1"/>
      <c r="C1405" s="1"/>
      <c r="G1405" s="2"/>
      <c r="H1405" s="2"/>
      <c r="I1405" s="2"/>
      <c r="J1405" s="2"/>
      <c r="K1405" s="81"/>
      <c r="L1405" s="4"/>
      <c r="M1405" s="4"/>
      <c r="N1405" s="4"/>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3"/>
      <c r="AP1405" s="2"/>
      <c r="AQ1405" s="2"/>
      <c r="AR1405" s="2"/>
      <c r="AS1405" s="2"/>
      <c r="AT1405" s="2"/>
      <c r="AU1405" s="2"/>
      <c r="AV1405" s="2"/>
      <c r="AW1405" s="2"/>
      <c r="AX1405" s="2"/>
      <c r="AY1405" s="2"/>
      <c r="AZ1405" s="5"/>
      <c r="BA1405" s="2"/>
      <c r="BD1405" s="2"/>
      <c r="BE1405" s="2"/>
      <c r="BF1405" s="2"/>
      <c r="BG1405" s="2"/>
      <c r="BH1405" s="2"/>
      <c r="BI1405" s="2"/>
      <c r="BJ1405" s="2"/>
      <c r="BK1405" s="2"/>
      <c r="BM1405" s="2"/>
      <c r="BN1405" s="2"/>
      <c r="BO1405" s="2"/>
      <c r="BP1405" s="2"/>
      <c r="BQ1405" s="2"/>
      <c r="BR1405" s="6"/>
      <c r="BS1405" s="6"/>
      <c r="BT1405" s="2"/>
      <c r="BU1405" s="2"/>
      <c r="BV1405" s="2"/>
      <c r="BW1405" s="2"/>
      <c r="BX1405" s="2"/>
      <c r="BY1405" s="2"/>
      <c r="BZ1405" s="2"/>
      <c r="CA1405" s="2"/>
      <c r="CB1405" s="2"/>
      <c r="CC1405" s="2"/>
      <c r="CD1405" s="3"/>
      <c r="CE1405" s="2"/>
      <c r="CF1405" s="4"/>
      <c r="CG1405" s="4"/>
      <c r="CI1405" s="2"/>
    </row>
    <row r="1406" spans="1:87" s="101" customFormat="1" x14ac:dyDescent="0.35">
      <c r="A1406" s="1"/>
      <c r="C1406" s="1"/>
      <c r="G1406" s="2"/>
      <c r="H1406" s="2"/>
      <c r="I1406" s="2"/>
      <c r="J1406" s="2"/>
      <c r="K1406" s="81"/>
      <c r="L1406" s="4"/>
      <c r="M1406" s="4"/>
      <c r="N1406" s="4"/>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3"/>
      <c r="AP1406" s="2"/>
      <c r="AQ1406" s="2"/>
      <c r="AR1406" s="2"/>
      <c r="AS1406" s="2"/>
      <c r="AT1406" s="2"/>
      <c r="AU1406" s="2"/>
      <c r="AV1406" s="2"/>
      <c r="AW1406" s="2"/>
      <c r="AX1406" s="2"/>
      <c r="AY1406" s="2"/>
      <c r="AZ1406" s="5"/>
      <c r="BA1406" s="2"/>
      <c r="BD1406" s="2"/>
      <c r="BE1406" s="2"/>
      <c r="BF1406" s="2"/>
      <c r="BG1406" s="2"/>
      <c r="BH1406" s="2"/>
      <c r="BI1406" s="2"/>
      <c r="BJ1406" s="2"/>
      <c r="BK1406" s="2"/>
      <c r="BM1406" s="2"/>
      <c r="BN1406" s="2"/>
      <c r="BO1406" s="2"/>
      <c r="BP1406" s="2"/>
      <c r="BQ1406" s="2"/>
      <c r="BR1406" s="6"/>
      <c r="BS1406" s="6"/>
      <c r="BT1406" s="2"/>
      <c r="BU1406" s="2"/>
      <c r="BV1406" s="2"/>
      <c r="BW1406" s="2"/>
      <c r="BX1406" s="2"/>
      <c r="BY1406" s="2"/>
      <c r="BZ1406" s="2"/>
      <c r="CA1406" s="2"/>
      <c r="CB1406" s="2"/>
      <c r="CC1406" s="2"/>
      <c r="CD1406" s="3"/>
      <c r="CE1406" s="2"/>
      <c r="CF1406" s="4"/>
      <c r="CG1406" s="4"/>
      <c r="CI1406" s="2"/>
    </row>
    <row r="1407" spans="1:87" s="101" customFormat="1" x14ac:dyDescent="0.35">
      <c r="A1407" s="1"/>
      <c r="C1407" s="1"/>
      <c r="G1407" s="2"/>
      <c r="H1407" s="2"/>
      <c r="I1407" s="2"/>
      <c r="J1407" s="2"/>
      <c r="K1407" s="81"/>
      <c r="L1407" s="4"/>
      <c r="M1407" s="4"/>
      <c r="N1407" s="4"/>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3"/>
      <c r="AP1407" s="2"/>
      <c r="AQ1407" s="2"/>
      <c r="AR1407" s="2"/>
      <c r="AS1407" s="2"/>
      <c r="AT1407" s="2"/>
      <c r="AU1407" s="2"/>
      <c r="AV1407" s="2"/>
      <c r="AW1407" s="2"/>
      <c r="AX1407" s="2"/>
      <c r="AY1407" s="2"/>
      <c r="AZ1407" s="5"/>
      <c r="BA1407" s="2"/>
      <c r="BD1407" s="2"/>
      <c r="BE1407" s="2"/>
      <c r="BF1407" s="2"/>
      <c r="BG1407" s="2"/>
      <c r="BH1407" s="2"/>
      <c r="BI1407" s="2"/>
      <c r="BJ1407" s="2"/>
      <c r="BK1407" s="2"/>
      <c r="BM1407" s="2"/>
      <c r="BN1407" s="2"/>
      <c r="BO1407" s="2"/>
      <c r="BP1407" s="2"/>
      <c r="BQ1407" s="2"/>
      <c r="BR1407" s="6"/>
      <c r="BS1407" s="6"/>
      <c r="BT1407" s="2"/>
      <c r="BU1407" s="2"/>
      <c r="BV1407" s="2"/>
      <c r="BW1407" s="2"/>
      <c r="BX1407" s="2"/>
      <c r="BY1407" s="2"/>
      <c r="BZ1407" s="2"/>
      <c r="CA1407" s="2"/>
      <c r="CB1407" s="2"/>
      <c r="CC1407" s="2"/>
      <c r="CD1407" s="3"/>
      <c r="CE1407" s="2"/>
      <c r="CF1407" s="4"/>
      <c r="CG1407" s="4"/>
      <c r="CI1407" s="2"/>
    </row>
    <row r="1408" spans="1:87" s="101" customFormat="1" x14ac:dyDescent="0.35">
      <c r="A1408" s="1"/>
      <c r="C1408" s="1"/>
      <c r="G1408" s="2"/>
      <c r="H1408" s="2"/>
      <c r="I1408" s="2"/>
      <c r="J1408" s="2"/>
      <c r="K1408" s="81"/>
      <c r="L1408" s="4"/>
      <c r="M1408" s="4"/>
      <c r="N1408" s="4"/>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3"/>
      <c r="AP1408" s="2"/>
      <c r="AQ1408" s="2"/>
      <c r="AR1408" s="2"/>
      <c r="AS1408" s="2"/>
      <c r="AT1408" s="2"/>
      <c r="AU1408" s="2"/>
      <c r="AV1408" s="2"/>
      <c r="AW1408" s="2"/>
      <c r="AX1408" s="2"/>
      <c r="AY1408" s="2"/>
      <c r="AZ1408" s="5"/>
      <c r="BA1408" s="2"/>
      <c r="BD1408" s="2"/>
      <c r="BE1408" s="2"/>
      <c r="BF1408" s="2"/>
      <c r="BG1408" s="2"/>
      <c r="BH1408" s="2"/>
      <c r="BI1408" s="2"/>
      <c r="BJ1408" s="2"/>
      <c r="BK1408" s="2"/>
      <c r="BM1408" s="2"/>
      <c r="BN1408" s="2"/>
      <c r="BO1408" s="2"/>
      <c r="BP1408" s="2"/>
      <c r="BQ1408" s="2"/>
      <c r="BR1408" s="6"/>
      <c r="BS1408" s="6"/>
      <c r="BT1408" s="2"/>
      <c r="BU1408" s="2"/>
      <c r="BV1408" s="2"/>
      <c r="BW1408" s="2"/>
      <c r="BX1408" s="2"/>
      <c r="BY1408" s="2"/>
      <c r="BZ1408" s="2"/>
      <c r="CA1408" s="2"/>
      <c r="CB1408" s="2"/>
      <c r="CC1408" s="2"/>
      <c r="CD1408" s="3"/>
      <c r="CE1408" s="2"/>
      <c r="CF1408" s="4"/>
      <c r="CG1408" s="4"/>
      <c r="CI1408" s="2"/>
    </row>
    <row r="1409" spans="1:87" s="101" customFormat="1" x14ac:dyDescent="0.35">
      <c r="A1409" s="1"/>
      <c r="C1409" s="1"/>
      <c r="G1409" s="2"/>
      <c r="H1409" s="2"/>
      <c r="I1409" s="2"/>
      <c r="J1409" s="2"/>
      <c r="K1409" s="81"/>
      <c r="L1409" s="4"/>
      <c r="M1409" s="4"/>
      <c r="N1409" s="4"/>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3"/>
      <c r="AP1409" s="2"/>
      <c r="AQ1409" s="2"/>
      <c r="AR1409" s="2"/>
      <c r="AS1409" s="2"/>
      <c r="AT1409" s="2"/>
      <c r="AU1409" s="2"/>
      <c r="AV1409" s="2"/>
      <c r="AW1409" s="2"/>
      <c r="AX1409" s="2"/>
      <c r="AY1409" s="2"/>
      <c r="AZ1409" s="5"/>
      <c r="BA1409" s="2"/>
      <c r="BD1409" s="2"/>
      <c r="BE1409" s="2"/>
      <c r="BF1409" s="2"/>
      <c r="BG1409" s="2"/>
      <c r="BH1409" s="2"/>
      <c r="BI1409" s="2"/>
      <c r="BJ1409" s="2"/>
      <c r="BK1409" s="2"/>
      <c r="BM1409" s="2"/>
      <c r="BN1409" s="2"/>
      <c r="BO1409" s="2"/>
      <c r="BP1409" s="2"/>
      <c r="BQ1409" s="2"/>
      <c r="BR1409" s="6"/>
      <c r="BS1409" s="6"/>
      <c r="BT1409" s="2"/>
      <c r="BU1409" s="2"/>
      <c r="BV1409" s="2"/>
      <c r="BW1409" s="2"/>
      <c r="BX1409" s="2"/>
      <c r="BY1409" s="2"/>
      <c r="BZ1409" s="2"/>
      <c r="CA1409" s="2"/>
      <c r="CB1409" s="2"/>
      <c r="CC1409" s="2"/>
      <c r="CD1409" s="3"/>
      <c r="CE1409" s="2"/>
      <c r="CF1409" s="4"/>
      <c r="CG1409" s="4"/>
      <c r="CI1409" s="2"/>
    </row>
    <row r="1410" spans="1:87" s="101" customFormat="1" x14ac:dyDescent="0.35">
      <c r="A1410" s="1"/>
      <c r="C1410" s="1"/>
      <c r="G1410" s="2"/>
      <c r="H1410" s="2"/>
      <c r="I1410" s="2"/>
      <c r="J1410" s="2"/>
      <c r="K1410" s="81"/>
      <c r="L1410" s="4"/>
      <c r="M1410" s="4"/>
      <c r="N1410" s="4"/>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3"/>
      <c r="AP1410" s="2"/>
      <c r="AQ1410" s="2"/>
      <c r="AR1410" s="2"/>
      <c r="AS1410" s="2"/>
      <c r="AT1410" s="2"/>
      <c r="AU1410" s="2"/>
      <c r="AV1410" s="2"/>
      <c r="AW1410" s="2"/>
      <c r="AX1410" s="2"/>
      <c r="AY1410" s="2"/>
      <c r="AZ1410" s="5"/>
      <c r="BA1410" s="2"/>
      <c r="BD1410" s="2"/>
      <c r="BE1410" s="2"/>
      <c r="BF1410" s="2"/>
      <c r="BG1410" s="2"/>
      <c r="BH1410" s="2"/>
      <c r="BI1410" s="2"/>
      <c r="BJ1410" s="2"/>
      <c r="BK1410" s="2"/>
      <c r="BM1410" s="2"/>
      <c r="BN1410" s="2"/>
      <c r="BO1410" s="2"/>
      <c r="BP1410" s="2"/>
      <c r="BQ1410" s="2"/>
      <c r="BR1410" s="6"/>
      <c r="BS1410" s="6"/>
      <c r="BT1410" s="2"/>
      <c r="BU1410" s="2"/>
      <c r="BV1410" s="2"/>
      <c r="BW1410" s="2"/>
      <c r="BX1410" s="2"/>
      <c r="BY1410" s="2"/>
      <c r="BZ1410" s="2"/>
      <c r="CA1410" s="2"/>
      <c r="CB1410" s="2"/>
      <c r="CC1410" s="2"/>
      <c r="CD1410" s="3"/>
      <c r="CE1410" s="2"/>
      <c r="CF1410" s="4"/>
      <c r="CG1410" s="4"/>
      <c r="CI1410" s="2"/>
    </row>
    <row r="1411" spans="1:87" s="101" customFormat="1" x14ac:dyDescent="0.35">
      <c r="A1411" s="1"/>
      <c r="C1411" s="1"/>
      <c r="G1411" s="2"/>
      <c r="H1411" s="2"/>
      <c r="I1411" s="2"/>
      <c r="J1411" s="2"/>
      <c r="K1411" s="81"/>
      <c r="L1411" s="4"/>
      <c r="M1411" s="4"/>
      <c r="N1411" s="4"/>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3"/>
      <c r="AP1411" s="2"/>
      <c r="AQ1411" s="2"/>
      <c r="AR1411" s="2"/>
      <c r="AS1411" s="2"/>
      <c r="AT1411" s="2"/>
      <c r="AU1411" s="2"/>
      <c r="AV1411" s="2"/>
      <c r="AW1411" s="2"/>
      <c r="AX1411" s="2"/>
      <c r="AY1411" s="2"/>
      <c r="AZ1411" s="5"/>
      <c r="BA1411" s="2"/>
      <c r="BD1411" s="2"/>
      <c r="BE1411" s="2"/>
      <c r="BF1411" s="2"/>
      <c r="BG1411" s="2"/>
      <c r="BH1411" s="2"/>
      <c r="BI1411" s="2"/>
      <c r="BJ1411" s="2"/>
      <c r="BK1411" s="2"/>
      <c r="BM1411" s="2"/>
      <c r="BN1411" s="2"/>
      <c r="BO1411" s="2"/>
      <c r="BP1411" s="2"/>
      <c r="BQ1411" s="2"/>
      <c r="BR1411" s="6"/>
      <c r="BS1411" s="6"/>
      <c r="BT1411" s="2"/>
      <c r="BU1411" s="2"/>
      <c r="BV1411" s="2"/>
      <c r="BW1411" s="2"/>
      <c r="BX1411" s="2"/>
      <c r="BY1411" s="2"/>
      <c r="BZ1411" s="2"/>
      <c r="CA1411" s="2"/>
      <c r="CB1411" s="2"/>
      <c r="CC1411" s="2"/>
      <c r="CD1411" s="3"/>
      <c r="CE1411" s="2"/>
      <c r="CF1411" s="4"/>
      <c r="CG1411" s="4"/>
      <c r="CI1411" s="2"/>
    </row>
    <row r="1412" spans="1:87" s="101" customFormat="1" x14ac:dyDescent="0.35">
      <c r="A1412" s="1"/>
      <c r="C1412" s="1"/>
      <c r="G1412" s="2"/>
      <c r="H1412" s="2"/>
      <c r="I1412" s="2"/>
      <c r="J1412" s="2"/>
      <c r="K1412" s="81"/>
      <c r="L1412" s="4"/>
      <c r="M1412" s="4"/>
      <c r="N1412" s="4"/>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3"/>
      <c r="AP1412" s="2"/>
      <c r="AQ1412" s="2"/>
      <c r="AR1412" s="2"/>
      <c r="AS1412" s="2"/>
      <c r="AT1412" s="2"/>
      <c r="AU1412" s="2"/>
      <c r="AV1412" s="2"/>
      <c r="AW1412" s="2"/>
      <c r="AX1412" s="2"/>
      <c r="AY1412" s="2"/>
      <c r="AZ1412" s="5"/>
      <c r="BA1412" s="2"/>
      <c r="BD1412" s="2"/>
      <c r="BE1412" s="2"/>
      <c r="BF1412" s="2"/>
      <c r="BG1412" s="2"/>
      <c r="BH1412" s="2"/>
      <c r="BI1412" s="2"/>
      <c r="BJ1412" s="2"/>
      <c r="BK1412" s="2"/>
      <c r="BM1412" s="2"/>
      <c r="BN1412" s="2"/>
      <c r="BO1412" s="2"/>
      <c r="BP1412" s="2"/>
      <c r="BQ1412" s="2"/>
      <c r="BR1412" s="6"/>
      <c r="BS1412" s="6"/>
      <c r="BT1412" s="2"/>
      <c r="BU1412" s="2"/>
      <c r="BV1412" s="2"/>
      <c r="BW1412" s="2"/>
      <c r="BX1412" s="2"/>
      <c r="BY1412" s="2"/>
      <c r="BZ1412" s="2"/>
      <c r="CA1412" s="2"/>
      <c r="CB1412" s="2"/>
      <c r="CC1412" s="2"/>
      <c r="CD1412" s="3"/>
      <c r="CE1412" s="2"/>
      <c r="CF1412" s="4"/>
      <c r="CG1412" s="4"/>
      <c r="CI1412" s="2"/>
    </row>
    <row r="1413" spans="1:87" s="101" customFormat="1" x14ac:dyDescent="0.35">
      <c r="A1413" s="1"/>
      <c r="C1413" s="1"/>
      <c r="G1413" s="2"/>
      <c r="H1413" s="2"/>
      <c r="I1413" s="2"/>
      <c r="J1413" s="2"/>
      <c r="K1413" s="81"/>
      <c r="L1413" s="4"/>
      <c r="M1413" s="4"/>
      <c r="N1413" s="4"/>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3"/>
      <c r="AP1413" s="2"/>
      <c r="AQ1413" s="2"/>
      <c r="AR1413" s="2"/>
      <c r="AS1413" s="2"/>
      <c r="AT1413" s="2"/>
      <c r="AU1413" s="2"/>
      <c r="AV1413" s="2"/>
      <c r="AW1413" s="2"/>
      <c r="AX1413" s="2"/>
      <c r="AY1413" s="2"/>
      <c r="AZ1413" s="5"/>
      <c r="BA1413" s="2"/>
      <c r="BD1413" s="2"/>
      <c r="BE1413" s="2"/>
      <c r="BF1413" s="2"/>
      <c r="BG1413" s="2"/>
      <c r="BH1413" s="2"/>
      <c r="BI1413" s="2"/>
      <c r="BJ1413" s="2"/>
      <c r="BK1413" s="2"/>
      <c r="BM1413" s="2"/>
      <c r="BN1413" s="2"/>
      <c r="BO1413" s="2"/>
      <c r="BP1413" s="2"/>
      <c r="BQ1413" s="2"/>
      <c r="BR1413" s="6"/>
      <c r="BS1413" s="6"/>
      <c r="BT1413" s="2"/>
      <c r="BU1413" s="2"/>
      <c r="BV1413" s="2"/>
      <c r="BW1413" s="2"/>
      <c r="BX1413" s="2"/>
      <c r="BY1413" s="2"/>
      <c r="BZ1413" s="2"/>
      <c r="CA1413" s="2"/>
      <c r="CB1413" s="2"/>
      <c r="CC1413" s="2"/>
      <c r="CD1413" s="3"/>
      <c r="CE1413" s="2"/>
      <c r="CF1413" s="4"/>
      <c r="CG1413" s="4"/>
      <c r="CI1413" s="2"/>
    </row>
    <row r="1414" spans="1:87" s="101" customFormat="1" x14ac:dyDescent="0.35">
      <c r="A1414" s="1"/>
      <c r="C1414" s="1"/>
      <c r="G1414" s="2"/>
      <c r="H1414" s="2"/>
      <c r="I1414" s="2"/>
      <c r="J1414" s="2"/>
      <c r="K1414" s="81"/>
      <c r="L1414" s="4"/>
      <c r="M1414" s="4"/>
      <c r="N1414" s="4"/>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3"/>
      <c r="AP1414" s="2"/>
      <c r="AQ1414" s="2"/>
      <c r="AR1414" s="2"/>
      <c r="AS1414" s="2"/>
      <c r="AT1414" s="2"/>
      <c r="AU1414" s="2"/>
      <c r="AV1414" s="2"/>
      <c r="AW1414" s="2"/>
      <c r="AX1414" s="2"/>
      <c r="AY1414" s="2"/>
      <c r="AZ1414" s="5"/>
      <c r="BA1414" s="2"/>
      <c r="BD1414" s="2"/>
      <c r="BE1414" s="2"/>
      <c r="BF1414" s="2"/>
      <c r="BG1414" s="2"/>
      <c r="BH1414" s="2"/>
      <c r="BI1414" s="2"/>
      <c r="BJ1414" s="2"/>
      <c r="BK1414" s="2"/>
      <c r="BM1414" s="2"/>
      <c r="BN1414" s="2"/>
      <c r="BO1414" s="2"/>
      <c r="BP1414" s="2"/>
      <c r="BQ1414" s="2"/>
      <c r="BR1414" s="6"/>
      <c r="BS1414" s="6"/>
      <c r="BT1414" s="2"/>
      <c r="BU1414" s="2"/>
      <c r="BV1414" s="2"/>
      <c r="BW1414" s="2"/>
      <c r="BX1414" s="2"/>
      <c r="BY1414" s="2"/>
      <c r="BZ1414" s="2"/>
      <c r="CA1414" s="2"/>
      <c r="CB1414" s="2"/>
      <c r="CC1414" s="2"/>
      <c r="CD1414" s="3"/>
      <c r="CE1414" s="2"/>
      <c r="CF1414" s="4"/>
      <c r="CG1414" s="4"/>
      <c r="CI1414" s="2"/>
    </row>
    <row r="1415" spans="1:87" s="101" customFormat="1" x14ac:dyDescent="0.35">
      <c r="A1415" s="1"/>
      <c r="C1415" s="1"/>
      <c r="G1415" s="2"/>
      <c r="H1415" s="2"/>
      <c r="I1415" s="2"/>
      <c r="J1415" s="2"/>
      <c r="K1415" s="81"/>
      <c r="L1415" s="4"/>
      <c r="M1415" s="4"/>
      <c r="N1415" s="4"/>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3"/>
      <c r="AP1415" s="2"/>
      <c r="AQ1415" s="2"/>
      <c r="AR1415" s="2"/>
      <c r="AS1415" s="2"/>
      <c r="AT1415" s="2"/>
      <c r="AU1415" s="2"/>
      <c r="AV1415" s="2"/>
      <c r="AW1415" s="2"/>
      <c r="AX1415" s="2"/>
      <c r="AY1415" s="2"/>
      <c r="AZ1415" s="5"/>
      <c r="BA1415" s="2"/>
      <c r="BD1415" s="2"/>
      <c r="BE1415" s="2"/>
      <c r="BF1415" s="2"/>
      <c r="BG1415" s="2"/>
      <c r="BH1415" s="2"/>
      <c r="BI1415" s="2"/>
      <c r="BJ1415" s="2"/>
      <c r="BK1415" s="2"/>
      <c r="BM1415" s="2"/>
      <c r="BN1415" s="2"/>
      <c r="BO1415" s="2"/>
      <c r="BP1415" s="2"/>
      <c r="BQ1415" s="2"/>
      <c r="BR1415" s="6"/>
      <c r="BS1415" s="6"/>
      <c r="BT1415" s="2"/>
      <c r="BU1415" s="2"/>
      <c r="BV1415" s="2"/>
      <c r="BW1415" s="2"/>
      <c r="BX1415" s="2"/>
      <c r="BY1415" s="2"/>
      <c r="BZ1415" s="2"/>
      <c r="CA1415" s="2"/>
      <c r="CB1415" s="2"/>
      <c r="CC1415" s="2"/>
      <c r="CD1415" s="3"/>
      <c r="CE1415" s="2"/>
      <c r="CF1415" s="4"/>
      <c r="CG1415" s="4"/>
      <c r="CI1415" s="2"/>
    </row>
    <row r="1416" spans="1:87" s="101" customFormat="1" x14ac:dyDescent="0.35">
      <c r="A1416" s="1"/>
      <c r="C1416" s="1"/>
      <c r="G1416" s="2"/>
      <c r="H1416" s="2"/>
      <c r="I1416" s="2"/>
      <c r="J1416" s="2"/>
      <c r="K1416" s="81"/>
      <c r="L1416" s="4"/>
      <c r="M1416" s="4"/>
      <c r="N1416" s="4"/>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3"/>
      <c r="AP1416" s="2"/>
      <c r="AQ1416" s="2"/>
      <c r="AR1416" s="2"/>
      <c r="AS1416" s="2"/>
      <c r="AT1416" s="2"/>
      <c r="AU1416" s="2"/>
      <c r="AV1416" s="2"/>
      <c r="AW1416" s="2"/>
      <c r="AX1416" s="2"/>
      <c r="AY1416" s="2"/>
      <c r="AZ1416" s="5"/>
      <c r="BA1416" s="2"/>
      <c r="BD1416" s="2"/>
      <c r="BE1416" s="2"/>
      <c r="BF1416" s="2"/>
      <c r="BG1416" s="2"/>
      <c r="BH1416" s="2"/>
      <c r="BI1416" s="2"/>
      <c r="BJ1416" s="2"/>
      <c r="BK1416" s="2"/>
      <c r="BM1416" s="2"/>
      <c r="BN1416" s="2"/>
      <c r="BO1416" s="2"/>
      <c r="BP1416" s="2"/>
      <c r="BQ1416" s="2"/>
      <c r="BR1416" s="6"/>
      <c r="BS1416" s="6"/>
      <c r="BT1416" s="2"/>
      <c r="BU1416" s="2"/>
      <c r="BV1416" s="2"/>
      <c r="BW1416" s="2"/>
      <c r="BX1416" s="2"/>
      <c r="BY1416" s="2"/>
      <c r="BZ1416" s="2"/>
      <c r="CA1416" s="2"/>
      <c r="CB1416" s="2"/>
      <c r="CC1416" s="2"/>
      <c r="CD1416" s="3"/>
      <c r="CE1416" s="2"/>
      <c r="CF1416" s="4"/>
      <c r="CG1416" s="4"/>
      <c r="CI1416" s="2"/>
    </row>
    <row r="1417" spans="1:87" s="101" customFormat="1" x14ac:dyDescent="0.35">
      <c r="A1417" s="1"/>
      <c r="C1417" s="1"/>
      <c r="G1417" s="2"/>
      <c r="H1417" s="2"/>
      <c r="I1417" s="2"/>
      <c r="J1417" s="2"/>
      <c r="K1417" s="81"/>
      <c r="L1417" s="4"/>
      <c r="M1417" s="4"/>
      <c r="N1417" s="4"/>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3"/>
      <c r="AP1417" s="2"/>
      <c r="AQ1417" s="2"/>
      <c r="AR1417" s="2"/>
      <c r="AS1417" s="2"/>
      <c r="AT1417" s="2"/>
      <c r="AU1417" s="2"/>
      <c r="AV1417" s="2"/>
      <c r="AW1417" s="2"/>
      <c r="AX1417" s="2"/>
      <c r="AY1417" s="2"/>
      <c r="AZ1417" s="5"/>
      <c r="BA1417" s="2"/>
      <c r="BD1417" s="2"/>
      <c r="BE1417" s="2"/>
      <c r="BF1417" s="2"/>
      <c r="BG1417" s="2"/>
      <c r="BH1417" s="2"/>
      <c r="BI1417" s="2"/>
      <c r="BJ1417" s="2"/>
      <c r="BK1417" s="2"/>
      <c r="BM1417" s="2"/>
      <c r="BN1417" s="2"/>
      <c r="BO1417" s="2"/>
      <c r="BP1417" s="2"/>
      <c r="BQ1417" s="2"/>
      <c r="BR1417" s="6"/>
      <c r="BS1417" s="6"/>
      <c r="BT1417" s="2"/>
      <c r="BU1417" s="2"/>
      <c r="BV1417" s="2"/>
      <c r="BW1417" s="2"/>
      <c r="BX1417" s="2"/>
      <c r="BY1417" s="2"/>
      <c r="BZ1417" s="2"/>
      <c r="CA1417" s="2"/>
      <c r="CB1417" s="2"/>
      <c r="CC1417" s="2"/>
      <c r="CD1417" s="3"/>
      <c r="CE1417" s="2"/>
      <c r="CF1417" s="4"/>
      <c r="CG1417" s="4"/>
      <c r="CI1417" s="2"/>
    </row>
    <row r="1418" spans="1:87" s="101" customFormat="1" x14ac:dyDescent="0.35">
      <c r="A1418" s="1"/>
      <c r="C1418" s="1"/>
      <c r="G1418" s="2"/>
      <c r="H1418" s="2"/>
      <c r="I1418" s="2"/>
      <c r="J1418" s="2"/>
      <c r="K1418" s="81"/>
      <c r="L1418" s="4"/>
      <c r="M1418" s="4"/>
      <c r="N1418" s="4"/>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3"/>
      <c r="AP1418" s="2"/>
      <c r="AQ1418" s="2"/>
      <c r="AR1418" s="2"/>
      <c r="AS1418" s="2"/>
      <c r="AT1418" s="2"/>
      <c r="AU1418" s="2"/>
      <c r="AV1418" s="2"/>
      <c r="AW1418" s="2"/>
      <c r="AX1418" s="2"/>
      <c r="AY1418" s="2"/>
      <c r="AZ1418" s="5"/>
      <c r="BA1418" s="2"/>
      <c r="BD1418" s="2"/>
      <c r="BE1418" s="2"/>
      <c r="BF1418" s="2"/>
      <c r="BG1418" s="2"/>
      <c r="BH1418" s="2"/>
      <c r="BI1418" s="2"/>
      <c r="BJ1418" s="2"/>
      <c r="BK1418" s="2"/>
      <c r="BM1418" s="2"/>
      <c r="BN1418" s="2"/>
      <c r="BO1418" s="2"/>
      <c r="BP1418" s="2"/>
      <c r="BQ1418" s="2"/>
      <c r="BR1418" s="6"/>
      <c r="BS1418" s="6"/>
      <c r="BT1418" s="2"/>
      <c r="BU1418" s="2"/>
      <c r="BV1418" s="2"/>
      <c r="BW1418" s="2"/>
      <c r="BX1418" s="2"/>
      <c r="BY1418" s="2"/>
      <c r="BZ1418" s="2"/>
      <c r="CA1418" s="2"/>
      <c r="CB1418" s="2"/>
      <c r="CC1418" s="2"/>
      <c r="CD1418" s="3"/>
      <c r="CE1418" s="2"/>
      <c r="CF1418" s="4"/>
      <c r="CG1418" s="4"/>
      <c r="CI1418" s="2"/>
    </row>
    <row r="1419" spans="1:87" s="101" customFormat="1" x14ac:dyDescent="0.35">
      <c r="A1419" s="1"/>
      <c r="C1419" s="1"/>
      <c r="G1419" s="2"/>
      <c r="H1419" s="2"/>
      <c r="I1419" s="2"/>
      <c r="J1419" s="2"/>
      <c r="K1419" s="81"/>
      <c r="L1419" s="4"/>
      <c r="M1419" s="4"/>
      <c r="N1419" s="4"/>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3"/>
      <c r="AP1419" s="2"/>
      <c r="AQ1419" s="2"/>
      <c r="AR1419" s="2"/>
      <c r="AS1419" s="2"/>
      <c r="AT1419" s="2"/>
      <c r="AU1419" s="2"/>
      <c r="AV1419" s="2"/>
      <c r="AW1419" s="2"/>
      <c r="AX1419" s="2"/>
      <c r="AY1419" s="2"/>
      <c r="AZ1419" s="5"/>
      <c r="BA1419" s="2"/>
      <c r="BD1419" s="2"/>
      <c r="BE1419" s="2"/>
      <c r="BF1419" s="2"/>
      <c r="BG1419" s="2"/>
      <c r="BH1419" s="2"/>
      <c r="BI1419" s="2"/>
      <c r="BJ1419" s="2"/>
      <c r="BK1419" s="2"/>
      <c r="BM1419" s="2"/>
      <c r="BN1419" s="2"/>
      <c r="BO1419" s="2"/>
      <c r="BP1419" s="2"/>
      <c r="BQ1419" s="2"/>
      <c r="BR1419" s="6"/>
      <c r="BS1419" s="6"/>
      <c r="BT1419" s="2"/>
      <c r="BU1419" s="2"/>
      <c r="BV1419" s="2"/>
      <c r="BW1419" s="2"/>
      <c r="BX1419" s="2"/>
      <c r="BY1419" s="2"/>
      <c r="BZ1419" s="2"/>
      <c r="CA1419" s="2"/>
      <c r="CB1419" s="2"/>
      <c r="CC1419" s="2"/>
      <c r="CD1419" s="3"/>
      <c r="CE1419" s="2"/>
      <c r="CF1419" s="4"/>
      <c r="CG1419" s="4"/>
      <c r="CI1419" s="2"/>
    </row>
    <row r="1420" spans="1:87" s="101" customFormat="1" x14ac:dyDescent="0.35">
      <c r="A1420" s="1"/>
      <c r="C1420" s="1"/>
      <c r="G1420" s="2"/>
      <c r="H1420" s="2"/>
      <c r="I1420" s="2"/>
      <c r="J1420" s="2"/>
      <c r="K1420" s="81"/>
      <c r="L1420" s="4"/>
      <c r="M1420" s="4"/>
      <c r="N1420" s="4"/>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3"/>
      <c r="AP1420" s="2"/>
      <c r="AQ1420" s="2"/>
      <c r="AR1420" s="2"/>
      <c r="AS1420" s="2"/>
      <c r="AT1420" s="2"/>
      <c r="AU1420" s="2"/>
      <c r="AV1420" s="2"/>
      <c r="AW1420" s="2"/>
      <c r="AX1420" s="2"/>
      <c r="AY1420" s="2"/>
      <c r="AZ1420" s="5"/>
      <c r="BA1420" s="2"/>
      <c r="BD1420" s="2"/>
      <c r="BE1420" s="2"/>
      <c r="BF1420" s="2"/>
      <c r="BG1420" s="2"/>
      <c r="BH1420" s="2"/>
      <c r="BI1420" s="2"/>
      <c r="BJ1420" s="2"/>
      <c r="BK1420" s="2"/>
      <c r="BM1420" s="2"/>
      <c r="BN1420" s="2"/>
      <c r="BO1420" s="2"/>
      <c r="BP1420" s="2"/>
      <c r="BQ1420" s="2"/>
      <c r="BR1420" s="6"/>
      <c r="BS1420" s="6"/>
      <c r="BT1420" s="2"/>
      <c r="BU1420" s="2"/>
      <c r="BV1420" s="2"/>
      <c r="BW1420" s="2"/>
      <c r="BX1420" s="2"/>
      <c r="BY1420" s="2"/>
      <c r="BZ1420" s="2"/>
      <c r="CA1420" s="2"/>
      <c r="CB1420" s="2"/>
      <c r="CC1420" s="2"/>
      <c r="CD1420" s="3"/>
      <c r="CE1420" s="2"/>
      <c r="CF1420" s="4"/>
      <c r="CG1420" s="4"/>
      <c r="CI1420" s="2"/>
    </row>
    <row r="1421" spans="1:87" s="101" customFormat="1" x14ac:dyDescent="0.35">
      <c r="A1421" s="1"/>
      <c r="C1421" s="1"/>
      <c r="G1421" s="2"/>
      <c r="H1421" s="2"/>
      <c r="I1421" s="2"/>
      <c r="J1421" s="2"/>
      <c r="K1421" s="81"/>
      <c r="L1421" s="4"/>
      <c r="M1421" s="4"/>
      <c r="N1421" s="4"/>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3"/>
      <c r="AP1421" s="2"/>
      <c r="AQ1421" s="2"/>
      <c r="AR1421" s="2"/>
      <c r="AS1421" s="2"/>
      <c r="AT1421" s="2"/>
      <c r="AU1421" s="2"/>
      <c r="AV1421" s="2"/>
      <c r="AW1421" s="2"/>
      <c r="AX1421" s="2"/>
      <c r="AY1421" s="2"/>
      <c r="AZ1421" s="5"/>
      <c r="BA1421" s="2"/>
      <c r="BD1421" s="2"/>
      <c r="BE1421" s="2"/>
      <c r="BF1421" s="2"/>
      <c r="BG1421" s="2"/>
      <c r="BH1421" s="2"/>
      <c r="BI1421" s="2"/>
      <c r="BJ1421" s="2"/>
      <c r="BK1421" s="2"/>
      <c r="BM1421" s="2"/>
      <c r="BN1421" s="2"/>
      <c r="BO1421" s="2"/>
      <c r="BP1421" s="2"/>
      <c r="BQ1421" s="2"/>
      <c r="BR1421" s="6"/>
      <c r="BS1421" s="6"/>
      <c r="BT1421" s="2"/>
      <c r="BU1421" s="2"/>
      <c r="BV1421" s="2"/>
      <c r="BW1421" s="2"/>
      <c r="BX1421" s="2"/>
      <c r="BY1421" s="2"/>
      <c r="BZ1421" s="2"/>
      <c r="CA1421" s="2"/>
      <c r="CB1421" s="2"/>
      <c r="CC1421" s="2"/>
      <c r="CD1421" s="3"/>
      <c r="CE1421" s="2"/>
      <c r="CF1421" s="4"/>
      <c r="CG1421" s="4"/>
      <c r="CI1421" s="2"/>
    </row>
    <row r="1422" spans="1:87" s="101" customFormat="1" x14ac:dyDescent="0.35">
      <c r="A1422" s="1"/>
      <c r="C1422" s="1"/>
      <c r="G1422" s="2"/>
      <c r="H1422" s="2"/>
      <c r="I1422" s="2"/>
      <c r="J1422" s="2"/>
      <c r="K1422" s="81"/>
      <c r="L1422" s="4"/>
      <c r="M1422" s="4"/>
      <c r="N1422" s="4"/>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3"/>
      <c r="AP1422" s="2"/>
      <c r="AQ1422" s="2"/>
      <c r="AR1422" s="2"/>
      <c r="AS1422" s="2"/>
      <c r="AT1422" s="2"/>
      <c r="AU1422" s="2"/>
      <c r="AV1422" s="2"/>
      <c r="AW1422" s="2"/>
      <c r="AX1422" s="2"/>
      <c r="AY1422" s="2"/>
      <c r="AZ1422" s="5"/>
      <c r="BA1422" s="2"/>
      <c r="BD1422" s="2"/>
      <c r="BE1422" s="2"/>
      <c r="BF1422" s="2"/>
      <c r="BG1422" s="2"/>
      <c r="BH1422" s="2"/>
      <c r="BI1422" s="2"/>
      <c r="BJ1422" s="2"/>
      <c r="BK1422" s="2"/>
      <c r="BM1422" s="2"/>
      <c r="BN1422" s="2"/>
      <c r="BO1422" s="2"/>
      <c r="BP1422" s="2"/>
      <c r="BQ1422" s="2"/>
      <c r="BR1422" s="6"/>
      <c r="BS1422" s="6"/>
      <c r="BT1422" s="2"/>
      <c r="BU1422" s="2"/>
      <c r="BV1422" s="2"/>
      <c r="BW1422" s="2"/>
      <c r="BX1422" s="2"/>
      <c r="BY1422" s="2"/>
      <c r="BZ1422" s="2"/>
      <c r="CA1422" s="2"/>
      <c r="CB1422" s="2"/>
      <c r="CC1422" s="2"/>
      <c r="CD1422" s="3"/>
      <c r="CE1422" s="2"/>
      <c r="CF1422" s="4"/>
      <c r="CG1422" s="4"/>
      <c r="CI1422" s="2"/>
    </row>
    <row r="1423" spans="1:87" s="101" customFormat="1" x14ac:dyDescent="0.35">
      <c r="A1423" s="1"/>
      <c r="C1423" s="1"/>
      <c r="G1423" s="2"/>
      <c r="H1423" s="2"/>
      <c r="I1423" s="2"/>
      <c r="J1423" s="2"/>
      <c r="K1423" s="81"/>
      <c r="L1423" s="4"/>
      <c r="M1423" s="4"/>
      <c r="N1423" s="4"/>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3"/>
      <c r="AP1423" s="2"/>
      <c r="AQ1423" s="2"/>
      <c r="AR1423" s="2"/>
      <c r="AS1423" s="2"/>
      <c r="AT1423" s="2"/>
      <c r="AU1423" s="2"/>
      <c r="AV1423" s="2"/>
      <c r="AW1423" s="2"/>
      <c r="AX1423" s="2"/>
      <c r="AY1423" s="2"/>
      <c r="AZ1423" s="5"/>
      <c r="BA1423" s="2"/>
      <c r="BD1423" s="2"/>
      <c r="BE1423" s="2"/>
      <c r="BF1423" s="2"/>
      <c r="BG1423" s="2"/>
      <c r="BH1423" s="2"/>
      <c r="BI1423" s="2"/>
      <c r="BJ1423" s="2"/>
      <c r="BK1423" s="2"/>
      <c r="BM1423" s="2"/>
      <c r="BN1423" s="2"/>
      <c r="BO1423" s="2"/>
      <c r="BP1423" s="2"/>
      <c r="BQ1423" s="2"/>
      <c r="BR1423" s="6"/>
      <c r="BS1423" s="6"/>
      <c r="BT1423" s="2"/>
      <c r="BU1423" s="2"/>
      <c r="BV1423" s="2"/>
      <c r="BW1423" s="2"/>
      <c r="BX1423" s="2"/>
      <c r="BY1423" s="2"/>
      <c r="BZ1423" s="2"/>
      <c r="CA1423" s="2"/>
      <c r="CB1423" s="2"/>
      <c r="CC1423" s="2"/>
      <c r="CD1423" s="3"/>
      <c r="CE1423" s="2"/>
      <c r="CF1423" s="4"/>
      <c r="CG1423" s="4"/>
      <c r="CI1423" s="2"/>
    </row>
    <row r="1424" spans="1:87" s="101" customFormat="1" x14ac:dyDescent="0.35">
      <c r="A1424" s="1"/>
      <c r="C1424" s="1"/>
      <c r="G1424" s="2"/>
      <c r="H1424" s="2"/>
      <c r="I1424" s="2"/>
      <c r="J1424" s="2"/>
      <c r="K1424" s="81"/>
      <c r="L1424" s="4"/>
      <c r="M1424" s="4"/>
      <c r="N1424" s="4"/>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3"/>
      <c r="AP1424" s="2"/>
      <c r="AQ1424" s="2"/>
      <c r="AR1424" s="2"/>
      <c r="AS1424" s="2"/>
      <c r="AT1424" s="2"/>
      <c r="AU1424" s="2"/>
      <c r="AV1424" s="2"/>
      <c r="AW1424" s="2"/>
      <c r="AX1424" s="2"/>
      <c r="AY1424" s="2"/>
      <c r="AZ1424" s="5"/>
      <c r="BA1424" s="2"/>
      <c r="BD1424" s="2"/>
      <c r="BE1424" s="2"/>
      <c r="BF1424" s="2"/>
      <c r="BG1424" s="2"/>
      <c r="BH1424" s="2"/>
      <c r="BI1424" s="2"/>
      <c r="BJ1424" s="2"/>
      <c r="BK1424" s="2"/>
      <c r="BM1424" s="2"/>
      <c r="BN1424" s="2"/>
      <c r="BO1424" s="2"/>
      <c r="BP1424" s="2"/>
      <c r="BQ1424" s="2"/>
      <c r="BR1424" s="6"/>
      <c r="BS1424" s="6"/>
      <c r="BT1424" s="2"/>
      <c r="BU1424" s="2"/>
      <c r="BV1424" s="2"/>
      <c r="BW1424" s="2"/>
      <c r="BX1424" s="2"/>
      <c r="BY1424" s="2"/>
      <c r="BZ1424" s="2"/>
      <c r="CA1424" s="2"/>
      <c r="CB1424" s="2"/>
      <c r="CC1424" s="2"/>
      <c r="CD1424" s="3"/>
      <c r="CE1424" s="2"/>
      <c r="CF1424" s="4"/>
      <c r="CG1424" s="4"/>
      <c r="CI1424" s="2"/>
    </row>
    <row r="1425" spans="1:87" s="101" customFormat="1" x14ac:dyDescent="0.35">
      <c r="A1425" s="1"/>
      <c r="C1425" s="1"/>
      <c r="G1425" s="2"/>
      <c r="H1425" s="2"/>
      <c r="I1425" s="2"/>
      <c r="J1425" s="2"/>
      <c r="K1425" s="81"/>
      <c r="L1425" s="4"/>
      <c r="M1425" s="4"/>
      <c r="N1425" s="4"/>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3"/>
      <c r="AP1425" s="2"/>
      <c r="AQ1425" s="2"/>
      <c r="AR1425" s="2"/>
      <c r="AS1425" s="2"/>
      <c r="AT1425" s="2"/>
      <c r="AU1425" s="2"/>
      <c r="AV1425" s="2"/>
      <c r="AW1425" s="2"/>
      <c r="AX1425" s="2"/>
      <c r="AY1425" s="2"/>
      <c r="AZ1425" s="5"/>
      <c r="BA1425" s="2"/>
      <c r="BD1425" s="2"/>
      <c r="BE1425" s="2"/>
      <c r="BF1425" s="2"/>
      <c r="BG1425" s="2"/>
      <c r="BH1425" s="2"/>
      <c r="BI1425" s="2"/>
      <c r="BJ1425" s="2"/>
      <c r="BK1425" s="2"/>
      <c r="BM1425" s="2"/>
      <c r="BN1425" s="2"/>
      <c r="BO1425" s="2"/>
      <c r="BP1425" s="2"/>
      <c r="BQ1425" s="2"/>
      <c r="BR1425" s="6"/>
      <c r="BS1425" s="6"/>
      <c r="BT1425" s="2"/>
      <c r="BU1425" s="2"/>
      <c r="BV1425" s="2"/>
      <c r="BW1425" s="2"/>
      <c r="BX1425" s="2"/>
      <c r="BY1425" s="2"/>
      <c r="BZ1425" s="2"/>
      <c r="CA1425" s="2"/>
      <c r="CB1425" s="2"/>
      <c r="CC1425" s="2"/>
      <c r="CD1425" s="3"/>
      <c r="CE1425" s="2"/>
      <c r="CF1425" s="4"/>
      <c r="CG1425" s="4"/>
      <c r="CI1425" s="2"/>
    </row>
    <row r="1426" spans="1:87" s="101" customFormat="1" x14ac:dyDescent="0.35">
      <c r="A1426" s="1"/>
      <c r="C1426" s="1"/>
      <c r="G1426" s="2"/>
      <c r="H1426" s="2"/>
      <c r="I1426" s="2"/>
      <c r="J1426" s="2"/>
      <c r="K1426" s="81"/>
      <c r="L1426" s="4"/>
      <c r="M1426" s="4"/>
      <c r="N1426" s="4"/>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3"/>
      <c r="AP1426" s="2"/>
      <c r="AQ1426" s="2"/>
      <c r="AR1426" s="2"/>
      <c r="AS1426" s="2"/>
      <c r="AT1426" s="2"/>
      <c r="AU1426" s="2"/>
      <c r="AV1426" s="2"/>
      <c r="AW1426" s="2"/>
      <c r="AX1426" s="2"/>
      <c r="AY1426" s="2"/>
      <c r="AZ1426" s="5"/>
      <c r="BA1426" s="2"/>
      <c r="BD1426" s="2"/>
      <c r="BE1426" s="2"/>
      <c r="BF1426" s="2"/>
      <c r="BG1426" s="2"/>
      <c r="BH1426" s="2"/>
      <c r="BI1426" s="2"/>
      <c r="BJ1426" s="2"/>
      <c r="BK1426" s="2"/>
      <c r="BM1426" s="2"/>
      <c r="BN1426" s="2"/>
      <c r="BO1426" s="2"/>
      <c r="BP1426" s="2"/>
      <c r="BQ1426" s="2"/>
      <c r="BR1426" s="6"/>
      <c r="BS1426" s="6"/>
      <c r="BT1426" s="2"/>
      <c r="BU1426" s="2"/>
      <c r="BV1426" s="2"/>
      <c r="BW1426" s="2"/>
      <c r="BX1426" s="2"/>
      <c r="BY1426" s="2"/>
      <c r="BZ1426" s="2"/>
      <c r="CA1426" s="2"/>
      <c r="CB1426" s="2"/>
      <c r="CC1426" s="2"/>
      <c r="CD1426" s="3"/>
      <c r="CE1426" s="2"/>
      <c r="CF1426" s="4"/>
      <c r="CG1426" s="4"/>
      <c r="CI1426" s="2"/>
    </row>
    <row r="1427" spans="1:87" s="101" customFormat="1" x14ac:dyDescent="0.35">
      <c r="A1427" s="1"/>
      <c r="C1427" s="1"/>
      <c r="G1427" s="2"/>
      <c r="H1427" s="2"/>
      <c r="I1427" s="2"/>
      <c r="J1427" s="2"/>
      <c r="K1427" s="81"/>
      <c r="L1427" s="4"/>
      <c r="M1427" s="4"/>
      <c r="N1427" s="4"/>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3"/>
      <c r="AP1427" s="2"/>
      <c r="AQ1427" s="2"/>
      <c r="AR1427" s="2"/>
      <c r="AS1427" s="2"/>
      <c r="AT1427" s="2"/>
      <c r="AU1427" s="2"/>
      <c r="AV1427" s="2"/>
      <c r="AW1427" s="2"/>
      <c r="AX1427" s="2"/>
      <c r="AY1427" s="2"/>
      <c r="AZ1427" s="5"/>
      <c r="BA1427" s="2"/>
      <c r="BD1427" s="2"/>
      <c r="BE1427" s="2"/>
      <c r="BF1427" s="2"/>
      <c r="BG1427" s="2"/>
      <c r="BH1427" s="2"/>
      <c r="BI1427" s="2"/>
      <c r="BJ1427" s="2"/>
      <c r="BK1427" s="2"/>
      <c r="BM1427" s="2"/>
      <c r="BN1427" s="2"/>
      <c r="BO1427" s="2"/>
      <c r="BP1427" s="2"/>
      <c r="BQ1427" s="2"/>
      <c r="BR1427" s="6"/>
      <c r="BS1427" s="6"/>
      <c r="BT1427" s="2"/>
      <c r="BU1427" s="2"/>
      <c r="BV1427" s="2"/>
      <c r="BW1427" s="2"/>
      <c r="BX1427" s="2"/>
      <c r="BY1427" s="2"/>
      <c r="BZ1427" s="2"/>
      <c r="CA1427" s="2"/>
      <c r="CB1427" s="2"/>
      <c r="CC1427" s="2"/>
      <c r="CD1427" s="3"/>
      <c r="CE1427" s="2"/>
      <c r="CF1427" s="4"/>
      <c r="CG1427" s="4"/>
      <c r="CI1427" s="2"/>
    </row>
    <row r="1428" spans="1:87" s="101" customFormat="1" x14ac:dyDescent="0.35">
      <c r="A1428" s="1"/>
      <c r="C1428" s="1"/>
      <c r="G1428" s="2"/>
      <c r="H1428" s="2"/>
      <c r="I1428" s="2"/>
      <c r="J1428" s="2"/>
      <c r="K1428" s="81"/>
      <c r="L1428" s="4"/>
      <c r="M1428" s="4"/>
      <c r="N1428" s="4"/>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3"/>
      <c r="AP1428" s="2"/>
      <c r="AQ1428" s="2"/>
      <c r="AR1428" s="2"/>
      <c r="AS1428" s="2"/>
      <c r="AT1428" s="2"/>
      <c r="AU1428" s="2"/>
      <c r="AV1428" s="2"/>
      <c r="AW1428" s="2"/>
      <c r="AX1428" s="2"/>
      <c r="AY1428" s="2"/>
      <c r="AZ1428" s="5"/>
      <c r="BA1428" s="2"/>
      <c r="BD1428" s="2"/>
      <c r="BE1428" s="2"/>
      <c r="BF1428" s="2"/>
      <c r="BG1428" s="2"/>
      <c r="BH1428" s="2"/>
      <c r="BI1428" s="2"/>
      <c r="BJ1428" s="2"/>
      <c r="BK1428" s="2"/>
      <c r="BM1428" s="2"/>
      <c r="BN1428" s="2"/>
      <c r="BO1428" s="2"/>
      <c r="BP1428" s="2"/>
      <c r="BQ1428" s="2"/>
      <c r="BR1428" s="6"/>
      <c r="BS1428" s="6"/>
      <c r="BT1428" s="2"/>
      <c r="BU1428" s="2"/>
      <c r="BV1428" s="2"/>
      <c r="BW1428" s="2"/>
      <c r="BX1428" s="2"/>
      <c r="BY1428" s="2"/>
      <c r="BZ1428" s="2"/>
      <c r="CA1428" s="2"/>
      <c r="CB1428" s="2"/>
      <c r="CC1428" s="2"/>
      <c r="CD1428" s="3"/>
      <c r="CE1428" s="2"/>
      <c r="CF1428" s="4"/>
      <c r="CG1428" s="4"/>
      <c r="CI1428" s="2"/>
    </row>
    <row r="1429" spans="1:87" s="101" customFormat="1" x14ac:dyDescent="0.35">
      <c r="A1429" s="1"/>
      <c r="C1429" s="1"/>
      <c r="G1429" s="2"/>
      <c r="H1429" s="2"/>
      <c r="I1429" s="2"/>
      <c r="J1429" s="2"/>
      <c r="K1429" s="81"/>
      <c r="L1429" s="4"/>
      <c r="M1429" s="4"/>
      <c r="N1429" s="4"/>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3"/>
      <c r="AP1429" s="2"/>
      <c r="AQ1429" s="2"/>
      <c r="AR1429" s="2"/>
      <c r="AS1429" s="2"/>
      <c r="AT1429" s="2"/>
      <c r="AU1429" s="2"/>
      <c r="AV1429" s="2"/>
      <c r="AW1429" s="2"/>
      <c r="AX1429" s="2"/>
      <c r="AY1429" s="2"/>
      <c r="AZ1429" s="5"/>
      <c r="BA1429" s="2"/>
      <c r="BD1429" s="2"/>
      <c r="BE1429" s="2"/>
      <c r="BF1429" s="2"/>
      <c r="BG1429" s="2"/>
      <c r="BH1429" s="2"/>
      <c r="BI1429" s="2"/>
      <c r="BJ1429" s="2"/>
      <c r="BK1429" s="2"/>
      <c r="BM1429" s="2"/>
      <c r="BN1429" s="2"/>
      <c r="BO1429" s="2"/>
      <c r="BP1429" s="2"/>
      <c r="BQ1429" s="2"/>
      <c r="BR1429" s="6"/>
      <c r="BS1429" s="6"/>
      <c r="BT1429" s="2"/>
      <c r="BU1429" s="2"/>
      <c r="BV1429" s="2"/>
      <c r="BW1429" s="2"/>
      <c r="BX1429" s="2"/>
      <c r="BY1429" s="2"/>
      <c r="BZ1429" s="2"/>
      <c r="CA1429" s="2"/>
      <c r="CB1429" s="2"/>
      <c r="CC1429" s="2"/>
      <c r="CD1429" s="3"/>
      <c r="CE1429" s="2"/>
      <c r="CF1429" s="4"/>
      <c r="CG1429" s="4"/>
      <c r="CI1429" s="2"/>
    </row>
    <row r="1430" spans="1:87" s="101" customFormat="1" x14ac:dyDescent="0.35">
      <c r="A1430" s="1"/>
      <c r="C1430" s="1"/>
      <c r="G1430" s="2"/>
      <c r="H1430" s="2"/>
      <c r="I1430" s="2"/>
      <c r="J1430" s="2"/>
      <c r="K1430" s="81"/>
      <c r="L1430" s="4"/>
      <c r="M1430" s="4"/>
      <c r="N1430" s="4"/>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3"/>
      <c r="AP1430" s="2"/>
      <c r="AQ1430" s="2"/>
      <c r="AR1430" s="2"/>
      <c r="AS1430" s="2"/>
      <c r="AT1430" s="2"/>
      <c r="AU1430" s="2"/>
      <c r="AV1430" s="2"/>
      <c r="AW1430" s="2"/>
      <c r="AX1430" s="2"/>
      <c r="AY1430" s="2"/>
      <c r="AZ1430" s="5"/>
      <c r="BA1430" s="2"/>
      <c r="BD1430" s="2"/>
      <c r="BE1430" s="2"/>
      <c r="BF1430" s="2"/>
      <c r="BG1430" s="2"/>
      <c r="BH1430" s="2"/>
      <c r="BI1430" s="2"/>
      <c r="BJ1430" s="2"/>
      <c r="BK1430" s="2"/>
      <c r="BM1430" s="2"/>
      <c r="BN1430" s="2"/>
      <c r="BO1430" s="2"/>
      <c r="BP1430" s="2"/>
      <c r="BQ1430" s="2"/>
      <c r="BR1430" s="6"/>
      <c r="BS1430" s="6"/>
      <c r="BT1430" s="2"/>
      <c r="BU1430" s="2"/>
      <c r="BV1430" s="2"/>
      <c r="BW1430" s="2"/>
      <c r="BX1430" s="2"/>
      <c r="BY1430" s="2"/>
      <c r="BZ1430" s="2"/>
      <c r="CA1430" s="2"/>
      <c r="CB1430" s="2"/>
      <c r="CC1430" s="2"/>
      <c r="CD1430" s="3"/>
      <c r="CE1430" s="2"/>
      <c r="CF1430" s="4"/>
      <c r="CG1430" s="4"/>
      <c r="CI1430" s="2"/>
    </row>
    <row r="1431" spans="1:87" s="101" customFormat="1" x14ac:dyDescent="0.35">
      <c r="A1431" s="1"/>
      <c r="C1431" s="1"/>
      <c r="G1431" s="2"/>
      <c r="H1431" s="2"/>
      <c r="I1431" s="2"/>
      <c r="J1431" s="2"/>
      <c r="K1431" s="81"/>
      <c r="L1431" s="4"/>
      <c r="M1431" s="4"/>
      <c r="N1431" s="4"/>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3"/>
      <c r="AP1431" s="2"/>
      <c r="AQ1431" s="2"/>
      <c r="AR1431" s="2"/>
      <c r="AS1431" s="2"/>
      <c r="AT1431" s="2"/>
      <c r="AU1431" s="2"/>
      <c r="AV1431" s="2"/>
      <c r="AW1431" s="2"/>
      <c r="AX1431" s="2"/>
      <c r="AY1431" s="2"/>
      <c r="AZ1431" s="5"/>
      <c r="BA1431" s="2"/>
      <c r="BD1431" s="2"/>
      <c r="BE1431" s="2"/>
      <c r="BF1431" s="2"/>
      <c r="BG1431" s="2"/>
      <c r="BH1431" s="2"/>
      <c r="BI1431" s="2"/>
      <c r="BJ1431" s="2"/>
      <c r="BK1431" s="2"/>
      <c r="BM1431" s="2"/>
      <c r="BN1431" s="2"/>
      <c r="BO1431" s="2"/>
      <c r="BP1431" s="2"/>
      <c r="BQ1431" s="2"/>
      <c r="BR1431" s="6"/>
      <c r="BS1431" s="6"/>
      <c r="BT1431" s="2"/>
      <c r="BU1431" s="2"/>
      <c r="BV1431" s="2"/>
      <c r="BW1431" s="2"/>
      <c r="BX1431" s="2"/>
      <c r="BY1431" s="2"/>
      <c r="BZ1431" s="2"/>
      <c r="CA1431" s="2"/>
      <c r="CB1431" s="2"/>
      <c r="CC1431" s="2"/>
      <c r="CD1431" s="3"/>
      <c r="CE1431" s="2"/>
      <c r="CF1431" s="4"/>
      <c r="CG1431" s="4"/>
      <c r="CI1431" s="2"/>
    </row>
    <row r="1432" spans="1:87" s="101" customFormat="1" x14ac:dyDescent="0.35">
      <c r="A1432" s="1"/>
      <c r="C1432" s="1"/>
      <c r="G1432" s="2"/>
      <c r="H1432" s="2"/>
      <c r="I1432" s="2"/>
      <c r="J1432" s="2"/>
      <c r="K1432" s="81"/>
      <c r="L1432" s="4"/>
      <c r="M1432" s="4"/>
      <c r="N1432" s="4"/>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3"/>
      <c r="AP1432" s="2"/>
      <c r="AQ1432" s="2"/>
      <c r="AR1432" s="2"/>
      <c r="AS1432" s="2"/>
      <c r="AT1432" s="2"/>
      <c r="AU1432" s="2"/>
      <c r="AV1432" s="2"/>
      <c r="AW1432" s="2"/>
      <c r="AX1432" s="2"/>
      <c r="AY1432" s="2"/>
      <c r="AZ1432" s="5"/>
      <c r="BA1432" s="2"/>
      <c r="BD1432" s="2"/>
      <c r="BE1432" s="2"/>
      <c r="BF1432" s="2"/>
      <c r="BG1432" s="2"/>
      <c r="BH1432" s="2"/>
      <c r="BI1432" s="2"/>
      <c r="BJ1432" s="2"/>
      <c r="BK1432" s="2"/>
      <c r="BM1432" s="2"/>
      <c r="BN1432" s="2"/>
      <c r="BO1432" s="2"/>
      <c r="BP1432" s="2"/>
      <c r="BQ1432" s="2"/>
      <c r="BR1432" s="6"/>
      <c r="BS1432" s="6"/>
      <c r="BT1432" s="2"/>
      <c r="BU1432" s="2"/>
      <c r="BV1432" s="2"/>
      <c r="BW1432" s="2"/>
      <c r="BX1432" s="2"/>
      <c r="BY1432" s="2"/>
      <c r="BZ1432" s="2"/>
      <c r="CA1432" s="2"/>
      <c r="CB1432" s="2"/>
      <c r="CC1432" s="2"/>
      <c r="CD1432" s="3"/>
      <c r="CE1432" s="2"/>
      <c r="CF1432" s="4"/>
      <c r="CG1432" s="4"/>
      <c r="CI1432" s="2"/>
    </row>
    <row r="1433" spans="1:87" s="101" customFormat="1" x14ac:dyDescent="0.35">
      <c r="A1433" s="1"/>
      <c r="C1433" s="1"/>
      <c r="G1433" s="2"/>
      <c r="H1433" s="2"/>
      <c r="I1433" s="2"/>
      <c r="J1433" s="2"/>
      <c r="K1433" s="81"/>
      <c r="L1433" s="4"/>
      <c r="M1433" s="4"/>
      <c r="N1433" s="4"/>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3"/>
      <c r="AP1433" s="2"/>
      <c r="AQ1433" s="2"/>
      <c r="AR1433" s="2"/>
      <c r="AS1433" s="2"/>
      <c r="AT1433" s="2"/>
      <c r="AU1433" s="2"/>
      <c r="AV1433" s="2"/>
      <c r="AW1433" s="2"/>
      <c r="AX1433" s="2"/>
      <c r="AY1433" s="2"/>
      <c r="AZ1433" s="5"/>
      <c r="BA1433" s="2"/>
      <c r="BD1433" s="2"/>
      <c r="BE1433" s="2"/>
      <c r="BF1433" s="2"/>
      <c r="BG1433" s="2"/>
      <c r="BH1433" s="2"/>
      <c r="BI1433" s="2"/>
      <c r="BJ1433" s="2"/>
      <c r="BK1433" s="2"/>
      <c r="BM1433" s="2"/>
      <c r="BN1433" s="2"/>
      <c r="BO1433" s="2"/>
      <c r="BP1433" s="2"/>
      <c r="BQ1433" s="2"/>
      <c r="BR1433" s="6"/>
      <c r="BS1433" s="6"/>
      <c r="BT1433" s="2"/>
      <c r="BU1433" s="2"/>
      <c r="BV1433" s="2"/>
      <c r="BW1433" s="2"/>
      <c r="BX1433" s="2"/>
      <c r="BY1433" s="2"/>
      <c r="BZ1433" s="2"/>
      <c r="CA1433" s="2"/>
      <c r="CB1433" s="2"/>
      <c r="CC1433" s="2"/>
      <c r="CD1433" s="3"/>
      <c r="CE1433" s="2"/>
      <c r="CF1433" s="4"/>
      <c r="CG1433" s="4"/>
      <c r="CI1433" s="2"/>
    </row>
    <row r="1434" spans="1:87" s="101" customFormat="1" x14ac:dyDescent="0.35">
      <c r="A1434" s="1"/>
      <c r="C1434" s="1"/>
      <c r="G1434" s="2"/>
      <c r="H1434" s="2"/>
      <c r="I1434" s="2"/>
      <c r="J1434" s="2"/>
      <c r="K1434" s="81"/>
      <c r="L1434" s="4"/>
      <c r="M1434" s="4"/>
      <c r="N1434" s="4"/>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3"/>
      <c r="AP1434" s="2"/>
      <c r="AQ1434" s="2"/>
      <c r="AR1434" s="2"/>
      <c r="AS1434" s="2"/>
      <c r="AT1434" s="2"/>
      <c r="AU1434" s="2"/>
      <c r="AV1434" s="2"/>
      <c r="AW1434" s="2"/>
      <c r="AX1434" s="2"/>
      <c r="AY1434" s="2"/>
      <c r="AZ1434" s="5"/>
      <c r="BA1434" s="2"/>
      <c r="BD1434" s="2"/>
      <c r="BE1434" s="2"/>
      <c r="BF1434" s="2"/>
      <c r="BG1434" s="2"/>
      <c r="BH1434" s="2"/>
      <c r="BI1434" s="2"/>
      <c r="BJ1434" s="2"/>
      <c r="BK1434" s="2"/>
      <c r="BM1434" s="2"/>
      <c r="BN1434" s="2"/>
      <c r="BO1434" s="2"/>
      <c r="BP1434" s="2"/>
      <c r="BQ1434" s="2"/>
      <c r="BR1434" s="6"/>
      <c r="BS1434" s="6"/>
      <c r="BT1434" s="2"/>
      <c r="BU1434" s="2"/>
      <c r="BV1434" s="2"/>
      <c r="BW1434" s="2"/>
      <c r="BX1434" s="2"/>
      <c r="BY1434" s="2"/>
      <c r="BZ1434" s="2"/>
      <c r="CA1434" s="2"/>
      <c r="CB1434" s="2"/>
      <c r="CC1434" s="2"/>
      <c r="CD1434" s="3"/>
      <c r="CE1434" s="2"/>
      <c r="CF1434" s="4"/>
      <c r="CG1434" s="4"/>
      <c r="CI1434" s="2"/>
    </row>
    <row r="1435" spans="1:87" s="101" customFormat="1" x14ac:dyDescent="0.35">
      <c r="A1435" s="1"/>
      <c r="C1435" s="1"/>
      <c r="G1435" s="2"/>
      <c r="H1435" s="2"/>
      <c r="I1435" s="2"/>
      <c r="J1435" s="2"/>
      <c r="K1435" s="81"/>
      <c r="L1435" s="4"/>
      <c r="M1435" s="4"/>
      <c r="N1435" s="4"/>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3"/>
      <c r="AP1435" s="2"/>
      <c r="AQ1435" s="2"/>
      <c r="AR1435" s="2"/>
      <c r="AS1435" s="2"/>
      <c r="AT1435" s="2"/>
      <c r="AU1435" s="2"/>
      <c r="AV1435" s="2"/>
      <c r="AW1435" s="2"/>
      <c r="AX1435" s="2"/>
      <c r="AY1435" s="2"/>
      <c r="AZ1435" s="5"/>
      <c r="BA1435" s="2"/>
      <c r="BD1435" s="2"/>
      <c r="BE1435" s="2"/>
      <c r="BF1435" s="2"/>
      <c r="BG1435" s="2"/>
      <c r="BH1435" s="2"/>
      <c r="BI1435" s="2"/>
      <c r="BJ1435" s="2"/>
      <c r="BK1435" s="2"/>
      <c r="BM1435" s="2"/>
      <c r="BN1435" s="2"/>
      <c r="BO1435" s="2"/>
      <c r="BP1435" s="2"/>
      <c r="BQ1435" s="2"/>
      <c r="BR1435" s="6"/>
      <c r="BS1435" s="6"/>
      <c r="BT1435" s="2"/>
      <c r="BU1435" s="2"/>
      <c r="BV1435" s="2"/>
      <c r="BW1435" s="2"/>
      <c r="BX1435" s="2"/>
      <c r="BY1435" s="2"/>
      <c r="BZ1435" s="2"/>
      <c r="CA1435" s="2"/>
      <c r="CB1435" s="2"/>
      <c r="CC1435" s="2"/>
      <c r="CD1435" s="3"/>
      <c r="CE1435" s="2"/>
      <c r="CF1435" s="4"/>
      <c r="CG1435" s="4"/>
      <c r="CI1435" s="2"/>
    </row>
    <row r="1436" spans="1:87" s="101" customFormat="1" x14ac:dyDescent="0.35">
      <c r="A1436" s="1"/>
      <c r="C1436" s="1"/>
      <c r="G1436" s="2"/>
      <c r="H1436" s="2"/>
      <c r="I1436" s="2"/>
      <c r="J1436" s="2"/>
      <c r="K1436" s="81"/>
      <c r="L1436" s="4"/>
      <c r="M1436" s="4"/>
      <c r="N1436" s="4"/>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3"/>
      <c r="AP1436" s="2"/>
      <c r="AQ1436" s="2"/>
      <c r="AR1436" s="2"/>
      <c r="AS1436" s="2"/>
      <c r="AT1436" s="2"/>
      <c r="AU1436" s="2"/>
      <c r="AV1436" s="2"/>
      <c r="AW1436" s="2"/>
      <c r="AX1436" s="2"/>
      <c r="AY1436" s="2"/>
      <c r="AZ1436" s="5"/>
      <c r="BA1436" s="2"/>
      <c r="BD1436" s="2"/>
      <c r="BE1436" s="2"/>
      <c r="BF1436" s="2"/>
      <c r="BG1436" s="2"/>
      <c r="BH1436" s="2"/>
      <c r="BI1436" s="2"/>
      <c r="BJ1436" s="2"/>
      <c r="BK1436" s="2"/>
      <c r="BM1436" s="2"/>
      <c r="BN1436" s="2"/>
      <c r="BO1436" s="2"/>
      <c r="BP1436" s="2"/>
      <c r="BQ1436" s="2"/>
      <c r="BR1436" s="6"/>
      <c r="BS1436" s="6"/>
      <c r="BT1436" s="2"/>
      <c r="BU1436" s="2"/>
      <c r="BV1436" s="2"/>
      <c r="BW1436" s="2"/>
      <c r="BX1436" s="2"/>
      <c r="BY1436" s="2"/>
      <c r="BZ1436" s="2"/>
      <c r="CA1436" s="2"/>
      <c r="CB1436" s="2"/>
      <c r="CC1436" s="2"/>
      <c r="CD1436" s="3"/>
      <c r="CE1436" s="2"/>
      <c r="CF1436" s="4"/>
      <c r="CG1436" s="4"/>
      <c r="CI1436" s="2"/>
    </row>
    <row r="1437" spans="1:87" s="101" customFormat="1" x14ac:dyDescent="0.35">
      <c r="A1437" s="1"/>
      <c r="C1437" s="1"/>
      <c r="G1437" s="2"/>
      <c r="H1437" s="2"/>
      <c r="I1437" s="2"/>
      <c r="J1437" s="2"/>
      <c r="K1437" s="81"/>
      <c r="L1437" s="4"/>
      <c r="M1437" s="4"/>
      <c r="N1437" s="4"/>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3"/>
      <c r="AP1437" s="2"/>
      <c r="AQ1437" s="2"/>
      <c r="AR1437" s="2"/>
      <c r="AS1437" s="2"/>
      <c r="AT1437" s="2"/>
      <c r="AU1437" s="2"/>
      <c r="AV1437" s="2"/>
      <c r="AW1437" s="2"/>
      <c r="AX1437" s="2"/>
      <c r="AY1437" s="2"/>
      <c r="AZ1437" s="5"/>
      <c r="BA1437" s="2"/>
      <c r="BD1437" s="2"/>
      <c r="BE1437" s="2"/>
      <c r="BF1437" s="2"/>
      <c r="BG1437" s="2"/>
      <c r="BH1437" s="2"/>
      <c r="BI1437" s="2"/>
      <c r="BJ1437" s="2"/>
      <c r="BK1437" s="2"/>
      <c r="BM1437" s="2"/>
      <c r="BN1437" s="2"/>
      <c r="BO1437" s="2"/>
      <c r="BP1437" s="2"/>
      <c r="BQ1437" s="2"/>
      <c r="BR1437" s="6"/>
      <c r="BS1437" s="6"/>
      <c r="BT1437" s="2"/>
      <c r="BU1437" s="2"/>
      <c r="BV1437" s="2"/>
      <c r="BW1437" s="2"/>
      <c r="BX1437" s="2"/>
      <c r="BY1437" s="2"/>
      <c r="BZ1437" s="2"/>
      <c r="CA1437" s="2"/>
      <c r="CB1437" s="2"/>
      <c r="CC1437" s="2"/>
      <c r="CD1437" s="3"/>
      <c r="CE1437" s="2"/>
      <c r="CF1437" s="4"/>
      <c r="CG1437" s="4"/>
      <c r="CI1437" s="2"/>
    </row>
    <row r="1438" spans="1:87" s="101" customFormat="1" x14ac:dyDescent="0.35">
      <c r="A1438" s="1"/>
      <c r="C1438" s="1"/>
      <c r="G1438" s="2"/>
      <c r="H1438" s="2"/>
      <c r="I1438" s="2"/>
      <c r="J1438" s="2"/>
      <c r="K1438" s="81"/>
      <c r="L1438" s="4"/>
      <c r="M1438" s="4"/>
      <c r="N1438" s="4"/>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3"/>
      <c r="AP1438" s="2"/>
      <c r="AQ1438" s="2"/>
      <c r="AR1438" s="2"/>
      <c r="AS1438" s="2"/>
      <c r="AT1438" s="2"/>
      <c r="AU1438" s="2"/>
      <c r="AV1438" s="2"/>
      <c r="AW1438" s="2"/>
      <c r="AX1438" s="2"/>
      <c r="AY1438" s="2"/>
      <c r="AZ1438" s="5"/>
      <c r="BA1438" s="2"/>
      <c r="BD1438" s="2"/>
      <c r="BE1438" s="2"/>
      <c r="BF1438" s="2"/>
      <c r="BG1438" s="2"/>
      <c r="BH1438" s="2"/>
      <c r="BI1438" s="2"/>
      <c r="BJ1438" s="2"/>
      <c r="BK1438" s="2"/>
      <c r="BM1438" s="2"/>
      <c r="BN1438" s="2"/>
      <c r="BO1438" s="2"/>
      <c r="BP1438" s="2"/>
      <c r="BQ1438" s="2"/>
      <c r="BR1438" s="6"/>
      <c r="BS1438" s="6"/>
      <c r="BT1438" s="2"/>
      <c r="BU1438" s="2"/>
      <c r="BV1438" s="2"/>
      <c r="BW1438" s="2"/>
      <c r="BX1438" s="2"/>
      <c r="BY1438" s="2"/>
      <c r="BZ1438" s="2"/>
      <c r="CA1438" s="2"/>
      <c r="CB1438" s="2"/>
      <c r="CC1438" s="2"/>
      <c r="CD1438" s="3"/>
      <c r="CE1438" s="2"/>
      <c r="CF1438" s="4"/>
      <c r="CG1438" s="4"/>
      <c r="CI1438" s="2"/>
    </row>
    <row r="1439" spans="1:87" s="101" customFormat="1" x14ac:dyDescent="0.35">
      <c r="A1439" s="1"/>
      <c r="C1439" s="1"/>
      <c r="G1439" s="2"/>
      <c r="H1439" s="2"/>
      <c r="I1439" s="2"/>
      <c r="J1439" s="2"/>
      <c r="K1439" s="81"/>
      <c r="L1439" s="4"/>
      <c r="M1439" s="4"/>
      <c r="N1439" s="4"/>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3"/>
      <c r="AP1439" s="2"/>
      <c r="AQ1439" s="2"/>
      <c r="AR1439" s="2"/>
      <c r="AS1439" s="2"/>
      <c r="AT1439" s="2"/>
      <c r="AU1439" s="2"/>
      <c r="AV1439" s="2"/>
      <c r="AW1439" s="2"/>
      <c r="AX1439" s="2"/>
      <c r="AY1439" s="2"/>
      <c r="AZ1439" s="5"/>
      <c r="BA1439" s="2"/>
      <c r="BD1439" s="2"/>
      <c r="BE1439" s="2"/>
      <c r="BF1439" s="2"/>
      <c r="BG1439" s="2"/>
      <c r="BH1439" s="2"/>
      <c r="BI1439" s="2"/>
      <c r="BJ1439" s="2"/>
      <c r="BK1439" s="2"/>
      <c r="BM1439" s="2"/>
      <c r="BN1439" s="2"/>
      <c r="BO1439" s="2"/>
      <c r="BP1439" s="2"/>
      <c r="BQ1439" s="2"/>
      <c r="BR1439" s="6"/>
      <c r="BS1439" s="6"/>
      <c r="BT1439" s="2"/>
      <c r="BU1439" s="2"/>
      <c r="BV1439" s="2"/>
      <c r="BW1439" s="2"/>
      <c r="BX1439" s="2"/>
      <c r="BY1439" s="2"/>
      <c r="BZ1439" s="2"/>
      <c r="CA1439" s="2"/>
      <c r="CB1439" s="2"/>
      <c r="CC1439" s="2"/>
      <c r="CD1439" s="3"/>
      <c r="CE1439" s="2"/>
      <c r="CF1439" s="4"/>
      <c r="CG1439" s="4"/>
      <c r="CI1439" s="2"/>
    </row>
    <row r="1440" spans="1:87" s="101" customFormat="1" x14ac:dyDescent="0.35">
      <c r="A1440" s="1"/>
      <c r="C1440" s="1"/>
      <c r="G1440" s="2"/>
      <c r="H1440" s="2"/>
      <c r="I1440" s="2"/>
      <c r="J1440" s="2"/>
      <c r="K1440" s="81"/>
      <c r="L1440" s="4"/>
      <c r="M1440" s="4"/>
      <c r="N1440" s="4"/>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3"/>
      <c r="AP1440" s="2"/>
      <c r="AQ1440" s="2"/>
      <c r="AR1440" s="2"/>
      <c r="AS1440" s="2"/>
      <c r="AT1440" s="2"/>
      <c r="AU1440" s="2"/>
      <c r="AV1440" s="2"/>
      <c r="AW1440" s="2"/>
      <c r="AX1440" s="2"/>
      <c r="AY1440" s="2"/>
      <c r="AZ1440" s="5"/>
      <c r="BA1440" s="2"/>
      <c r="BD1440" s="2"/>
      <c r="BE1440" s="2"/>
      <c r="BF1440" s="2"/>
      <c r="BG1440" s="2"/>
      <c r="BH1440" s="2"/>
      <c r="BI1440" s="2"/>
      <c r="BJ1440" s="2"/>
      <c r="BK1440" s="2"/>
      <c r="BM1440" s="2"/>
      <c r="BN1440" s="2"/>
      <c r="BO1440" s="2"/>
      <c r="BP1440" s="2"/>
      <c r="BQ1440" s="2"/>
      <c r="BR1440" s="6"/>
      <c r="BS1440" s="6"/>
      <c r="BT1440" s="2"/>
      <c r="BU1440" s="2"/>
      <c r="BV1440" s="2"/>
      <c r="BW1440" s="2"/>
      <c r="BX1440" s="2"/>
      <c r="BY1440" s="2"/>
      <c r="BZ1440" s="2"/>
      <c r="CA1440" s="2"/>
      <c r="CB1440" s="2"/>
      <c r="CC1440" s="2"/>
      <c r="CD1440" s="3"/>
      <c r="CE1440" s="2"/>
      <c r="CF1440" s="4"/>
      <c r="CG1440" s="4"/>
      <c r="CI1440" s="2"/>
    </row>
    <row r="1441" spans="1:87" s="101" customFormat="1" x14ac:dyDescent="0.35">
      <c r="A1441" s="1"/>
      <c r="C1441" s="1"/>
      <c r="G1441" s="2"/>
      <c r="H1441" s="2"/>
      <c r="I1441" s="2"/>
      <c r="J1441" s="2"/>
      <c r="K1441" s="81"/>
      <c r="L1441" s="4"/>
      <c r="M1441" s="4"/>
      <c r="N1441" s="4"/>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3"/>
      <c r="AP1441" s="2"/>
      <c r="AQ1441" s="2"/>
      <c r="AR1441" s="2"/>
      <c r="AS1441" s="2"/>
      <c r="AT1441" s="2"/>
      <c r="AU1441" s="2"/>
      <c r="AV1441" s="2"/>
      <c r="AW1441" s="2"/>
      <c r="AX1441" s="2"/>
      <c r="AY1441" s="2"/>
      <c r="AZ1441" s="5"/>
      <c r="BA1441" s="2"/>
      <c r="BD1441" s="2"/>
      <c r="BE1441" s="2"/>
      <c r="BF1441" s="2"/>
      <c r="BG1441" s="2"/>
      <c r="BH1441" s="2"/>
      <c r="BI1441" s="2"/>
      <c r="BJ1441" s="2"/>
      <c r="BK1441" s="2"/>
      <c r="BM1441" s="2"/>
      <c r="BN1441" s="2"/>
      <c r="BO1441" s="2"/>
      <c r="BP1441" s="2"/>
      <c r="BQ1441" s="2"/>
      <c r="BR1441" s="6"/>
      <c r="BS1441" s="6"/>
      <c r="BT1441" s="2"/>
      <c r="BU1441" s="2"/>
      <c r="BV1441" s="2"/>
      <c r="BW1441" s="2"/>
      <c r="BX1441" s="2"/>
      <c r="BY1441" s="2"/>
      <c r="BZ1441" s="2"/>
      <c r="CA1441" s="2"/>
      <c r="CB1441" s="2"/>
      <c r="CC1441" s="2"/>
      <c r="CD1441" s="3"/>
      <c r="CE1441" s="2"/>
      <c r="CF1441" s="4"/>
      <c r="CG1441" s="4"/>
      <c r="CI1441" s="2"/>
    </row>
    <row r="1442" spans="1:87" s="101" customFormat="1" x14ac:dyDescent="0.35">
      <c r="A1442" s="1"/>
      <c r="C1442" s="1"/>
      <c r="G1442" s="2"/>
      <c r="H1442" s="2"/>
      <c r="I1442" s="2"/>
      <c r="J1442" s="2"/>
      <c r="K1442" s="81"/>
      <c r="L1442" s="4"/>
      <c r="M1442" s="4"/>
      <c r="N1442" s="4"/>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3"/>
      <c r="AP1442" s="2"/>
      <c r="AQ1442" s="2"/>
      <c r="AR1442" s="2"/>
      <c r="AS1442" s="2"/>
      <c r="AT1442" s="2"/>
      <c r="AU1442" s="2"/>
      <c r="AV1442" s="2"/>
      <c r="AW1442" s="2"/>
      <c r="AX1442" s="2"/>
      <c r="AY1442" s="2"/>
      <c r="AZ1442" s="5"/>
      <c r="BA1442" s="2"/>
      <c r="BD1442" s="2"/>
      <c r="BE1442" s="2"/>
      <c r="BF1442" s="2"/>
      <c r="BG1442" s="2"/>
      <c r="BH1442" s="2"/>
      <c r="BI1442" s="2"/>
      <c r="BJ1442" s="2"/>
      <c r="BK1442" s="2"/>
      <c r="BM1442" s="2"/>
      <c r="BN1442" s="2"/>
      <c r="BO1442" s="2"/>
      <c r="BP1442" s="2"/>
      <c r="BQ1442" s="2"/>
      <c r="BR1442" s="6"/>
      <c r="BS1442" s="6"/>
      <c r="BT1442" s="2"/>
      <c r="BU1442" s="2"/>
      <c r="BV1442" s="2"/>
      <c r="BW1442" s="2"/>
      <c r="BX1442" s="2"/>
      <c r="BY1442" s="2"/>
      <c r="BZ1442" s="2"/>
      <c r="CA1442" s="2"/>
      <c r="CB1442" s="2"/>
      <c r="CC1442" s="2"/>
      <c r="CD1442" s="3"/>
      <c r="CE1442" s="2"/>
      <c r="CF1442" s="4"/>
      <c r="CG1442" s="4"/>
      <c r="CI1442" s="2"/>
    </row>
    <row r="1443" spans="1:87" s="101" customFormat="1" x14ac:dyDescent="0.35">
      <c r="A1443" s="1"/>
      <c r="C1443" s="1"/>
      <c r="G1443" s="2"/>
      <c r="H1443" s="2"/>
      <c r="I1443" s="2"/>
      <c r="J1443" s="2"/>
      <c r="K1443" s="81"/>
      <c r="L1443" s="4"/>
      <c r="M1443" s="4"/>
      <c r="N1443" s="4"/>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3"/>
      <c r="AP1443" s="2"/>
      <c r="AQ1443" s="2"/>
      <c r="AR1443" s="2"/>
      <c r="AS1443" s="2"/>
      <c r="AT1443" s="2"/>
      <c r="AU1443" s="2"/>
      <c r="AV1443" s="2"/>
      <c r="AW1443" s="2"/>
      <c r="AX1443" s="2"/>
      <c r="AY1443" s="2"/>
      <c r="AZ1443" s="5"/>
      <c r="BA1443" s="2"/>
      <c r="BD1443" s="2"/>
      <c r="BE1443" s="2"/>
      <c r="BF1443" s="2"/>
      <c r="BG1443" s="2"/>
      <c r="BH1443" s="2"/>
      <c r="BI1443" s="2"/>
      <c r="BJ1443" s="2"/>
      <c r="BK1443" s="2"/>
      <c r="BM1443" s="2"/>
      <c r="BN1443" s="2"/>
      <c r="BO1443" s="2"/>
      <c r="BP1443" s="2"/>
      <c r="BQ1443" s="2"/>
      <c r="BR1443" s="6"/>
      <c r="BS1443" s="6"/>
      <c r="BT1443" s="2"/>
      <c r="BU1443" s="2"/>
      <c r="BV1443" s="2"/>
      <c r="BW1443" s="2"/>
      <c r="BX1443" s="2"/>
      <c r="BY1443" s="2"/>
      <c r="BZ1443" s="2"/>
      <c r="CA1443" s="2"/>
      <c r="CB1443" s="2"/>
      <c r="CC1443" s="2"/>
      <c r="CD1443" s="3"/>
      <c r="CE1443" s="2"/>
      <c r="CF1443" s="4"/>
      <c r="CG1443" s="4"/>
      <c r="CI1443" s="2"/>
    </row>
    <row r="1444" spans="1:87" s="101" customFormat="1" x14ac:dyDescent="0.35">
      <c r="A1444" s="1"/>
      <c r="C1444" s="1"/>
      <c r="G1444" s="2"/>
      <c r="H1444" s="2"/>
      <c r="I1444" s="2"/>
      <c r="J1444" s="2"/>
      <c r="K1444" s="81"/>
      <c r="L1444" s="4"/>
      <c r="M1444" s="4"/>
      <c r="N1444" s="4"/>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3"/>
      <c r="AP1444" s="2"/>
      <c r="AQ1444" s="2"/>
      <c r="AR1444" s="2"/>
      <c r="AS1444" s="2"/>
      <c r="AT1444" s="2"/>
      <c r="AU1444" s="2"/>
      <c r="AV1444" s="2"/>
      <c r="AW1444" s="2"/>
      <c r="AX1444" s="2"/>
      <c r="AY1444" s="2"/>
      <c r="AZ1444" s="5"/>
      <c r="BA1444" s="2"/>
      <c r="BD1444" s="2"/>
      <c r="BE1444" s="2"/>
      <c r="BF1444" s="2"/>
      <c r="BG1444" s="2"/>
      <c r="BH1444" s="2"/>
      <c r="BI1444" s="2"/>
      <c r="BJ1444" s="2"/>
      <c r="BK1444" s="2"/>
      <c r="BM1444" s="2"/>
      <c r="BN1444" s="2"/>
      <c r="BO1444" s="2"/>
      <c r="BP1444" s="2"/>
      <c r="BQ1444" s="2"/>
      <c r="BR1444" s="6"/>
      <c r="BS1444" s="6"/>
      <c r="BT1444" s="2"/>
      <c r="BU1444" s="2"/>
      <c r="BV1444" s="2"/>
      <c r="BW1444" s="2"/>
      <c r="BX1444" s="2"/>
      <c r="BY1444" s="2"/>
      <c r="BZ1444" s="2"/>
      <c r="CA1444" s="2"/>
      <c r="CB1444" s="2"/>
      <c r="CC1444" s="2"/>
      <c r="CD1444" s="3"/>
      <c r="CE1444" s="2"/>
      <c r="CF1444" s="4"/>
      <c r="CG1444" s="4"/>
      <c r="CI1444" s="2"/>
    </row>
    <row r="1445" spans="1:87" s="101" customFormat="1" x14ac:dyDescent="0.35">
      <c r="A1445" s="1"/>
      <c r="C1445" s="1"/>
      <c r="G1445" s="2"/>
      <c r="H1445" s="2"/>
      <c r="I1445" s="2"/>
      <c r="J1445" s="2"/>
      <c r="K1445" s="81"/>
      <c r="L1445" s="4"/>
      <c r="M1445" s="4"/>
      <c r="N1445" s="4"/>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3"/>
      <c r="AP1445" s="2"/>
      <c r="AQ1445" s="2"/>
      <c r="AR1445" s="2"/>
      <c r="AS1445" s="2"/>
      <c r="AT1445" s="2"/>
      <c r="AU1445" s="2"/>
      <c r="AV1445" s="2"/>
      <c r="AW1445" s="2"/>
      <c r="AX1445" s="2"/>
      <c r="AY1445" s="2"/>
      <c r="AZ1445" s="5"/>
      <c r="BA1445" s="2"/>
      <c r="BD1445" s="2"/>
      <c r="BE1445" s="2"/>
      <c r="BF1445" s="2"/>
      <c r="BG1445" s="2"/>
      <c r="BH1445" s="2"/>
      <c r="BI1445" s="2"/>
      <c r="BJ1445" s="2"/>
      <c r="BK1445" s="2"/>
      <c r="BM1445" s="2"/>
      <c r="BN1445" s="2"/>
      <c r="BO1445" s="2"/>
      <c r="BP1445" s="2"/>
      <c r="BQ1445" s="2"/>
      <c r="BR1445" s="6"/>
      <c r="BS1445" s="6"/>
      <c r="BT1445" s="2"/>
      <c r="BU1445" s="2"/>
      <c r="BV1445" s="2"/>
      <c r="BW1445" s="2"/>
      <c r="BX1445" s="2"/>
      <c r="BY1445" s="2"/>
      <c r="BZ1445" s="2"/>
      <c r="CA1445" s="2"/>
      <c r="CB1445" s="2"/>
      <c r="CC1445" s="2"/>
      <c r="CD1445" s="3"/>
      <c r="CE1445" s="2"/>
      <c r="CF1445" s="4"/>
      <c r="CG1445" s="4"/>
      <c r="CI1445" s="2"/>
    </row>
    <row r="1446" spans="1:87" s="101" customFormat="1" x14ac:dyDescent="0.35">
      <c r="A1446" s="1"/>
      <c r="C1446" s="1"/>
      <c r="G1446" s="2"/>
      <c r="H1446" s="2"/>
      <c r="I1446" s="2"/>
      <c r="J1446" s="2"/>
      <c r="K1446" s="81"/>
      <c r="L1446" s="4"/>
      <c r="M1446" s="4"/>
      <c r="N1446" s="4"/>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3"/>
      <c r="AP1446" s="2"/>
      <c r="AQ1446" s="2"/>
      <c r="AR1446" s="2"/>
      <c r="AS1446" s="2"/>
      <c r="AT1446" s="2"/>
      <c r="AU1446" s="2"/>
      <c r="AV1446" s="2"/>
      <c r="AW1446" s="2"/>
      <c r="AX1446" s="2"/>
      <c r="AY1446" s="2"/>
      <c r="AZ1446" s="5"/>
      <c r="BA1446" s="2"/>
      <c r="BD1446" s="2"/>
      <c r="BE1446" s="2"/>
      <c r="BF1446" s="2"/>
      <c r="BG1446" s="2"/>
      <c r="BH1446" s="2"/>
      <c r="BI1446" s="2"/>
      <c r="BJ1446" s="2"/>
      <c r="BK1446" s="2"/>
      <c r="BM1446" s="2"/>
      <c r="BN1446" s="2"/>
      <c r="BO1446" s="2"/>
      <c r="BP1446" s="2"/>
      <c r="BQ1446" s="2"/>
      <c r="BR1446" s="6"/>
      <c r="BS1446" s="6"/>
      <c r="BT1446" s="2"/>
      <c r="BU1446" s="2"/>
      <c r="BV1446" s="2"/>
      <c r="BW1446" s="2"/>
      <c r="BX1446" s="2"/>
      <c r="BY1446" s="2"/>
      <c r="BZ1446" s="2"/>
      <c r="CA1446" s="2"/>
      <c r="CB1446" s="2"/>
      <c r="CC1446" s="2"/>
      <c r="CD1446" s="3"/>
      <c r="CE1446" s="2"/>
      <c r="CF1446" s="4"/>
      <c r="CG1446" s="4"/>
      <c r="CI1446" s="2"/>
    </row>
    <row r="1447" spans="1:87" s="101" customFormat="1" x14ac:dyDescent="0.35">
      <c r="A1447" s="1"/>
      <c r="C1447" s="1"/>
      <c r="G1447" s="2"/>
      <c r="H1447" s="2"/>
      <c r="I1447" s="2"/>
      <c r="J1447" s="2"/>
      <c r="K1447" s="81"/>
      <c r="L1447" s="4"/>
      <c r="M1447" s="4"/>
      <c r="N1447" s="4"/>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3"/>
      <c r="AP1447" s="2"/>
      <c r="AQ1447" s="2"/>
      <c r="AR1447" s="2"/>
      <c r="AS1447" s="2"/>
      <c r="AT1447" s="2"/>
      <c r="AU1447" s="2"/>
      <c r="AV1447" s="2"/>
      <c r="AW1447" s="2"/>
      <c r="AX1447" s="2"/>
      <c r="AY1447" s="2"/>
      <c r="AZ1447" s="5"/>
      <c r="BA1447" s="2"/>
      <c r="BD1447" s="2"/>
      <c r="BE1447" s="2"/>
      <c r="BF1447" s="2"/>
      <c r="BG1447" s="2"/>
      <c r="BH1447" s="2"/>
      <c r="BI1447" s="2"/>
      <c r="BJ1447" s="2"/>
      <c r="BK1447" s="2"/>
      <c r="BM1447" s="2"/>
      <c r="BN1447" s="2"/>
      <c r="BO1447" s="2"/>
      <c r="BP1447" s="2"/>
      <c r="BQ1447" s="2"/>
      <c r="BR1447" s="6"/>
      <c r="BS1447" s="6"/>
      <c r="BT1447" s="2"/>
      <c r="BU1447" s="2"/>
      <c r="BV1447" s="2"/>
      <c r="BW1447" s="2"/>
      <c r="BX1447" s="2"/>
      <c r="BY1447" s="2"/>
      <c r="BZ1447" s="2"/>
      <c r="CA1447" s="2"/>
      <c r="CB1447" s="2"/>
      <c r="CC1447" s="2"/>
      <c r="CD1447" s="3"/>
      <c r="CE1447" s="2"/>
      <c r="CF1447" s="4"/>
      <c r="CG1447" s="4"/>
      <c r="CI1447" s="2"/>
    </row>
    <row r="1448" spans="1:87" s="101" customFormat="1" x14ac:dyDescent="0.35">
      <c r="A1448" s="1"/>
      <c r="C1448" s="1"/>
      <c r="G1448" s="2"/>
      <c r="H1448" s="2"/>
      <c r="I1448" s="2"/>
      <c r="J1448" s="2"/>
      <c r="K1448" s="81"/>
      <c r="L1448" s="4"/>
      <c r="M1448" s="4"/>
      <c r="N1448" s="4"/>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3"/>
      <c r="AP1448" s="2"/>
      <c r="AQ1448" s="2"/>
      <c r="AR1448" s="2"/>
      <c r="AS1448" s="2"/>
      <c r="AT1448" s="2"/>
      <c r="AU1448" s="2"/>
      <c r="AV1448" s="2"/>
      <c r="AW1448" s="2"/>
      <c r="AX1448" s="2"/>
      <c r="AY1448" s="2"/>
      <c r="AZ1448" s="5"/>
      <c r="BA1448" s="2"/>
      <c r="BD1448" s="2"/>
      <c r="BE1448" s="2"/>
      <c r="BF1448" s="2"/>
      <c r="BG1448" s="2"/>
      <c r="BH1448" s="2"/>
      <c r="BI1448" s="2"/>
      <c r="BJ1448" s="2"/>
      <c r="BK1448" s="2"/>
      <c r="BM1448" s="2"/>
      <c r="BN1448" s="2"/>
      <c r="BO1448" s="2"/>
      <c r="BP1448" s="2"/>
      <c r="BQ1448" s="2"/>
      <c r="BR1448" s="6"/>
      <c r="BS1448" s="6"/>
      <c r="BT1448" s="2"/>
      <c r="BU1448" s="2"/>
      <c r="BV1448" s="2"/>
      <c r="BW1448" s="2"/>
      <c r="BX1448" s="2"/>
      <c r="BY1448" s="2"/>
      <c r="BZ1448" s="2"/>
      <c r="CA1448" s="2"/>
      <c r="CB1448" s="2"/>
      <c r="CC1448" s="2"/>
      <c r="CD1448" s="3"/>
      <c r="CE1448" s="2"/>
      <c r="CF1448" s="4"/>
      <c r="CG1448" s="4"/>
      <c r="CI1448" s="2"/>
    </row>
    <row r="1449" spans="1:87" s="101" customFormat="1" x14ac:dyDescent="0.35">
      <c r="A1449" s="1"/>
      <c r="C1449" s="1"/>
      <c r="G1449" s="2"/>
      <c r="H1449" s="2"/>
      <c r="I1449" s="2"/>
      <c r="J1449" s="2"/>
      <c r="K1449" s="81"/>
      <c r="L1449" s="4"/>
      <c r="M1449" s="4"/>
      <c r="N1449" s="4"/>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3"/>
      <c r="AP1449" s="2"/>
      <c r="AQ1449" s="2"/>
      <c r="AR1449" s="2"/>
      <c r="AS1449" s="2"/>
      <c r="AT1449" s="2"/>
      <c r="AU1449" s="2"/>
      <c r="AV1449" s="2"/>
      <c r="AW1449" s="2"/>
      <c r="AX1449" s="2"/>
      <c r="AY1449" s="2"/>
      <c r="AZ1449" s="5"/>
      <c r="BA1449" s="2"/>
      <c r="BD1449" s="2"/>
      <c r="BE1449" s="2"/>
      <c r="BF1449" s="2"/>
      <c r="BG1449" s="2"/>
      <c r="BH1449" s="2"/>
      <c r="BI1449" s="2"/>
      <c r="BJ1449" s="2"/>
      <c r="BK1449" s="2"/>
      <c r="BM1449" s="2"/>
      <c r="BN1449" s="2"/>
      <c r="BO1449" s="2"/>
      <c r="BP1449" s="2"/>
      <c r="BQ1449" s="2"/>
      <c r="BR1449" s="6"/>
      <c r="BS1449" s="6"/>
      <c r="BT1449" s="2"/>
      <c r="BU1449" s="2"/>
      <c r="BV1449" s="2"/>
      <c r="BW1449" s="2"/>
      <c r="BX1449" s="2"/>
      <c r="BY1449" s="2"/>
      <c r="BZ1449" s="2"/>
      <c r="CA1449" s="2"/>
      <c r="CB1449" s="2"/>
      <c r="CC1449" s="2"/>
      <c r="CD1449" s="3"/>
      <c r="CE1449" s="2"/>
      <c r="CF1449" s="4"/>
      <c r="CG1449" s="4"/>
      <c r="CI1449" s="2"/>
    </row>
    <row r="1450" spans="1:87" s="101" customFormat="1" x14ac:dyDescent="0.35">
      <c r="A1450" s="1"/>
      <c r="C1450" s="1"/>
      <c r="G1450" s="2"/>
      <c r="H1450" s="2"/>
      <c r="I1450" s="2"/>
      <c r="J1450" s="2"/>
      <c r="K1450" s="81"/>
      <c r="L1450" s="4"/>
      <c r="M1450" s="4"/>
      <c r="N1450" s="4"/>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3"/>
      <c r="AP1450" s="2"/>
      <c r="AQ1450" s="2"/>
      <c r="AR1450" s="2"/>
      <c r="AS1450" s="2"/>
      <c r="AT1450" s="2"/>
      <c r="AU1450" s="2"/>
      <c r="AV1450" s="2"/>
      <c r="AW1450" s="2"/>
      <c r="AX1450" s="2"/>
      <c r="AY1450" s="2"/>
      <c r="AZ1450" s="5"/>
      <c r="BA1450" s="2"/>
      <c r="BD1450" s="2"/>
      <c r="BE1450" s="2"/>
      <c r="BF1450" s="2"/>
      <c r="BG1450" s="2"/>
      <c r="BH1450" s="2"/>
      <c r="BI1450" s="2"/>
      <c r="BJ1450" s="2"/>
      <c r="BK1450" s="2"/>
      <c r="BM1450" s="2"/>
      <c r="BN1450" s="2"/>
      <c r="BO1450" s="2"/>
      <c r="BP1450" s="2"/>
      <c r="BQ1450" s="2"/>
      <c r="BR1450" s="6"/>
      <c r="BS1450" s="6"/>
      <c r="BT1450" s="2"/>
      <c r="BU1450" s="2"/>
      <c r="BV1450" s="2"/>
      <c r="BW1450" s="2"/>
      <c r="BX1450" s="2"/>
      <c r="BY1450" s="2"/>
      <c r="BZ1450" s="2"/>
      <c r="CA1450" s="2"/>
      <c r="CB1450" s="2"/>
      <c r="CC1450" s="2"/>
      <c r="CD1450" s="3"/>
      <c r="CE1450" s="2"/>
      <c r="CF1450" s="4"/>
      <c r="CG1450" s="4"/>
      <c r="CI1450" s="2"/>
    </row>
    <row r="1451" spans="1:87" s="101" customFormat="1" x14ac:dyDescent="0.35">
      <c r="A1451" s="1"/>
      <c r="C1451" s="1"/>
      <c r="G1451" s="2"/>
      <c r="H1451" s="2"/>
      <c r="I1451" s="2"/>
      <c r="J1451" s="2"/>
      <c r="K1451" s="81"/>
      <c r="L1451" s="4"/>
      <c r="M1451" s="4"/>
      <c r="N1451" s="4"/>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3"/>
      <c r="AP1451" s="2"/>
      <c r="AQ1451" s="2"/>
      <c r="AR1451" s="2"/>
      <c r="AS1451" s="2"/>
      <c r="AT1451" s="2"/>
      <c r="AU1451" s="2"/>
      <c r="AV1451" s="2"/>
      <c r="AW1451" s="2"/>
      <c r="AX1451" s="2"/>
      <c r="AY1451" s="2"/>
      <c r="AZ1451" s="5"/>
      <c r="BA1451" s="2"/>
      <c r="BD1451" s="2"/>
      <c r="BE1451" s="2"/>
      <c r="BF1451" s="2"/>
      <c r="BG1451" s="2"/>
      <c r="BH1451" s="2"/>
      <c r="BI1451" s="2"/>
      <c r="BJ1451" s="2"/>
      <c r="BK1451" s="2"/>
      <c r="BM1451" s="2"/>
      <c r="BN1451" s="2"/>
      <c r="BO1451" s="2"/>
      <c r="BP1451" s="2"/>
      <c r="BQ1451" s="2"/>
      <c r="BR1451" s="6"/>
      <c r="BS1451" s="6"/>
      <c r="BT1451" s="2"/>
      <c r="BU1451" s="2"/>
      <c r="BV1451" s="2"/>
      <c r="BW1451" s="2"/>
      <c r="BX1451" s="2"/>
      <c r="BY1451" s="2"/>
      <c r="BZ1451" s="2"/>
      <c r="CA1451" s="2"/>
      <c r="CB1451" s="2"/>
      <c r="CC1451" s="2"/>
      <c r="CD1451" s="3"/>
      <c r="CE1451" s="2"/>
      <c r="CF1451" s="4"/>
      <c r="CG1451" s="4"/>
      <c r="CI1451" s="2"/>
    </row>
    <row r="1452" spans="1:87" s="101" customFormat="1" x14ac:dyDescent="0.35">
      <c r="A1452" s="1"/>
      <c r="C1452" s="1"/>
      <c r="G1452" s="2"/>
      <c r="H1452" s="2"/>
      <c r="I1452" s="2"/>
      <c r="J1452" s="2"/>
      <c r="K1452" s="81"/>
      <c r="L1452" s="4"/>
      <c r="M1452" s="4"/>
      <c r="N1452" s="4"/>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3"/>
      <c r="AP1452" s="2"/>
      <c r="AQ1452" s="2"/>
      <c r="AR1452" s="2"/>
      <c r="AS1452" s="2"/>
      <c r="AT1452" s="2"/>
      <c r="AU1452" s="2"/>
      <c r="AV1452" s="2"/>
      <c r="AW1452" s="2"/>
      <c r="AX1452" s="2"/>
      <c r="AY1452" s="2"/>
      <c r="AZ1452" s="5"/>
      <c r="BA1452" s="2"/>
      <c r="BD1452" s="2"/>
      <c r="BE1452" s="2"/>
      <c r="BF1452" s="2"/>
      <c r="BG1452" s="2"/>
      <c r="BH1452" s="2"/>
      <c r="BI1452" s="2"/>
      <c r="BJ1452" s="2"/>
      <c r="BK1452" s="2"/>
      <c r="BM1452" s="2"/>
      <c r="BN1452" s="2"/>
      <c r="BO1452" s="2"/>
      <c r="BP1452" s="2"/>
      <c r="BQ1452" s="2"/>
      <c r="BR1452" s="6"/>
      <c r="BS1452" s="6"/>
      <c r="BT1452" s="2"/>
      <c r="BU1452" s="2"/>
      <c r="BV1452" s="2"/>
      <c r="BW1452" s="2"/>
      <c r="BX1452" s="2"/>
      <c r="BY1452" s="2"/>
      <c r="BZ1452" s="2"/>
      <c r="CA1452" s="2"/>
      <c r="CB1452" s="2"/>
      <c r="CC1452" s="2"/>
      <c r="CD1452" s="3"/>
      <c r="CE1452" s="2"/>
      <c r="CF1452" s="4"/>
      <c r="CG1452" s="4"/>
      <c r="CI1452" s="2"/>
    </row>
    <row r="1453" spans="1:87" s="101" customFormat="1" x14ac:dyDescent="0.35">
      <c r="A1453" s="1"/>
      <c r="C1453" s="1"/>
      <c r="G1453" s="2"/>
      <c r="H1453" s="2"/>
      <c r="I1453" s="2"/>
      <c r="J1453" s="2"/>
      <c r="K1453" s="81"/>
      <c r="L1453" s="4"/>
      <c r="M1453" s="4"/>
      <c r="N1453" s="4"/>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3"/>
      <c r="AP1453" s="2"/>
      <c r="AQ1453" s="2"/>
      <c r="AR1453" s="2"/>
      <c r="AS1453" s="2"/>
      <c r="AT1453" s="2"/>
      <c r="AU1453" s="2"/>
      <c r="AV1453" s="2"/>
      <c r="AW1453" s="2"/>
      <c r="AX1453" s="2"/>
      <c r="AY1453" s="2"/>
      <c r="AZ1453" s="5"/>
      <c r="BA1453" s="2"/>
      <c r="BD1453" s="2"/>
      <c r="BE1453" s="2"/>
      <c r="BF1453" s="2"/>
      <c r="BG1453" s="2"/>
      <c r="BH1453" s="2"/>
      <c r="BI1453" s="2"/>
      <c r="BJ1453" s="2"/>
      <c r="BK1453" s="2"/>
      <c r="BM1453" s="2"/>
      <c r="BN1453" s="2"/>
      <c r="BO1453" s="2"/>
      <c r="BP1453" s="2"/>
      <c r="BQ1453" s="2"/>
      <c r="BR1453" s="6"/>
      <c r="BS1453" s="6"/>
      <c r="BT1453" s="2"/>
      <c r="BU1453" s="2"/>
      <c r="BV1453" s="2"/>
      <c r="BW1453" s="2"/>
      <c r="BX1453" s="2"/>
      <c r="BY1453" s="2"/>
      <c r="BZ1453" s="2"/>
      <c r="CA1453" s="2"/>
      <c r="CB1453" s="2"/>
      <c r="CC1453" s="2"/>
      <c r="CD1453" s="3"/>
      <c r="CE1453" s="2"/>
      <c r="CF1453" s="4"/>
      <c r="CG1453" s="4"/>
      <c r="CI1453" s="2"/>
    </row>
    <row r="1454" spans="1:87" s="101" customFormat="1" x14ac:dyDescent="0.35">
      <c r="A1454" s="1"/>
      <c r="C1454" s="1"/>
      <c r="G1454" s="2"/>
      <c r="H1454" s="2"/>
      <c r="I1454" s="2"/>
      <c r="J1454" s="2"/>
      <c r="K1454" s="81"/>
      <c r="L1454" s="4"/>
      <c r="M1454" s="4"/>
      <c r="N1454" s="4"/>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3"/>
      <c r="AP1454" s="2"/>
      <c r="AQ1454" s="2"/>
      <c r="AR1454" s="2"/>
      <c r="AS1454" s="2"/>
      <c r="AT1454" s="2"/>
      <c r="AU1454" s="2"/>
      <c r="AV1454" s="2"/>
      <c r="AW1454" s="2"/>
      <c r="AX1454" s="2"/>
      <c r="AY1454" s="2"/>
      <c r="AZ1454" s="5"/>
      <c r="BA1454" s="2"/>
      <c r="BD1454" s="2"/>
      <c r="BE1454" s="2"/>
      <c r="BF1454" s="2"/>
      <c r="BG1454" s="2"/>
      <c r="BH1454" s="2"/>
      <c r="BI1454" s="2"/>
      <c r="BJ1454" s="2"/>
      <c r="BK1454" s="2"/>
      <c r="BM1454" s="2"/>
      <c r="BN1454" s="2"/>
      <c r="BO1454" s="2"/>
      <c r="BP1454" s="2"/>
      <c r="BQ1454" s="2"/>
      <c r="BR1454" s="6"/>
      <c r="BS1454" s="6"/>
      <c r="BT1454" s="2"/>
      <c r="BU1454" s="2"/>
      <c r="BV1454" s="2"/>
      <c r="BW1454" s="2"/>
      <c r="BX1454" s="2"/>
      <c r="BY1454" s="2"/>
      <c r="BZ1454" s="2"/>
      <c r="CA1454" s="2"/>
      <c r="CB1454" s="2"/>
      <c r="CC1454" s="2"/>
      <c r="CD1454" s="3"/>
      <c r="CE1454" s="2"/>
      <c r="CF1454" s="4"/>
      <c r="CG1454" s="4"/>
      <c r="CI1454" s="2"/>
    </row>
    <row r="1455" spans="1:87" s="101" customFormat="1" x14ac:dyDescent="0.35">
      <c r="A1455" s="1"/>
      <c r="C1455" s="1"/>
      <c r="G1455" s="2"/>
      <c r="H1455" s="2"/>
      <c r="I1455" s="2"/>
      <c r="J1455" s="2"/>
      <c r="K1455" s="81"/>
      <c r="L1455" s="4"/>
      <c r="M1455" s="4"/>
      <c r="N1455" s="4"/>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3"/>
      <c r="AP1455" s="2"/>
      <c r="AQ1455" s="2"/>
      <c r="AR1455" s="2"/>
      <c r="AS1455" s="2"/>
      <c r="AT1455" s="2"/>
      <c r="AU1455" s="2"/>
      <c r="AV1455" s="2"/>
      <c r="AW1455" s="2"/>
      <c r="AX1455" s="2"/>
      <c r="AY1455" s="2"/>
      <c r="AZ1455" s="5"/>
      <c r="BA1455" s="2"/>
      <c r="BD1455" s="2"/>
      <c r="BE1455" s="2"/>
      <c r="BF1455" s="2"/>
      <c r="BG1455" s="2"/>
      <c r="BH1455" s="2"/>
      <c r="BI1455" s="2"/>
      <c r="BJ1455" s="2"/>
      <c r="BK1455" s="2"/>
      <c r="BM1455" s="2"/>
      <c r="BN1455" s="2"/>
      <c r="BO1455" s="2"/>
      <c r="BP1455" s="2"/>
      <c r="BQ1455" s="2"/>
      <c r="BR1455" s="6"/>
      <c r="BS1455" s="6"/>
      <c r="BT1455" s="2"/>
      <c r="BU1455" s="2"/>
      <c r="BV1455" s="2"/>
      <c r="BW1455" s="2"/>
      <c r="BX1455" s="2"/>
      <c r="BY1455" s="2"/>
      <c r="BZ1455" s="2"/>
      <c r="CA1455" s="2"/>
      <c r="CB1455" s="2"/>
      <c r="CC1455" s="2"/>
      <c r="CD1455" s="3"/>
      <c r="CE1455" s="2"/>
      <c r="CF1455" s="4"/>
      <c r="CG1455" s="4"/>
      <c r="CI1455" s="2"/>
    </row>
    <row r="1456" spans="1:87" s="101" customFormat="1" x14ac:dyDescent="0.35">
      <c r="A1456" s="1"/>
      <c r="C1456" s="1"/>
      <c r="G1456" s="2"/>
      <c r="H1456" s="2"/>
      <c r="I1456" s="2"/>
      <c r="J1456" s="2"/>
      <c r="K1456" s="81"/>
      <c r="L1456" s="4"/>
      <c r="M1456" s="4"/>
      <c r="N1456" s="4"/>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3"/>
      <c r="AP1456" s="2"/>
      <c r="AQ1456" s="2"/>
      <c r="AR1456" s="2"/>
      <c r="AS1456" s="2"/>
      <c r="AT1456" s="2"/>
      <c r="AU1456" s="2"/>
      <c r="AV1456" s="2"/>
      <c r="AW1456" s="2"/>
      <c r="AX1456" s="2"/>
      <c r="AY1456" s="2"/>
      <c r="AZ1456" s="5"/>
      <c r="BA1456" s="2"/>
      <c r="BD1456" s="2"/>
      <c r="BE1456" s="2"/>
      <c r="BF1456" s="2"/>
      <c r="BG1456" s="2"/>
      <c r="BH1456" s="2"/>
      <c r="BI1456" s="2"/>
      <c r="BJ1456" s="2"/>
      <c r="BK1456" s="2"/>
      <c r="BM1456" s="2"/>
      <c r="BN1456" s="2"/>
      <c r="BO1456" s="2"/>
      <c r="BP1456" s="2"/>
      <c r="BQ1456" s="2"/>
      <c r="BR1456" s="6"/>
      <c r="BS1456" s="6"/>
      <c r="BT1456" s="2"/>
      <c r="BU1456" s="2"/>
      <c r="BV1456" s="2"/>
      <c r="BW1456" s="2"/>
      <c r="BX1456" s="2"/>
      <c r="BY1456" s="2"/>
      <c r="BZ1456" s="2"/>
      <c r="CA1456" s="2"/>
      <c r="CB1456" s="2"/>
      <c r="CC1456" s="2"/>
      <c r="CD1456" s="3"/>
      <c r="CE1456" s="2"/>
      <c r="CF1456" s="4"/>
      <c r="CG1456" s="4"/>
      <c r="CI1456" s="2"/>
    </row>
    <row r="1457" spans="1:87" s="101" customFormat="1" x14ac:dyDescent="0.35">
      <c r="A1457" s="1"/>
      <c r="C1457" s="1"/>
      <c r="G1457" s="2"/>
      <c r="H1457" s="2"/>
      <c r="I1457" s="2"/>
      <c r="J1457" s="2"/>
      <c r="K1457" s="81"/>
      <c r="L1457" s="4"/>
      <c r="M1457" s="4"/>
      <c r="N1457" s="4"/>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3"/>
      <c r="AP1457" s="2"/>
      <c r="AQ1457" s="2"/>
      <c r="AR1457" s="2"/>
      <c r="AS1457" s="2"/>
      <c r="AT1457" s="2"/>
      <c r="AU1457" s="2"/>
      <c r="AV1457" s="2"/>
      <c r="AW1457" s="2"/>
      <c r="AX1457" s="2"/>
      <c r="AY1457" s="2"/>
      <c r="AZ1457" s="5"/>
      <c r="BA1457" s="2"/>
      <c r="BD1457" s="2"/>
      <c r="BE1457" s="2"/>
      <c r="BF1457" s="2"/>
      <c r="BG1457" s="2"/>
      <c r="BH1457" s="2"/>
      <c r="BI1457" s="2"/>
      <c r="BJ1457" s="2"/>
      <c r="BK1457" s="2"/>
      <c r="BM1457" s="2"/>
      <c r="BN1457" s="2"/>
      <c r="BO1457" s="2"/>
      <c r="BP1457" s="2"/>
      <c r="BQ1457" s="2"/>
      <c r="BR1457" s="6"/>
      <c r="BS1457" s="6"/>
      <c r="BT1457" s="2"/>
      <c r="BU1457" s="2"/>
      <c r="BV1457" s="2"/>
      <c r="BW1457" s="2"/>
      <c r="BX1457" s="2"/>
      <c r="BY1457" s="2"/>
      <c r="BZ1457" s="2"/>
      <c r="CA1457" s="2"/>
      <c r="CB1457" s="2"/>
      <c r="CC1457" s="2"/>
      <c r="CD1457" s="3"/>
      <c r="CE1457" s="2"/>
      <c r="CF1457" s="4"/>
      <c r="CG1457" s="4"/>
      <c r="CI1457" s="2"/>
    </row>
    <row r="1458" spans="1:87" s="101" customFormat="1" x14ac:dyDescent="0.35">
      <c r="A1458" s="1"/>
      <c r="C1458" s="1"/>
      <c r="G1458" s="2"/>
      <c r="H1458" s="2"/>
      <c r="I1458" s="2"/>
      <c r="J1458" s="2"/>
      <c r="K1458" s="81"/>
      <c r="L1458" s="4"/>
      <c r="M1458" s="4"/>
      <c r="N1458" s="4"/>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3"/>
      <c r="AP1458" s="2"/>
      <c r="AQ1458" s="2"/>
      <c r="AR1458" s="2"/>
      <c r="AS1458" s="2"/>
      <c r="AT1458" s="2"/>
      <c r="AU1458" s="2"/>
      <c r="AV1458" s="2"/>
      <c r="AW1458" s="2"/>
      <c r="AX1458" s="2"/>
      <c r="AY1458" s="2"/>
      <c r="AZ1458" s="5"/>
      <c r="BA1458" s="2"/>
      <c r="BD1458" s="2"/>
      <c r="BE1458" s="2"/>
      <c r="BF1458" s="2"/>
      <c r="BG1458" s="2"/>
      <c r="BH1458" s="2"/>
      <c r="BI1458" s="2"/>
      <c r="BJ1458" s="2"/>
      <c r="BK1458" s="2"/>
      <c r="BM1458" s="2"/>
      <c r="BN1458" s="2"/>
      <c r="BO1458" s="2"/>
      <c r="BP1458" s="2"/>
      <c r="BQ1458" s="2"/>
      <c r="BR1458" s="6"/>
      <c r="BS1458" s="6"/>
      <c r="BT1458" s="2"/>
      <c r="BU1458" s="2"/>
      <c r="BV1458" s="2"/>
      <c r="BW1458" s="2"/>
      <c r="BX1458" s="2"/>
      <c r="BY1458" s="2"/>
      <c r="BZ1458" s="2"/>
      <c r="CA1458" s="2"/>
      <c r="CB1458" s="2"/>
      <c r="CC1458" s="2"/>
      <c r="CD1458" s="3"/>
      <c r="CE1458" s="2"/>
      <c r="CF1458" s="4"/>
      <c r="CG1458" s="4"/>
      <c r="CI1458" s="2"/>
    </row>
    <row r="1459" spans="1:87" s="101" customFormat="1" x14ac:dyDescent="0.35">
      <c r="A1459" s="1"/>
      <c r="C1459" s="1"/>
      <c r="G1459" s="2"/>
      <c r="H1459" s="2"/>
      <c r="I1459" s="2"/>
      <c r="J1459" s="2"/>
      <c r="K1459" s="81"/>
      <c r="L1459" s="4"/>
      <c r="M1459" s="4"/>
      <c r="N1459" s="4"/>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3"/>
      <c r="AP1459" s="2"/>
      <c r="AQ1459" s="2"/>
      <c r="AR1459" s="2"/>
      <c r="AS1459" s="2"/>
      <c r="AT1459" s="2"/>
      <c r="AU1459" s="2"/>
      <c r="AV1459" s="2"/>
      <c r="AW1459" s="2"/>
      <c r="AX1459" s="2"/>
      <c r="AY1459" s="2"/>
      <c r="AZ1459" s="5"/>
      <c r="BA1459" s="2"/>
      <c r="BD1459" s="2"/>
      <c r="BE1459" s="2"/>
      <c r="BF1459" s="2"/>
      <c r="BG1459" s="2"/>
      <c r="BH1459" s="2"/>
      <c r="BI1459" s="2"/>
      <c r="BJ1459" s="2"/>
      <c r="BK1459" s="2"/>
      <c r="BM1459" s="2"/>
      <c r="BN1459" s="2"/>
      <c r="BO1459" s="2"/>
      <c r="BP1459" s="2"/>
      <c r="BQ1459" s="2"/>
      <c r="BR1459" s="6"/>
      <c r="BS1459" s="6"/>
      <c r="BT1459" s="2"/>
      <c r="BU1459" s="2"/>
      <c r="BV1459" s="2"/>
      <c r="BW1459" s="2"/>
      <c r="BX1459" s="2"/>
      <c r="BY1459" s="2"/>
      <c r="BZ1459" s="2"/>
      <c r="CA1459" s="2"/>
      <c r="CB1459" s="2"/>
      <c r="CC1459" s="2"/>
      <c r="CD1459" s="3"/>
      <c r="CE1459" s="2"/>
      <c r="CF1459" s="4"/>
      <c r="CG1459" s="4"/>
      <c r="CI1459" s="2"/>
    </row>
    <row r="1460" spans="1:87" s="101" customFormat="1" x14ac:dyDescent="0.35">
      <c r="A1460" s="1"/>
      <c r="C1460" s="1"/>
      <c r="G1460" s="2"/>
      <c r="H1460" s="2"/>
      <c r="I1460" s="2"/>
      <c r="J1460" s="2"/>
      <c r="K1460" s="81"/>
      <c r="L1460" s="4"/>
      <c r="M1460" s="4"/>
      <c r="N1460" s="4"/>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3"/>
      <c r="AP1460" s="2"/>
      <c r="AQ1460" s="2"/>
      <c r="AR1460" s="2"/>
      <c r="AS1460" s="2"/>
      <c r="AT1460" s="2"/>
      <c r="AU1460" s="2"/>
      <c r="AV1460" s="2"/>
      <c r="AW1460" s="2"/>
      <c r="AX1460" s="2"/>
      <c r="AY1460" s="2"/>
      <c r="AZ1460" s="5"/>
      <c r="BA1460" s="2"/>
      <c r="BD1460" s="2"/>
      <c r="BE1460" s="2"/>
      <c r="BF1460" s="2"/>
      <c r="BG1460" s="2"/>
      <c r="BH1460" s="2"/>
      <c r="BI1460" s="2"/>
      <c r="BJ1460" s="2"/>
      <c r="BK1460" s="2"/>
      <c r="BM1460" s="2"/>
      <c r="BN1460" s="2"/>
      <c r="BO1460" s="2"/>
      <c r="BP1460" s="2"/>
      <c r="BQ1460" s="2"/>
      <c r="BR1460" s="6"/>
      <c r="BS1460" s="6"/>
      <c r="BT1460" s="2"/>
      <c r="BU1460" s="2"/>
      <c r="BV1460" s="2"/>
      <c r="BW1460" s="2"/>
      <c r="BX1460" s="2"/>
      <c r="BY1460" s="2"/>
      <c r="BZ1460" s="2"/>
      <c r="CA1460" s="2"/>
      <c r="CB1460" s="2"/>
      <c r="CC1460" s="2"/>
      <c r="CD1460" s="3"/>
      <c r="CE1460" s="2"/>
      <c r="CF1460" s="4"/>
      <c r="CG1460" s="4"/>
      <c r="CI1460" s="2"/>
    </row>
    <row r="1461" spans="1:87" s="101" customFormat="1" x14ac:dyDescent="0.35">
      <c r="A1461" s="1"/>
      <c r="C1461" s="1"/>
      <c r="G1461" s="2"/>
      <c r="H1461" s="2"/>
      <c r="I1461" s="2"/>
      <c r="J1461" s="2"/>
      <c r="K1461" s="81"/>
      <c r="L1461" s="4"/>
      <c r="M1461" s="4"/>
      <c r="N1461" s="4"/>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3"/>
      <c r="AP1461" s="2"/>
      <c r="AQ1461" s="2"/>
      <c r="AR1461" s="2"/>
      <c r="AS1461" s="2"/>
      <c r="AT1461" s="2"/>
      <c r="AU1461" s="2"/>
      <c r="AV1461" s="2"/>
      <c r="AW1461" s="2"/>
      <c r="AX1461" s="2"/>
      <c r="AY1461" s="2"/>
      <c r="AZ1461" s="5"/>
      <c r="BA1461" s="2"/>
      <c r="BD1461" s="2"/>
      <c r="BE1461" s="2"/>
      <c r="BF1461" s="2"/>
      <c r="BG1461" s="2"/>
      <c r="BH1461" s="2"/>
      <c r="BI1461" s="2"/>
      <c r="BJ1461" s="2"/>
      <c r="BK1461" s="2"/>
      <c r="BM1461" s="2"/>
      <c r="BN1461" s="2"/>
      <c r="BO1461" s="2"/>
      <c r="BP1461" s="2"/>
      <c r="BQ1461" s="2"/>
      <c r="BR1461" s="6"/>
      <c r="BS1461" s="6"/>
      <c r="BT1461" s="2"/>
      <c r="BU1461" s="2"/>
      <c r="BV1461" s="2"/>
      <c r="BW1461" s="2"/>
      <c r="BX1461" s="2"/>
      <c r="BY1461" s="2"/>
      <c r="BZ1461" s="2"/>
      <c r="CA1461" s="2"/>
      <c r="CB1461" s="2"/>
      <c r="CC1461" s="2"/>
      <c r="CD1461" s="3"/>
      <c r="CE1461" s="2"/>
      <c r="CF1461" s="4"/>
      <c r="CG1461" s="4"/>
      <c r="CI1461" s="2"/>
    </row>
    <row r="1462" spans="1:87" s="101" customFormat="1" x14ac:dyDescent="0.35">
      <c r="A1462" s="1"/>
      <c r="C1462" s="1"/>
      <c r="G1462" s="2"/>
      <c r="H1462" s="2"/>
      <c r="I1462" s="2"/>
      <c r="J1462" s="2"/>
      <c r="K1462" s="81"/>
      <c r="L1462" s="4"/>
      <c r="M1462" s="4"/>
      <c r="N1462" s="4"/>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3"/>
      <c r="AP1462" s="2"/>
      <c r="AQ1462" s="2"/>
      <c r="AR1462" s="2"/>
      <c r="AS1462" s="2"/>
      <c r="AT1462" s="2"/>
      <c r="AU1462" s="2"/>
      <c r="AV1462" s="2"/>
      <c r="AW1462" s="2"/>
      <c r="AX1462" s="2"/>
      <c r="AY1462" s="2"/>
      <c r="AZ1462" s="5"/>
      <c r="BA1462" s="2"/>
      <c r="BD1462" s="2"/>
      <c r="BE1462" s="2"/>
      <c r="BF1462" s="2"/>
      <c r="BG1462" s="2"/>
      <c r="BH1462" s="2"/>
      <c r="BI1462" s="2"/>
      <c r="BJ1462" s="2"/>
      <c r="BK1462" s="2"/>
      <c r="BM1462" s="2"/>
      <c r="BN1462" s="2"/>
      <c r="BO1462" s="2"/>
      <c r="BP1462" s="2"/>
      <c r="BQ1462" s="2"/>
      <c r="BR1462" s="6"/>
      <c r="BS1462" s="6"/>
      <c r="BT1462" s="2"/>
      <c r="BU1462" s="2"/>
      <c r="BV1462" s="2"/>
      <c r="BW1462" s="2"/>
      <c r="BX1462" s="2"/>
      <c r="BY1462" s="2"/>
      <c r="BZ1462" s="2"/>
      <c r="CA1462" s="2"/>
      <c r="CB1462" s="2"/>
      <c r="CC1462" s="2"/>
      <c r="CD1462" s="3"/>
      <c r="CE1462" s="2"/>
      <c r="CF1462" s="4"/>
      <c r="CG1462" s="4"/>
      <c r="CI1462" s="2"/>
    </row>
    <row r="1463" spans="1:87" s="101" customFormat="1" x14ac:dyDescent="0.35">
      <c r="A1463" s="1"/>
      <c r="C1463" s="1"/>
      <c r="G1463" s="2"/>
      <c r="H1463" s="2"/>
      <c r="I1463" s="2"/>
      <c r="J1463" s="2"/>
      <c r="K1463" s="81"/>
      <c r="L1463" s="4"/>
      <c r="M1463" s="4"/>
      <c r="N1463" s="4"/>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3"/>
      <c r="AP1463" s="2"/>
      <c r="AQ1463" s="2"/>
      <c r="AR1463" s="2"/>
      <c r="AS1463" s="2"/>
      <c r="AT1463" s="2"/>
      <c r="AU1463" s="2"/>
      <c r="AV1463" s="2"/>
      <c r="AW1463" s="2"/>
      <c r="AX1463" s="2"/>
      <c r="AY1463" s="2"/>
      <c r="AZ1463" s="5"/>
      <c r="BA1463" s="2"/>
      <c r="BD1463" s="2"/>
      <c r="BE1463" s="2"/>
      <c r="BF1463" s="2"/>
      <c r="BG1463" s="2"/>
      <c r="BH1463" s="2"/>
      <c r="BI1463" s="2"/>
      <c r="BJ1463" s="2"/>
      <c r="BK1463" s="2"/>
      <c r="BM1463" s="2"/>
      <c r="BN1463" s="2"/>
      <c r="BO1463" s="2"/>
      <c r="BP1463" s="2"/>
      <c r="BQ1463" s="2"/>
      <c r="BR1463" s="6"/>
      <c r="BS1463" s="6"/>
      <c r="BT1463" s="2"/>
      <c r="BU1463" s="2"/>
      <c r="BV1463" s="2"/>
      <c r="BW1463" s="2"/>
      <c r="BX1463" s="2"/>
      <c r="BY1463" s="2"/>
      <c r="BZ1463" s="2"/>
      <c r="CA1463" s="2"/>
      <c r="CB1463" s="2"/>
      <c r="CC1463" s="2"/>
      <c r="CD1463" s="3"/>
      <c r="CE1463" s="2"/>
      <c r="CF1463" s="4"/>
      <c r="CG1463" s="4"/>
      <c r="CI1463" s="2"/>
    </row>
    <row r="1464" spans="1:87" s="101" customFormat="1" x14ac:dyDescent="0.35">
      <c r="A1464" s="1"/>
      <c r="C1464" s="1"/>
      <c r="G1464" s="2"/>
      <c r="H1464" s="2"/>
      <c r="I1464" s="2"/>
      <c r="J1464" s="2"/>
      <c r="K1464" s="81"/>
      <c r="L1464" s="4"/>
      <c r="M1464" s="4"/>
      <c r="N1464" s="4"/>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3"/>
      <c r="AP1464" s="2"/>
      <c r="AQ1464" s="2"/>
      <c r="AR1464" s="2"/>
      <c r="AS1464" s="2"/>
      <c r="AT1464" s="2"/>
      <c r="AU1464" s="2"/>
      <c r="AV1464" s="2"/>
      <c r="AW1464" s="2"/>
      <c r="AX1464" s="2"/>
      <c r="AY1464" s="2"/>
      <c r="AZ1464" s="5"/>
      <c r="BA1464" s="2"/>
      <c r="BD1464" s="2"/>
      <c r="BE1464" s="2"/>
      <c r="BF1464" s="2"/>
      <c r="BG1464" s="2"/>
      <c r="BH1464" s="2"/>
      <c r="BI1464" s="2"/>
      <c r="BJ1464" s="2"/>
      <c r="BK1464" s="2"/>
      <c r="BM1464" s="2"/>
      <c r="BN1464" s="2"/>
      <c r="BO1464" s="2"/>
      <c r="BP1464" s="2"/>
      <c r="BQ1464" s="2"/>
      <c r="BR1464" s="6"/>
      <c r="BS1464" s="6"/>
      <c r="BT1464" s="2"/>
      <c r="BU1464" s="2"/>
      <c r="BV1464" s="2"/>
      <c r="BW1464" s="2"/>
      <c r="BX1464" s="2"/>
      <c r="BY1464" s="2"/>
      <c r="BZ1464" s="2"/>
      <c r="CA1464" s="2"/>
      <c r="CB1464" s="2"/>
      <c r="CC1464" s="2"/>
      <c r="CD1464" s="3"/>
      <c r="CE1464" s="2"/>
      <c r="CF1464" s="4"/>
      <c r="CG1464" s="4"/>
      <c r="CI1464" s="2"/>
    </row>
    <row r="1465" spans="1:87" s="101" customFormat="1" x14ac:dyDescent="0.35">
      <c r="A1465" s="1"/>
      <c r="C1465" s="1"/>
      <c r="G1465" s="2"/>
      <c r="H1465" s="2"/>
      <c r="I1465" s="2"/>
      <c r="J1465" s="2"/>
      <c r="K1465" s="81"/>
      <c r="L1465" s="4"/>
      <c r="M1465" s="4"/>
      <c r="N1465" s="4"/>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3"/>
      <c r="AP1465" s="2"/>
      <c r="AQ1465" s="2"/>
      <c r="AR1465" s="2"/>
      <c r="AS1465" s="2"/>
      <c r="AT1465" s="2"/>
      <c r="AU1465" s="2"/>
      <c r="AV1465" s="2"/>
      <c r="AW1465" s="2"/>
      <c r="AX1465" s="2"/>
      <c r="AY1465" s="2"/>
      <c r="AZ1465" s="5"/>
      <c r="BA1465" s="2"/>
      <c r="BD1465" s="2"/>
      <c r="BE1465" s="2"/>
      <c r="BF1465" s="2"/>
      <c r="BG1465" s="2"/>
      <c r="BH1465" s="2"/>
      <c r="BI1465" s="2"/>
      <c r="BJ1465" s="2"/>
      <c r="BK1465" s="2"/>
      <c r="BM1465" s="2"/>
      <c r="BN1465" s="2"/>
      <c r="BO1465" s="2"/>
      <c r="BP1465" s="2"/>
      <c r="BQ1465" s="2"/>
      <c r="BR1465" s="6"/>
      <c r="BS1465" s="6"/>
      <c r="BT1465" s="2"/>
      <c r="BU1465" s="2"/>
      <c r="BV1465" s="2"/>
      <c r="BW1465" s="2"/>
      <c r="BX1465" s="2"/>
      <c r="BY1465" s="2"/>
      <c r="BZ1465" s="2"/>
      <c r="CA1465" s="2"/>
      <c r="CB1465" s="2"/>
      <c r="CC1465" s="2"/>
      <c r="CD1465" s="3"/>
      <c r="CE1465" s="2"/>
      <c r="CF1465" s="4"/>
      <c r="CG1465" s="4"/>
      <c r="CI1465" s="2"/>
    </row>
    <row r="1466" spans="1:87" s="101" customFormat="1" x14ac:dyDescent="0.35">
      <c r="A1466" s="1"/>
      <c r="C1466" s="1"/>
      <c r="G1466" s="2"/>
      <c r="H1466" s="2"/>
      <c r="I1466" s="2"/>
      <c r="J1466" s="2"/>
      <c r="K1466" s="81"/>
      <c r="L1466" s="4"/>
      <c r="M1466" s="4"/>
      <c r="N1466" s="4"/>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3"/>
      <c r="AP1466" s="2"/>
      <c r="AQ1466" s="2"/>
      <c r="AR1466" s="2"/>
      <c r="AS1466" s="2"/>
      <c r="AT1466" s="2"/>
      <c r="AU1466" s="2"/>
      <c r="AV1466" s="2"/>
      <c r="AW1466" s="2"/>
      <c r="AX1466" s="2"/>
      <c r="AY1466" s="2"/>
      <c r="AZ1466" s="5"/>
      <c r="BA1466" s="2"/>
      <c r="BD1466" s="2"/>
      <c r="BE1466" s="2"/>
      <c r="BF1466" s="2"/>
      <c r="BG1466" s="2"/>
      <c r="BH1466" s="2"/>
      <c r="BI1466" s="2"/>
      <c r="BJ1466" s="2"/>
      <c r="BK1466" s="2"/>
      <c r="BM1466" s="2"/>
      <c r="BN1466" s="2"/>
      <c r="BO1466" s="2"/>
      <c r="BP1466" s="2"/>
      <c r="BQ1466" s="2"/>
      <c r="BR1466" s="6"/>
      <c r="BS1466" s="6"/>
      <c r="BT1466" s="2"/>
      <c r="BU1466" s="2"/>
      <c r="BV1466" s="2"/>
      <c r="BW1466" s="2"/>
      <c r="BX1466" s="2"/>
      <c r="BY1466" s="2"/>
      <c r="BZ1466" s="2"/>
      <c r="CA1466" s="2"/>
      <c r="CB1466" s="2"/>
      <c r="CC1466" s="2"/>
      <c r="CD1466" s="3"/>
      <c r="CE1466" s="2"/>
      <c r="CF1466" s="4"/>
      <c r="CG1466" s="4"/>
      <c r="CI1466" s="2"/>
    </row>
    <row r="1467" spans="1:87" s="101" customFormat="1" x14ac:dyDescent="0.35">
      <c r="A1467" s="1"/>
      <c r="C1467" s="1"/>
      <c r="G1467" s="2"/>
      <c r="H1467" s="2"/>
      <c r="I1467" s="2"/>
      <c r="J1467" s="2"/>
      <c r="K1467" s="81"/>
      <c r="L1467" s="4"/>
      <c r="M1467" s="4"/>
      <c r="N1467" s="4"/>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3"/>
      <c r="AP1467" s="2"/>
      <c r="AQ1467" s="2"/>
      <c r="AR1467" s="2"/>
      <c r="AS1467" s="2"/>
      <c r="AT1467" s="2"/>
      <c r="AU1467" s="2"/>
      <c r="AV1467" s="2"/>
      <c r="AW1467" s="2"/>
      <c r="AX1467" s="2"/>
      <c r="AY1467" s="2"/>
      <c r="AZ1467" s="5"/>
      <c r="BA1467" s="2"/>
      <c r="BD1467" s="2"/>
      <c r="BE1467" s="2"/>
      <c r="BF1467" s="2"/>
      <c r="BG1467" s="2"/>
      <c r="BH1467" s="2"/>
      <c r="BI1467" s="2"/>
      <c r="BJ1467" s="2"/>
      <c r="BK1467" s="2"/>
      <c r="BM1467" s="2"/>
      <c r="BN1467" s="2"/>
      <c r="BO1467" s="2"/>
      <c r="BP1467" s="2"/>
      <c r="BQ1467" s="2"/>
      <c r="BR1467" s="6"/>
      <c r="BS1467" s="6"/>
      <c r="BT1467" s="2"/>
      <c r="BU1467" s="2"/>
      <c r="BV1467" s="2"/>
      <c r="BW1467" s="2"/>
      <c r="BX1467" s="2"/>
      <c r="BY1467" s="2"/>
      <c r="BZ1467" s="2"/>
      <c r="CA1467" s="2"/>
      <c r="CB1467" s="2"/>
      <c r="CC1467" s="2"/>
      <c r="CD1467" s="3"/>
      <c r="CE1467" s="2"/>
      <c r="CF1467" s="4"/>
      <c r="CG1467" s="4"/>
      <c r="CI1467" s="2"/>
    </row>
    <row r="1468" spans="1:87" s="101" customFormat="1" x14ac:dyDescent="0.35">
      <c r="A1468" s="1"/>
      <c r="C1468" s="1"/>
      <c r="G1468" s="2"/>
      <c r="H1468" s="2"/>
      <c r="I1468" s="2"/>
      <c r="J1468" s="2"/>
      <c r="K1468" s="81"/>
      <c r="L1468" s="4"/>
      <c r="M1468" s="4"/>
      <c r="N1468" s="4"/>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3"/>
      <c r="AP1468" s="2"/>
      <c r="AQ1468" s="2"/>
      <c r="AR1468" s="2"/>
      <c r="AS1468" s="2"/>
      <c r="AT1468" s="2"/>
      <c r="AU1468" s="2"/>
      <c r="AV1468" s="2"/>
      <c r="AW1468" s="2"/>
      <c r="AX1468" s="2"/>
      <c r="AY1468" s="2"/>
      <c r="AZ1468" s="5"/>
      <c r="BA1468" s="2"/>
      <c r="BD1468" s="2"/>
      <c r="BE1468" s="2"/>
      <c r="BF1468" s="2"/>
      <c r="BG1468" s="2"/>
      <c r="BH1468" s="2"/>
      <c r="BI1468" s="2"/>
      <c r="BJ1468" s="2"/>
      <c r="BK1468" s="2"/>
      <c r="BM1468" s="2"/>
      <c r="BN1468" s="2"/>
      <c r="BO1468" s="2"/>
      <c r="BP1468" s="2"/>
      <c r="BQ1468" s="2"/>
      <c r="BR1468" s="6"/>
      <c r="BS1468" s="6"/>
      <c r="BT1468" s="2"/>
      <c r="BU1468" s="2"/>
      <c r="BV1468" s="2"/>
      <c r="BW1468" s="2"/>
      <c r="BX1468" s="2"/>
      <c r="BY1468" s="2"/>
      <c r="BZ1468" s="2"/>
      <c r="CA1468" s="2"/>
      <c r="CB1468" s="2"/>
      <c r="CC1468" s="2"/>
      <c r="CD1468" s="3"/>
      <c r="CE1468" s="2"/>
      <c r="CF1468" s="4"/>
      <c r="CG1468" s="4"/>
      <c r="CI1468" s="2"/>
    </row>
    <row r="1469" spans="1:87" s="101" customFormat="1" x14ac:dyDescent="0.35">
      <c r="A1469" s="1"/>
      <c r="C1469" s="1"/>
      <c r="G1469" s="2"/>
      <c r="H1469" s="2"/>
      <c r="I1469" s="2"/>
      <c r="J1469" s="2"/>
      <c r="K1469" s="81"/>
      <c r="L1469" s="4"/>
      <c r="M1469" s="4"/>
      <c r="N1469" s="4"/>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3"/>
      <c r="AP1469" s="2"/>
      <c r="AQ1469" s="2"/>
      <c r="AR1469" s="2"/>
      <c r="AS1469" s="2"/>
      <c r="AT1469" s="2"/>
      <c r="AU1469" s="2"/>
      <c r="AV1469" s="2"/>
      <c r="AW1469" s="2"/>
      <c r="AX1469" s="2"/>
      <c r="AY1469" s="2"/>
      <c r="AZ1469" s="5"/>
      <c r="BA1469" s="2"/>
      <c r="BD1469" s="2"/>
      <c r="BE1469" s="2"/>
      <c r="BF1469" s="2"/>
      <c r="BG1469" s="2"/>
      <c r="BH1469" s="2"/>
      <c r="BI1469" s="2"/>
      <c r="BJ1469" s="2"/>
      <c r="BK1469" s="2"/>
      <c r="BM1469" s="2"/>
      <c r="BN1469" s="2"/>
      <c r="BO1469" s="2"/>
      <c r="BP1469" s="2"/>
      <c r="BQ1469" s="2"/>
      <c r="BR1469" s="6"/>
      <c r="BS1469" s="6"/>
      <c r="BT1469" s="2"/>
      <c r="BU1469" s="2"/>
      <c r="BV1469" s="2"/>
      <c r="BW1469" s="2"/>
      <c r="BX1469" s="2"/>
      <c r="BY1469" s="2"/>
      <c r="BZ1469" s="2"/>
      <c r="CA1469" s="2"/>
      <c r="CB1469" s="2"/>
      <c r="CC1469" s="2"/>
      <c r="CD1469" s="3"/>
      <c r="CE1469" s="2"/>
      <c r="CF1469" s="4"/>
      <c r="CG1469" s="4"/>
      <c r="CI1469" s="2"/>
    </row>
    <row r="1470" spans="1:87" s="101" customFormat="1" x14ac:dyDescent="0.35">
      <c r="A1470" s="1"/>
      <c r="C1470" s="1"/>
      <c r="G1470" s="2"/>
      <c r="H1470" s="2"/>
      <c r="I1470" s="2"/>
      <c r="J1470" s="2"/>
      <c r="K1470" s="81"/>
      <c r="L1470" s="4"/>
      <c r="M1470" s="4"/>
      <c r="N1470" s="4"/>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3"/>
      <c r="AP1470" s="2"/>
      <c r="AQ1470" s="2"/>
      <c r="AR1470" s="2"/>
      <c r="AS1470" s="2"/>
      <c r="AT1470" s="2"/>
      <c r="AU1470" s="2"/>
      <c r="AV1470" s="2"/>
      <c r="AW1470" s="2"/>
      <c r="AX1470" s="2"/>
      <c r="AY1470" s="2"/>
      <c r="AZ1470" s="5"/>
      <c r="BA1470" s="2"/>
      <c r="BD1470" s="2"/>
      <c r="BE1470" s="2"/>
      <c r="BF1470" s="2"/>
      <c r="BG1470" s="2"/>
      <c r="BH1470" s="2"/>
      <c r="BI1470" s="2"/>
      <c r="BJ1470" s="2"/>
      <c r="BK1470" s="2"/>
      <c r="BM1470" s="2"/>
      <c r="BN1470" s="2"/>
      <c r="BO1470" s="2"/>
      <c r="BP1470" s="2"/>
      <c r="BQ1470" s="2"/>
      <c r="BR1470" s="6"/>
      <c r="BS1470" s="6"/>
      <c r="BT1470" s="2"/>
      <c r="BU1470" s="2"/>
      <c r="BV1470" s="2"/>
      <c r="BW1470" s="2"/>
      <c r="BX1470" s="2"/>
      <c r="BY1470" s="2"/>
      <c r="BZ1470" s="2"/>
      <c r="CA1470" s="2"/>
      <c r="CB1470" s="2"/>
      <c r="CC1470" s="2"/>
      <c r="CD1470" s="3"/>
      <c r="CE1470" s="2"/>
      <c r="CF1470" s="4"/>
      <c r="CG1470" s="4"/>
      <c r="CI1470" s="2"/>
    </row>
    <row r="1471" spans="1:87" s="101" customFormat="1" x14ac:dyDescent="0.35">
      <c r="A1471" s="1"/>
      <c r="C1471" s="1"/>
      <c r="G1471" s="2"/>
      <c r="H1471" s="2"/>
      <c r="I1471" s="2"/>
      <c r="J1471" s="2"/>
      <c r="K1471" s="81"/>
      <c r="L1471" s="4"/>
      <c r="M1471" s="4"/>
      <c r="N1471" s="4"/>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3"/>
      <c r="AP1471" s="2"/>
      <c r="AQ1471" s="2"/>
      <c r="AR1471" s="2"/>
      <c r="AS1471" s="2"/>
      <c r="AT1471" s="2"/>
      <c r="AU1471" s="2"/>
      <c r="AV1471" s="2"/>
      <c r="AW1471" s="2"/>
      <c r="AX1471" s="2"/>
      <c r="AY1471" s="2"/>
      <c r="AZ1471" s="5"/>
      <c r="BA1471" s="2"/>
      <c r="BD1471" s="2"/>
      <c r="BE1471" s="2"/>
      <c r="BF1471" s="2"/>
      <c r="BG1471" s="2"/>
      <c r="BH1471" s="2"/>
      <c r="BI1471" s="2"/>
      <c r="BJ1471" s="2"/>
      <c r="BK1471" s="2"/>
      <c r="BM1471" s="2"/>
      <c r="BN1471" s="2"/>
      <c r="BO1471" s="2"/>
      <c r="BP1471" s="2"/>
      <c r="BQ1471" s="2"/>
      <c r="BR1471" s="6"/>
      <c r="BS1471" s="6"/>
      <c r="BT1471" s="2"/>
      <c r="BU1471" s="2"/>
      <c r="BV1471" s="2"/>
      <c r="BW1471" s="2"/>
      <c r="BX1471" s="2"/>
      <c r="BY1471" s="2"/>
      <c r="BZ1471" s="2"/>
      <c r="CA1471" s="2"/>
      <c r="CB1471" s="2"/>
      <c r="CC1471" s="2"/>
      <c r="CD1471" s="3"/>
      <c r="CE1471" s="2"/>
      <c r="CF1471" s="4"/>
      <c r="CG1471" s="4"/>
      <c r="CI1471" s="2"/>
    </row>
    <row r="1472" spans="1:87" s="101" customFormat="1" x14ac:dyDescent="0.35">
      <c r="A1472" s="1"/>
      <c r="C1472" s="1"/>
      <c r="G1472" s="2"/>
      <c r="H1472" s="2"/>
      <c r="I1472" s="2"/>
      <c r="J1472" s="2"/>
      <c r="K1472" s="81"/>
      <c r="L1472" s="4"/>
      <c r="M1472" s="4"/>
      <c r="N1472" s="4"/>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3"/>
      <c r="AP1472" s="2"/>
      <c r="AQ1472" s="2"/>
      <c r="AR1472" s="2"/>
      <c r="AS1472" s="2"/>
      <c r="AT1472" s="2"/>
      <c r="AU1472" s="2"/>
      <c r="AV1472" s="2"/>
      <c r="AW1472" s="2"/>
      <c r="AX1472" s="2"/>
      <c r="AY1472" s="2"/>
      <c r="AZ1472" s="5"/>
      <c r="BA1472" s="2"/>
      <c r="BD1472" s="2"/>
      <c r="BE1472" s="2"/>
      <c r="BF1472" s="2"/>
      <c r="BG1472" s="2"/>
      <c r="BH1472" s="2"/>
      <c r="BI1472" s="2"/>
      <c r="BJ1472" s="2"/>
      <c r="BK1472" s="2"/>
      <c r="BM1472" s="2"/>
      <c r="BN1472" s="2"/>
      <c r="BO1472" s="2"/>
      <c r="BP1472" s="2"/>
      <c r="BQ1472" s="2"/>
      <c r="BR1472" s="6"/>
      <c r="BS1472" s="6"/>
      <c r="BT1472" s="2"/>
      <c r="BU1472" s="2"/>
      <c r="BV1472" s="2"/>
      <c r="BW1472" s="2"/>
      <c r="BX1472" s="2"/>
      <c r="BY1472" s="2"/>
      <c r="BZ1472" s="2"/>
      <c r="CA1472" s="2"/>
      <c r="CB1472" s="2"/>
      <c r="CC1472" s="2"/>
      <c r="CD1472" s="3"/>
      <c r="CE1472" s="2"/>
      <c r="CF1472" s="4"/>
      <c r="CG1472" s="4"/>
      <c r="CI1472" s="2"/>
    </row>
    <row r="1473" spans="1:87" s="101" customFormat="1" x14ac:dyDescent="0.35">
      <c r="A1473" s="1"/>
      <c r="C1473" s="1"/>
      <c r="G1473" s="2"/>
      <c r="H1473" s="2"/>
      <c r="I1473" s="2"/>
      <c r="J1473" s="2"/>
      <c r="K1473" s="81"/>
      <c r="L1473" s="4"/>
      <c r="M1473" s="4"/>
      <c r="N1473" s="4"/>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3"/>
      <c r="AP1473" s="2"/>
      <c r="AQ1473" s="2"/>
      <c r="AR1473" s="2"/>
      <c r="AS1473" s="2"/>
      <c r="AT1473" s="2"/>
      <c r="AU1473" s="2"/>
      <c r="AV1473" s="2"/>
      <c r="AW1473" s="2"/>
      <c r="AX1473" s="2"/>
      <c r="AY1473" s="2"/>
      <c r="AZ1473" s="5"/>
      <c r="BA1473" s="2"/>
      <c r="BD1473" s="2"/>
      <c r="BE1473" s="2"/>
      <c r="BF1473" s="2"/>
      <c r="BG1473" s="2"/>
      <c r="BH1473" s="2"/>
      <c r="BI1473" s="2"/>
      <c r="BJ1473" s="2"/>
      <c r="BK1473" s="2"/>
      <c r="BM1473" s="2"/>
      <c r="BN1473" s="2"/>
      <c r="BO1473" s="2"/>
      <c r="BP1473" s="2"/>
      <c r="BQ1473" s="2"/>
      <c r="BR1473" s="6"/>
      <c r="BS1473" s="6"/>
      <c r="BT1473" s="2"/>
      <c r="BU1473" s="2"/>
      <c r="BV1473" s="2"/>
      <c r="BW1473" s="2"/>
      <c r="BX1473" s="2"/>
      <c r="BY1473" s="2"/>
      <c r="BZ1473" s="2"/>
      <c r="CA1473" s="2"/>
      <c r="CB1473" s="2"/>
      <c r="CC1473" s="2"/>
      <c r="CD1473" s="3"/>
      <c r="CE1473" s="2"/>
      <c r="CF1473" s="4"/>
      <c r="CG1473" s="4"/>
      <c r="CI1473" s="2"/>
    </row>
    <row r="1474" spans="1:87" s="101" customFormat="1" x14ac:dyDescent="0.35">
      <c r="A1474" s="1"/>
      <c r="C1474" s="1"/>
      <c r="G1474" s="2"/>
      <c r="H1474" s="2"/>
      <c r="I1474" s="2"/>
      <c r="J1474" s="2"/>
      <c r="K1474" s="81"/>
      <c r="L1474" s="4"/>
      <c r="M1474" s="4"/>
      <c r="N1474" s="4"/>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3"/>
      <c r="AP1474" s="2"/>
      <c r="AQ1474" s="2"/>
      <c r="AR1474" s="2"/>
      <c r="AS1474" s="2"/>
      <c r="AT1474" s="2"/>
      <c r="AU1474" s="2"/>
      <c r="AV1474" s="2"/>
      <c r="AW1474" s="2"/>
      <c r="AX1474" s="2"/>
      <c r="AY1474" s="2"/>
      <c r="AZ1474" s="5"/>
      <c r="BA1474" s="2"/>
      <c r="BD1474" s="2"/>
      <c r="BE1474" s="2"/>
      <c r="BF1474" s="2"/>
      <c r="BG1474" s="2"/>
      <c r="BH1474" s="2"/>
      <c r="BI1474" s="2"/>
      <c r="BJ1474" s="2"/>
      <c r="BK1474" s="2"/>
      <c r="BM1474" s="2"/>
      <c r="BN1474" s="2"/>
      <c r="BO1474" s="2"/>
      <c r="BP1474" s="2"/>
      <c r="BQ1474" s="2"/>
      <c r="BR1474" s="6"/>
      <c r="BS1474" s="6"/>
      <c r="BT1474" s="2"/>
      <c r="BU1474" s="2"/>
      <c r="BV1474" s="2"/>
      <c r="BW1474" s="2"/>
      <c r="BX1474" s="2"/>
      <c r="BY1474" s="2"/>
      <c r="BZ1474" s="2"/>
      <c r="CA1474" s="2"/>
      <c r="CB1474" s="2"/>
      <c r="CC1474" s="2"/>
      <c r="CD1474" s="3"/>
      <c r="CE1474" s="2"/>
      <c r="CF1474" s="4"/>
      <c r="CG1474" s="4"/>
      <c r="CI1474" s="2"/>
    </row>
    <row r="1475" spans="1:87" s="101" customFormat="1" x14ac:dyDescent="0.35">
      <c r="A1475" s="1"/>
      <c r="C1475" s="1"/>
      <c r="G1475" s="2"/>
      <c r="H1475" s="2"/>
      <c r="I1475" s="2"/>
      <c r="J1475" s="2"/>
      <c r="K1475" s="81"/>
      <c r="L1475" s="4"/>
      <c r="M1475" s="4"/>
      <c r="N1475" s="4"/>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3"/>
      <c r="AP1475" s="2"/>
      <c r="AQ1475" s="2"/>
      <c r="AR1475" s="2"/>
      <c r="AS1475" s="2"/>
      <c r="AT1475" s="2"/>
      <c r="AU1475" s="2"/>
      <c r="AV1475" s="2"/>
      <c r="AW1475" s="2"/>
      <c r="AX1475" s="2"/>
      <c r="AY1475" s="2"/>
      <c r="AZ1475" s="5"/>
      <c r="BA1475" s="2"/>
      <c r="BD1475" s="2"/>
      <c r="BE1475" s="2"/>
      <c r="BF1475" s="2"/>
      <c r="BG1475" s="2"/>
      <c r="BH1475" s="2"/>
      <c r="BI1475" s="2"/>
      <c r="BJ1475" s="2"/>
      <c r="BK1475" s="2"/>
      <c r="BM1475" s="2"/>
      <c r="BN1475" s="2"/>
      <c r="BO1475" s="2"/>
      <c r="BP1475" s="2"/>
      <c r="BQ1475" s="2"/>
      <c r="BR1475" s="6"/>
      <c r="BS1475" s="6"/>
      <c r="BT1475" s="2"/>
      <c r="BU1475" s="2"/>
      <c r="BV1475" s="2"/>
      <c r="BW1475" s="2"/>
      <c r="BX1475" s="2"/>
      <c r="BY1475" s="2"/>
      <c r="BZ1475" s="2"/>
      <c r="CA1475" s="2"/>
      <c r="CB1475" s="2"/>
      <c r="CC1475" s="2"/>
      <c r="CD1475" s="3"/>
      <c r="CE1475" s="2"/>
      <c r="CF1475" s="4"/>
      <c r="CG1475" s="4"/>
      <c r="CI1475" s="2"/>
    </row>
    <row r="1476" spans="1:87" s="101" customFormat="1" x14ac:dyDescent="0.35">
      <c r="A1476" s="1"/>
      <c r="C1476" s="1"/>
      <c r="G1476" s="2"/>
      <c r="H1476" s="2"/>
      <c r="I1476" s="2"/>
      <c r="J1476" s="2"/>
      <c r="K1476" s="81"/>
      <c r="L1476" s="4"/>
      <c r="M1476" s="4"/>
      <c r="N1476" s="4"/>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3"/>
      <c r="AP1476" s="2"/>
      <c r="AQ1476" s="2"/>
      <c r="AR1476" s="2"/>
      <c r="AS1476" s="2"/>
      <c r="AT1476" s="2"/>
      <c r="AU1476" s="2"/>
      <c r="AV1476" s="2"/>
      <c r="AW1476" s="2"/>
      <c r="AX1476" s="2"/>
      <c r="AY1476" s="2"/>
      <c r="AZ1476" s="5"/>
      <c r="BA1476" s="2"/>
      <c r="BD1476" s="2"/>
      <c r="BE1476" s="2"/>
      <c r="BF1476" s="2"/>
      <c r="BG1476" s="2"/>
      <c r="BH1476" s="2"/>
      <c r="BI1476" s="2"/>
      <c r="BJ1476" s="2"/>
      <c r="BK1476" s="2"/>
      <c r="BM1476" s="2"/>
      <c r="BN1476" s="2"/>
      <c r="BO1476" s="2"/>
      <c r="BP1476" s="2"/>
      <c r="BQ1476" s="2"/>
      <c r="BR1476" s="6"/>
      <c r="BS1476" s="6"/>
      <c r="BT1476" s="2"/>
      <c r="BU1476" s="2"/>
      <c r="BV1476" s="2"/>
      <c r="BW1476" s="2"/>
      <c r="BX1476" s="2"/>
      <c r="BY1476" s="2"/>
      <c r="BZ1476" s="2"/>
      <c r="CA1476" s="2"/>
      <c r="CB1476" s="2"/>
      <c r="CC1476" s="2"/>
      <c r="CD1476" s="3"/>
      <c r="CE1476" s="2"/>
      <c r="CF1476" s="4"/>
      <c r="CG1476" s="4"/>
      <c r="CI1476" s="2"/>
    </row>
  </sheetData>
  <autoFilter ref="A1:CI308" xr:uid="{0928E64A-6BA2-4BC2-807B-24BA5FBA89A5}"/>
  <sortState xmlns:xlrd2="http://schemas.microsoft.com/office/spreadsheetml/2017/richdata2" ref="A2:CI1476">
    <sortCondition ref="A1:A1476" customList="1,2,3,4,5,6,7,8,9,10,11,12,13,14,15,16,17,18,19,20,21,22,23,24,25,26,27,28,29,30,31"/>
  </sortState>
  <phoneticPr fontId="3" type="noConversion"/>
  <dataValidations count="3">
    <dataValidation type="list" allowBlank="1" showInputMessage="1" showErrorMessage="1" sqref="B216:B228 B96:B98 B14:B88 B154:B197 B151:B152 B146:B149 B117:B141 B100:B114 B201:B214 B2:B9" xr:uid="{5CF683C5-6BE7-413A-B63E-32AACDF271DB}">
      <formula1>$B$1:$B$174</formula1>
    </dataValidation>
    <dataValidation type="list" allowBlank="1" showInputMessage="1" showErrorMessage="1" sqref="B1" xr:uid="{5ACF1FC0-8B24-497B-8E9E-2C8206A501E0}">
      <formula1>#REF!</formula1>
    </dataValidation>
    <dataValidation type="list" allowBlank="1" showInputMessage="1" showErrorMessage="1" sqref="B281:B291" xr:uid="{86238B50-5898-4563-A868-562F014EEC4F}">
      <formula1>$D$1:$D$233</formula1>
    </dataValidation>
  </dataValidation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Dataset_Main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Uhlendorf</dc:creator>
  <cp:lastModifiedBy>Kim Uhlendorf</cp:lastModifiedBy>
  <dcterms:created xsi:type="dcterms:W3CDTF">2023-12-21T13:36:29Z</dcterms:created>
  <dcterms:modified xsi:type="dcterms:W3CDTF">2026-03-16T12:35:06Z</dcterms:modified>
</cp:coreProperties>
</file>