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TD1955\sciebo\sciebo2021\Arbeit\WMA\PhD Projekt\Meta Analysis\Meta Analysis_Analysis\Data_final\"/>
    </mc:Choice>
  </mc:AlternateContent>
  <xr:revisionPtr revIDLastSave="0" documentId="13_ncr:1_{FB943ED0-719A-4B06-B87A-3A825AABE247}" xr6:coauthVersionLast="47" xr6:coauthVersionMax="47" xr10:uidLastSave="{00000000-0000-0000-0000-000000000000}"/>
  <bookViews>
    <workbookView xWindow="-120" yWindow="-16320" windowWidth="29040" windowHeight="15720" xr2:uid="{00000000-000D-0000-FFFF-FFFF00000000}"/>
  </bookViews>
  <sheets>
    <sheet name="Tabelle1" sheetId="1" r:id="rId1"/>
  </sheets>
  <definedNames>
    <definedName name="_xlnm._FilterDatabase" localSheetId="0" hidden="1">Tabelle1!$BI$1:$BI$949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P2" i="1" l="1"/>
  <c r="BM2" i="1"/>
  <c r="BP3" i="1"/>
  <c r="BM9" i="1"/>
  <c r="BN9" i="1" s="1"/>
  <c r="BM42" i="1"/>
  <c r="BN42" i="1" s="1"/>
  <c r="BM43" i="1"/>
  <c r="BM44" i="1"/>
  <c r="BM45" i="1"/>
  <c r="BN44" i="1" l="1"/>
  <c r="BN43" i="1"/>
  <c r="BN45" i="1"/>
  <c r="BJ67" i="1"/>
  <c r="BL67" i="1"/>
  <c r="BM67" i="1" s="1"/>
  <c r="BJ65" i="1"/>
  <c r="BL65" i="1" s="1"/>
  <c r="BM65" i="1" s="1"/>
  <c r="BK67" i="1"/>
  <c r="BQ67" i="1" s="1"/>
  <c r="BL66" i="1"/>
  <c r="BM66" i="1" s="1"/>
  <c r="BK66" i="1"/>
  <c r="BQ66" i="1" s="1"/>
  <c r="BK65" i="1"/>
  <c r="BQ65" i="1" s="1"/>
  <c r="BK63" i="1"/>
  <c r="BK64" i="1"/>
  <c r="BQ64" i="1" s="1"/>
  <c r="BL64" i="1"/>
  <c r="BM64" i="1" s="1"/>
  <c r="BL63" i="1"/>
  <c r="BM63" i="1" s="1"/>
  <c r="BL62" i="1"/>
  <c r="BM62" i="1" s="1"/>
  <c r="BK62" i="1"/>
  <c r="BQ62" i="1" s="1"/>
  <c r="BK61" i="1"/>
  <c r="BQ61" i="1" s="1"/>
  <c r="BL61" i="1"/>
  <c r="BM61" i="1" s="1"/>
  <c r="BL60" i="1"/>
  <c r="BM60" i="1" s="1"/>
  <c r="BK60" i="1"/>
  <c r="BQ60" i="1" s="1"/>
  <c r="BL59" i="1"/>
  <c r="BM59" i="1" s="1"/>
  <c r="BK59" i="1"/>
  <c r="BQ59" i="1" s="1"/>
  <c r="BK56" i="1"/>
  <c r="BQ56" i="1" s="1"/>
  <c r="BK57" i="1"/>
  <c r="BQ57" i="1" s="1"/>
  <c r="BK58" i="1"/>
  <c r="BQ58" i="1" s="1"/>
  <c r="BL58" i="1"/>
  <c r="BM58" i="1" s="1"/>
  <c r="BL57" i="1"/>
  <c r="BM57" i="1" s="1"/>
  <c r="BL56" i="1"/>
  <c r="BM56" i="1" s="1"/>
  <c r="BK55" i="1"/>
  <c r="BQ55" i="1" s="1"/>
  <c r="BK54" i="1"/>
  <c r="BQ54" i="1" s="1"/>
  <c r="BL47" i="1"/>
  <c r="BM47" i="1" s="1"/>
  <c r="BL48" i="1"/>
  <c r="BM48" i="1" s="1"/>
  <c r="BL49" i="1"/>
  <c r="BM49" i="1" s="1"/>
  <c r="BL50" i="1"/>
  <c r="BM50" i="1" s="1"/>
  <c r="BL51" i="1"/>
  <c r="BM51" i="1" s="1"/>
  <c r="BL52" i="1"/>
  <c r="BM52" i="1" s="1"/>
  <c r="BL53" i="1"/>
  <c r="BM53" i="1" s="1"/>
  <c r="BL54" i="1"/>
  <c r="BM54" i="1" s="1"/>
  <c r="BL55" i="1"/>
  <c r="BM55" i="1" s="1"/>
  <c r="BL46" i="1"/>
  <c r="BM46" i="1" s="1"/>
  <c r="BK46" i="1"/>
  <c r="BQ46" i="1" s="1"/>
  <c r="BK47" i="1"/>
  <c r="BQ47" i="1" s="1"/>
  <c r="BK48" i="1"/>
  <c r="BK49" i="1"/>
  <c r="BQ49" i="1" s="1"/>
  <c r="BK50" i="1"/>
  <c r="BQ50" i="1" s="1"/>
  <c r="BK51" i="1"/>
  <c r="BQ51" i="1" s="1"/>
  <c r="BK52" i="1"/>
  <c r="BQ52" i="1" s="1"/>
  <c r="BK53" i="1"/>
  <c r="BQ53" i="1" s="1"/>
  <c r="BK45" i="1"/>
  <c r="BQ45" i="1" s="1"/>
  <c r="BK42" i="1"/>
  <c r="BK43" i="1"/>
  <c r="BO43" i="1" s="1"/>
  <c r="BK44" i="1"/>
  <c r="BO44" i="1" s="1"/>
  <c r="BL41" i="1"/>
  <c r="BM41" i="1" s="1"/>
  <c r="BK41" i="1"/>
  <c r="BQ41" i="1" s="1"/>
  <c r="BL37" i="1"/>
  <c r="BM37" i="1" s="1"/>
  <c r="BK37" i="1"/>
  <c r="BQ37" i="1" s="1"/>
  <c r="BL36" i="1"/>
  <c r="BM36" i="1" s="1"/>
  <c r="BL34" i="1"/>
  <c r="BM34" i="1" s="1"/>
  <c r="BK36" i="1"/>
  <c r="BQ36" i="1" s="1"/>
  <c r="BK34" i="1"/>
  <c r="BQ34" i="1" s="1"/>
  <c r="BQ12" i="1"/>
  <c r="BL12" i="1"/>
  <c r="BM12" i="1" s="1"/>
  <c r="BK3" i="1"/>
  <c r="BQ3" i="1" s="1"/>
  <c r="BK4" i="1"/>
  <c r="BQ4" i="1" s="1"/>
  <c r="BK5" i="1"/>
  <c r="BQ5" i="1" s="1"/>
  <c r="BK6" i="1"/>
  <c r="BQ6" i="1" s="1"/>
  <c r="BK7" i="1"/>
  <c r="BQ7" i="1" s="1"/>
  <c r="BK8" i="1"/>
  <c r="BQ8" i="1" s="1"/>
  <c r="BK9" i="1"/>
  <c r="BQ9" i="1" s="1"/>
  <c r="BK10" i="1"/>
  <c r="BQ10" i="1" s="1"/>
  <c r="BK11" i="1"/>
  <c r="BQ11" i="1" s="1"/>
  <c r="BK13" i="1"/>
  <c r="BQ13" i="1" s="1"/>
  <c r="BK14" i="1"/>
  <c r="BQ14" i="1" s="1"/>
  <c r="BK15" i="1"/>
  <c r="BQ15" i="1" s="1"/>
  <c r="BK16" i="1"/>
  <c r="BQ16" i="1" s="1"/>
  <c r="BK17" i="1"/>
  <c r="BQ17" i="1" s="1"/>
  <c r="BK18" i="1"/>
  <c r="BQ18" i="1" s="1"/>
  <c r="BK19" i="1"/>
  <c r="BQ19" i="1" s="1"/>
  <c r="BK20" i="1"/>
  <c r="BQ20" i="1" s="1"/>
  <c r="BQ21" i="1"/>
  <c r="BK22" i="1"/>
  <c r="BQ22" i="1" s="1"/>
  <c r="BK23" i="1"/>
  <c r="BQ23" i="1" s="1"/>
  <c r="BK24" i="1"/>
  <c r="BQ24" i="1" s="1"/>
  <c r="BK25" i="1"/>
  <c r="BQ25" i="1" s="1"/>
  <c r="BK26" i="1"/>
  <c r="BQ26" i="1" s="1"/>
  <c r="BK27" i="1"/>
  <c r="BQ27" i="1" s="1"/>
  <c r="BK28" i="1"/>
  <c r="BQ28" i="1" s="1"/>
  <c r="BK29" i="1"/>
  <c r="BQ29" i="1" s="1"/>
  <c r="BK30" i="1"/>
  <c r="BQ30" i="1" s="1"/>
  <c r="BK31" i="1"/>
  <c r="BQ31" i="1" s="1"/>
  <c r="BK32" i="1"/>
  <c r="BQ32" i="1" s="1"/>
  <c r="BK33" i="1"/>
  <c r="BQ33" i="1" s="1"/>
  <c r="BK35" i="1"/>
  <c r="BQ35" i="1" s="1"/>
  <c r="BK38" i="1"/>
  <c r="BQ38" i="1" s="1"/>
  <c r="BK39" i="1"/>
  <c r="BQ39" i="1" s="1"/>
  <c r="BK40" i="1"/>
  <c r="BQ40" i="1" s="1"/>
  <c r="BK2" i="1"/>
  <c r="BQ2" i="1" s="1"/>
  <c r="BL3" i="1"/>
  <c r="BM3" i="1" s="1"/>
  <c r="BL4" i="1"/>
  <c r="BM4" i="1" s="1"/>
  <c r="BL5" i="1"/>
  <c r="BM5" i="1" s="1"/>
  <c r="BL6" i="1"/>
  <c r="BM6" i="1" s="1"/>
  <c r="BL7" i="1"/>
  <c r="BM7" i="1" s="1"/>
  <c r="BL8" i="1"/>
  <c r="BM8" i="1" s="1"/>
  <c r="BL10" i="1"/>
  <c r="BM10" i="1" s="1"/>
  <c r="BL11" i="1"/>
  <c r="BM11" i="1" s="1"/>
  <c r="BL13" i="1"/>
  <c r="BM13" i="1" s="1"/>
  <c r="BL14" i="1"/>
  <c r="BM14" i="1" s="1"/>
  <c r="BL15" i="1"/>
  <c r="BM15" i="1" s="1"/>
  <c r="BL16" i="1"/>
  <c r="BM16" i="1" s="1"/>
  <c r="BL17" i="1"/>
  <c r="BM17" i="1" s="1"/>
  <c r="BL18" i="1"/>
  <c r="BM18" i="1" s="1"/>
  <c r="BL19" i="1"/>
  <c r="BM19" i="1" s="1"/>
  <c r="BL20" i="1"/>
  <c r="BM20" i="1" s="1"/>
  <c r="BL21" i="1"/>
  <c r="BM21" i="1" s="1"/>
  <c r="BL22" i="1"/>
  <c r="BM22" i="1" s="1"/>
  <c r="BL23" i="1"/>
  <c r="BM23" i="1" s="1"/>
  <c r="BL24" i="1"/>
  <c r="BM24" i="1" s="1"/>
  <c r="BL25" i="1"/>
  <c r="BM25" i="1" s="1"/>
  <c r="BL26" i="1"/>
  <c r="BM26" i="1" s="1"/>
  <c r="BL27" i="1"/>
  <c r="BM27" i="1" s="1"/>
  <c r="BL28" i="1"/>
  <c r="BM28" i="1" s="1"/>
  <c r="BL29" i="1"/>
  <c r="BM29" i="1" s="1"/>
  <c r="BL30" i="1"/>
  <c r="BM30" i="1" s="1"/>
  <c r="BL31" i="1"/>
  <c r="BM31" i="1" s="1"/>
  <c r="BL32" i="1"/>
  <c r="BM32" i="1" s="1"/>
  <c r="BL33" i="1"/>
  <c r="BM33" i="1" s="1"/>
  <c r="BL35" i="1"/>
  <c r="BM35" i="1" s="1"/>
  <c r="BL38" i="1"/>
  <c r="BM38" i="1" s="1"/>
  <c r="BL39" i="1"/>
  <c r="BM39" i="1" s="1"/>
  <c r="BL40" i="1"/>
  <c r="BM40" i="1" s="1"/>
  <c r="BL2" i="1"/>
  <c r="BP9" i="1" l="1"/>
  <c r="BP15" i="1"/>
  <c r="BN15" i="1"/>
  <c r="BO2" i="1"/>
  <c r="BP30" i="1"/>
  <c r="BN30" i="1"/>
  <c r="BP22" i="1"/>
  <c r="BN22" i="1"/>
  <c r="BP14" i="1"/>
  <c r="BN14" i="1"/>
  <c r="BP4" i="1"/>
  <c r="BN4" i="1"/>
  <c r="BP51" i="1"/>
  <c r="BN51" i="1"/>
  <c r="BN57" i="1"/>
  <c r="BP57" i="1"/>
  <c r="BP60" i="1"/>
  <c r="BN60" i="1"/>
  <c r="BP5" i="1"/>
  <c r="BN5" i="1"/>
  <c r="BN56" i="1"/>
  <c r="BP56" i="1"/>
  <c r="BP21" i="1"/>
  <c r="BN21" i="1"/>
  <c r="BN34" i="1"/>
  <c r="BP34" i="1"/>
  <c r="BO42" i="1"/>
  <c r="BP42" i="1"/>
  <c r="BN50" i="1"/>
  <c r="BP50" i="1"/>
  <c r="BN58" i="1"/>
  <c r="BP58" i="1"/>
  <c r="BP61" i="1"/>
  <c r="BN61" i="1"/>
  <c r="BP11" i="1"/>
  <c r="BN11" i="1"/>
  <c r="BP36" i="1"/>
  <c r="BN36" i="1"/>
  <c r="BN49" i="1"/>
  <c r="BP49" i="1"/>
  <c r="BN31" i="1"/>
  <c r="BP31" i="1"/>
  <c r="BP29" i="1"/>
  <c r="BN29" i="1"/>
  <c r="BN3" i="1"/>
  <c r="BP39" i="1"/>
  <c r="BN39" i="1"/>
  <c r="BP28" i="1"/>
  <c r="BN28" i="1"/>
  <c r="BP20" i="1"/>
  <c r="BN20" i="1"/>
  <c r="BP38" i="1"/>
  <c r="BN38" i="1"/>
  <c r="BP27" i="1"/>
  <c r="BN27" i="1"/>
  <c r="BP19" i="1"/>
  <c r="BN19" i="1"/>
  <c r="BN10" i="1"/>
  <c r="BP10" i="1"/>
  <c r="BP46" i="1"/>
  <c r="BN46" i="1"/>
  <c r="BN48" i="1"/>
  <c r="BP48" i="1"/>
  <c r="BN66" i="1"/>
  <c r="BP66" i="1"/>
  <c r="BP52" i="1"/>
  <c r="BN52" i="1"/>
  <c r="BN40" i="1"/>
  <c r="BP40" i="1"/>
  <c r="BP26" i="1"/>
  <c r="BN26" i="1"/>
  <c r="BN18" i="1"/>
  <c r="BP18" i="1"/>
  <c r="BN8" i="1"/>
  <c r="BP8" i="1"/>
  <c r="BN37" i="1"/>
  <c r="BP37" i="1"/>
  <c r="BP55" i="1"/>
  <c r="BN55" i="1"/>
  <c r="BP47" i="1"/>
  <c r="BN47" i="1"/>
  <c r="BP62" i="1"/>
  <c r="BN62" i="1"/>
  <c r="BP45" i="1"/>
  <c r="BP23" i="1"/>
  <c r="BN23" i="1"/>
  <c r="BP13" i="1"/>
  <c r="BN13" i="1"/>
  <c r="BP35" i="1"/>
  <c r="BN35" i="1"/>
  <c r="BN33" i="1"/>
  <c r="BP33" i="1"/>
  <c r="BN25" i="1"/>
  <c r="BP25" i="1"/>
  <c r="BN17" i="1"/>
  <c r="BP17" i="1"/>
  <c r="BP7" i="1"/>
  <c r="BN7" i="1"/>
  <c r="BP54" i="1"/>
  <c r="BN54" i="1"/>
  <c r="BN63" i="1"/>
  <c r="BP63" i="1"/>
  <c r="BN65" i="1"/>
  <c r="BP65" i="1"/>
  <c r="BP43" i="1"/>
  <c r="BP12" i="1"/>
  <c r="BN12" i="1"/>
  <c r="BN32" i="1"/>
  <c r="BP32" i="1"/>
  <c r="BN24" i="1"/>
  <c r="BP24" i="1"/>
  <c r="BN16" i="1"/>
  <c r="BP16" i="1"/>
  <c r="BP6" i="1"/>
  <c r="BN6" i="1"/>
  <c r="BN41" i="1"/>
  <c r="BP41" i="1"/>
  <c r="BP53" i="1"/>
  <c r="BN53" i="1"/>
  <c r="BP59" i="1"/>
  <c r="BN59" i="1"/>
  <c r="BN64" i="1"/>
  <c r="BP64" i="1"/>
  <c r="BP67" i="1"/>
  <c r="BN67" i="1"/>
  <c r="BP44" i="1"/>
  <c r="BO23" i="1"/>
  <c r="BO41" i="1"/>
  <c r="BO37" i="1"/>
  <c r="BO18" i="1"/>
  <c r="BO14" i="1"/>
  <c r="BO56" i="1"/>
  <c r="BO50" i="1"/>
  <c r="BO46" i="1"/>
  <c r="BO66" i="1"/>
  <c r="BO48" i="1"/>
  <c r="BO5" i="1"/>
  <c r="BO60" i="1"/>
  <c r="BO62" i="1"/>
  <c r="BO45" i="1"/>
  <c r="BO61" i="1"/>
  <c r="BO36" i="1"/>
  <c r="BO65" i="1"/>
  <c r="BO58" i="1"/>
  <c r="BQ44" i="1"/>
  <c r="BO59" i="1"/>
  <c r="BO47" i="1"/>
  <c r="BO51" i="1"/>
  <c r="BO63" i="1"/>
  <c r="BQ43" i="1"/>
  <c r="BO57" i="1"/>
  <c r="BQ48" i="1"/>
  <c r="BO64" i="1"/>
  <c r="BQ42" i="1"/>
  <c r="BO53" i="1"/>
  <c r="BO67" i="1"/>
  <c r="BQ63" i="1"/>
  <c r="BO55" i="1"/>
  <c r="BO52" i="1"/>
  <c r="BO54" i="1"/>
  <c r="BO49" i="1"/>
  <c r="BO34" i="1"/>
  <c r="BO40" i="1"/>
  <c r="BO28" i="1"/>
  <c r="BO12" i="1"/>
  <c r="BO33" i="1"/>
  <c r="BO29" i="1"/>
  <c r="BO24" i="1"/>
  <c r="BO19" i="1"/>
  <c r="BO8" i="1"/>
  <c r="BO25" i="1"/>
  <c r="BO21" i="1"/>
  <c r="BO15" i="1"/>
  <c r="BO7" i="1"/>
  <c r="BO35" i="1"/>
  <c r="BO30" i="1"/>
  <c r="BO22" i="1"/>
  <c r="BO20" i="1"/>
  <c r="BO10" i="1"/>
  <c r="BO6" i="1"/>
  <c r="BO39" i="1"/>
  <c r="BO32" i="1"/>
  <c r="BO27" i="1"/>
  <c r="BO17" i="1"/>
  <c r="BO11" i="1"/>
  <c r="BO4" i="1"/>
  <c r="BO38" i="1"/>
  <c r="BO31" i="1"/>
  <c r="BO26" i="1"/>
  <c r="BO16" i="1"/>
  <c r="BO13" i="1"/>
  <c r="BO9" i="1"/>
  <c r="BO3" i="1"/>
  <c r="BN2" i="1" l="1"/>
</calcChain>
</file>

<file path=xl/sharedStrings.xml><?xml version="1.0" encoding="utf-8"?>
<sst xmlns="http://schemas.openxmlformats.org/spreadsheetml/2006/main" count="1961" uniqueCount="633">
  <si>
    <t>authors</t>
  </si>
  <si>
    <t>year</t>
  </si>
  <si>
    <t>title</t>
  </si>
  <si>
    <t>journal</t>
  </si>
  <si>
    <t>IDd</t>
  </si>
  <si>
    <t>sample</t>
  </si>
  <si>
    <t>Method</t>
  </si>
  <si>
    <t>IDES</t>
  </si>
  <si>
    <t>Technology</t>
  </si>
  <si>
    <t>IVlabel</t>
  </si>
  <si>
    <t>correlation</t>
  </si>
  <si>
    <t>other Ivs</t>
  </si>
  <si>
    <t>Wang/Ko/Wang</t>
  </si>
  <si>
    <t>Augmented reality (AR) app use in the beauty product industry and consumer purchase intention</t>
  </si>
  <si>
    <t>1.1</t>
  </si>
  <si>
    <t>survey</t>
  </si>
  <si>
    <t>1.1.1</t>
  </si>
  <si>
    <t>AR</t>
  </si>
  <si>
    <t>interactivity</t>
  </si>
  <si>
    <t xml:space="preserve">1. I was in control of my navigation through this Web site. 
2. I had some control over the content of this Web site that I 
wanted to see. 
3. I was in total control over the pace of my visit to this Web 
site. 
4. I could communicate with the company directly for further 
questions about the company or its products if I wanted to. 
5. The site had the ability to respond to my specific questions 
quickly and efficiently. 
6. I could communicate in real time with other customers who 
shared my interest in this product category. 
7. I just had a personal conversation with a sociable, 
knowledgeable and warm representative from the company. 
8. The Web site was like talking back to me while I clicked 
through the website. 
9. I perceive the Web site to be sensitive to my nutritional 
information needs. </t>
  </si>
  <si>
    <t>Cronbach's alpha</t>
  </si>
  <si>
    <t>Purchase intentions</t>
  </si>
  <si>
    <t>1. Never/definitely, 2. Definitely do not intend to buy/defintely intend, 3. very low/high purchase interest, 4. Definitely not buy it/definitely buy it, 5. Probably not/probably buy it</t>
  </si>
  <si>
    <t>spatial presence, vividness, aethetics, decision comfort, concentration, playfulness, exploratory behavior</t>
  </si>
  <si>
    <t>Tourism Management</t>
  </si>
  <si>
    <t>VR</t>
  </si>
  <si>
    <t>Control</t>
  </si>
  <si>
    <t>Zeng</t>
  </si>
  <si>
    <t>Adding Dimension to Content: Immersive Virtual Reality and Presence for e-commerce</t>
  </si>
  <si>
    <t>experiment</t>
  </si>
  <si>
    <t>Navigation</t>
  </si>
  <si>
    <t>1. I was in control of my navigation.
2. I had control over the content that I wanted to see.
3. I was in control over the pace to view.</t>
  </si>
  <si>
    <t>Composite Reliability</t>
  </si>
  <si>
    <t>Enticement</t>
  </si>
  <si>
    <t>1. The presentation made me want to know more about the place.
2. I was interested in visiting the real place.
3. I was enticed to explore more about the actual place.
4. I was curious about visiting the real place.</t>
  </si>
  <si>
    <t>Booking Impulse</t>
  </si>
  <si>
    <t>1. I experienced a sudden urge to book this accommodation.
2. When I saw the accommodation, I wanted to book it although initially it
was not the type of accommodation I would like to book.</t>
  </si>
  <si>
    <t>Fit-for-Purpose Actions</t>
  </si>
  <si>
    <t>1. I felt free to interact with the virtual environment.
2. I can examine objects from multiple viewpoints.
3. I can choose freely what I wanted to see about one
object.
4. I felt free to interact with objects that influence my
decision making.</t>
  </si>
  <si>
    <t>Doing there</t>
  </si>
  <si>
    <t>1. I felt I could interact with the displayed environment.
2. I felt I was visiting the places in the displayed
environment.
3. I had the sensation that I moved in response to parts of
the displayed environment.
4. I felt as though I was participating in the displayed
environment.</t>
  </si>
  <si>
    <t>Rauschnabel / Felix / Hinsch</t>
  </si>
  <si>
    <t>Augmented reality marketing: How mobile AR-apps can improve brands through inspiration</t>
  </si>
  <si>
    <t>Journal of Retailing and Consumer Service</t>
  </si>
  <si>
    <t>Changes in Brand Attitudes</t>
  </si>
  <si>
    <t>1. I like [BRAND].
2. Overall, I find the brand [BRAND] very good.</t>
  </si>
  <si>
    <t>Utilitarian Benefits, Hedonic Benefits</t>
  </si>
  <si>
    <t>Perceived Augmentation Quality</t>
  </si>
  <si>
    <t>1. I felt like the [OBJECT] was actually there in the real world. 
2. It seemed as if the [OBJECT] had shifted from the tablet into the room.
3. It seemed that everything I saw on the display was real.</t>
  </si>
  <si>
    <t>Purchase Intention</t>
  </si>
  <si>
    <t>Park / Yoo</t>
  </si>
  <si>
    <t>Effects of perceived interactivity of augmented reality on consumer responses: A mental imagery perspective</t>
  </si>
  <si>
    <t>Controllability of Interactivity</t>
  </si>
  <si>
    <t>1. I felt that I had a lot of control over my experiences of using the augmented reality (AR) function.
2. While I was using the AR, I could choose freely what I wanted to see.
3. While using the AR, I had absolutely no control over what I can do on this site (R).
4. While using the AR, my actions decided the kind of experiences I got.</t>
  </si>
  <si>
    <t>Behavioral Intentions</t>
  </si>
  <si>
    <t>1. I would purchase the product I evaluated.
2. I would recommend the app to my friends and family.
3. I would return to this app and shop for cosmetic items.</t>
  </si>
  <si>
    <t>Survey</t>
  </si>
  <si>
    <t>Interactivity</t>
  </si>
  <si>
    <t xml:space="preserve">Lee / Lee / Jeong </t>
  </si>
  <si>
    <t>The role of virtual reality on information sharing and seeking behaviors</t>
  </si>
  <si>
    <t>Journal of Hospitality and Tourism Management</t>
  </si>
  <si>
    <t>1. The virtual tour had the ability to respond to my specific questions quickly and efficiently.
 2. The virtual tour was like talking back to me while I clicked through the virtual tour.
 3. I perceive the virtual tour to be sensitive to my travel information needs.</t>
  </si>
  <si>
    <t>Cronbach’s α</t>
  </si>
  <si>
    <t>Information Sharing Behavior</t>
  </si>
  <si>
    <t>1. I will update status on social media sites (e.g., Facebook, Instagram, Twitter, or Pinterest) about this destination after this virtual tour.
 2. I will share virtual tour of this destination on social media sites (e.g., Facebook, Instagram, Twitter, or Pinterest) about my virtual tour experience.</t>
  </si>
  <si>
    <t>Information Seeking Behavior</t>
  </si>
  <si>
    <t>1. I will look for this destination’s information on social media sites (e.g., Facebook, Instagram, Twitter, or Pinterest).
 2. I will click on ads of deals and coupons about this destination.</t>
  </si>
  <si>
    <t>Sustainability</t>
  </si>
  <si>
    <t>Perceived Augmentation</t>
  </si>
  <si>
    <t>Pantano / Rese / Baier</t>
  </si>
  <si>
    <t>Enhancing the online decision-making process by using augmented reality: A two country comparison of youth markets</t>
  </si>
  <si>
    <t>1. The virtual try-on allows me to interact with it to receive tailored information about glasses.
2. The virtual try-on has interaction features, which help me to come to a decision in the selection of eyewear.
3. I am able to interact with the virtual try-on in order to get information tailored to my specific needs.
4. The degree of interaction with the virtual try-on is sufficient.</t>
  </si>
  <si>
    <t>If I were to buy glasses in the future, I would…
1. …use Ray-Ban shop and the virtual try-on immediately.
2. …give Ray-Ban shop and the virtual try-on priority over an optician’s shop.
3. …give Ray-Ban shop and the virtual try-on priority over other online shops.
4. I will recommend using Ray-Ban shop and the virtual try-on to my friends.
5. I will use Ray-Ban shop and the virtual try-on regularly in the future.</t>
  </si>
  <si>
    <t>Behavioral Intention</t>
  </si>
  <si>
    <t>Hinsch / Felix / Rauschnabel</t>
  </si>
  <si>
    <t>Nostalgia beats the wow-effect: Inspiration, awe and meaningful associations in augmented reality marketing</t>
  </si>
  <si>
    <t>Augmentation Quality</t>
  </si>
  <si>
    <t>1. I felt that the virtual characters were really there.
2. It seemed to me that the figures had come from the tablet to the table.
3. The virtual elements looked very realistic.</t>
  </si>
  <si>
    <t>Inspired-to</t>
  </si>
  <si>
    <t>1. The app inspired me to play 
with Lego again.
2. 
I felt a desire to play with 
Lego again.
3. 
I feel motivated to build
something with Lego 
again.</t>
  </si>
  <si>
    <t>Hedonic Benefits, App-ease of use, AR expertise, Nostalgia, Inspired-by, Wow-Effect, App-Brand Congruence</t>
  </si>
  <si>
    <t>Visit Intention</t>
  </si>
  <si>
    <t>Sung / Han / Choi</t>
  </si>
  <si>
    <t>Augmented reality advertising via a mobile app</t>
  </si>
  <si>
    <t>Psychology Marketing</t>
  </si>
  <si>
    <t>Experiment</t>
  </si>
  <si>
    <t>AR App Control</t>
  </si>
  <si>
    <t>1. The AR app on the mobile device responded (played) well. 
2. I could control the AR app on the mobile device (e.g., pointing the app at the Heineken
logo, pressing the play button to play the AR app).
3. I could use the AR app using my hands/fingers well via the mobile device.</t>
  </si>
  <si>
    <t>rho_A</t>
  </si>
  <si>
    <t>1. Seeing the AR advertising encourages me to try the product sometime in the near
future.
2. After seeing the AR advertising, I am likely to try the product sometime in the near
future.
3. Heineken seems to be an excellent choice.</t>
  </si>
  <si>
    <t>AR App Design, Mental Imagery, Escapism Experiences</t>
  </si>
  <si>
    <t>Brand Attitudes</t>
  </si>
  <si>
    <t>1. Heineken is relevant to me.
2. I am interested in Heineken. 
3. Heineken is valuable to me.</t>
  </si>
  <si>
    <t>Papagiannidis / Pantano / See-To / Bourlakis</t>
  </si>
  <si>
    <t>Modelling the determinants of a simulated experience in a virtual retail store and users' product purchasing intentions</t>
  </si>
  <si>
    <t>Journal of Marketing Management</t>
  </si>
  <si>
    <t>1. After visiting the shop, how likely is it that you would consider buying the real product?
2. The virtual shop experience would be helpful in aiding me to make a purchase decision if I am considering buying a product offered in the virtual shop.
3. The virtual shop experience would increase my intention to buy the products I interacted with in the virtual shop.
4. I would be willing to recommend my friends to try the virtual shop experience as a decision aid when considering what product to buy.</t>
  </si>
  <si>
    <t>Lee / Lee / Jeong / Oh</t>
  </si>
  <si>
    <t>Quality of virtual reality and ist impacts on behavioral intention</t>
  </si>
  <si>
    <t>International Journal of Hospitality Management</t>
  </si>
  <si>
    <t>Field survey</t>
  </si>
  <si>
    <t>1. I will consider Santa Clara as the first choice for my trip. 
2. I intend to visit Santa Clara in my next trip. 
3. I plan to visit Santa Clara in the future.</t>
  </si>
  <si>
    <t>System Quality</t>
  </si>
  <si>
    <t>1. The virtual tour was easy to maneuver or navigate. 
2. The interface of the virtual tour was user friendly. 
3. The virtual tour was interactive.</t>
  </si>
  <si>
    <t>Algharabat</t>
  </si>
  <si>
    <t>Intention to Purchase</t>
  </si>
  <si>
    <t>Laboratory Experiment</t>
  </si>
  <si>
    <t>Intentions to Purchase</t>
  </si>
  <si>
    <t>Kim / Kim / Park / Yoo</t>
  </si>
  <si>
    <t>How interactivity and vividness influence consumer virtual reality shopping experience: the mediating role of telepresence</t>
  </si>
  <si>
    <t>Journal of Research in Interactive Marketing</t>
  </si>
  <si>
    <t>1. While browsing the store, I was in control of
my navigation through the VR technology.
2. While browsing the store, I had some control
over the content of the VR technology that I
wanted to see.</t>
  </si>
  <si>
    <t>1. I would be willing to shop on this site.
2. The likelihood that I would shop on this site
is very high.
3. I would be willing to recommend this site to
my friend.</t>
  </si>
  <si>
    <t>Chen / Lin</t>
  </si>
  <si>
    <t>Consumer behavior in an augmented reality environment: Exploring the effects of flow via augmented realism and technology fluidity</t>
  </si>
  <si>
    <t>Telematics and Informatics</t>
  </si>
  <si>
    <t>1. When I used the color swatch fan/website/app, I felt in control.
2.I felt that I had no control over my interaction with the color swatch fan/website/app. (Reverse-scored)</t>
  </si>
  <si>
    <t>Affective Responses to Brand</t>
  </si>
  <si>
    <t>What does the brand mean to you?
1. Bad...Good
2. Unappealing...Appealing
3. Unpleasant...Pleasant
4. Unattractive...Attractive
5. Boring...Interesting</t>
  </si>
  <si>
    <t>1. I plan to visit the brand’s store to explore color palette, when I need to purchase paint in the future.
2. I plan to visit the brand’s website to explore, when I need to purchase paint in the future.
3. I plan to download the brand’s app to explore, when I need to purchase paint in the future.
4. I plan to purchase a paint product of the brand in the future.</t>
  </si>
  <si>
    <t>Jiang</t>
  </si>
  <si>
    <t>An Investigation of Virtual Product Experience and its Effect Mechanism</t>
  </si>
  <si>
    <t>1. I am able to interact with this product.
2. The product can respond to my input on this web interface.
3. I can interact fully with this website.
4. I can acquire product information in an interactive way.</t>
  </si>
  <si>
    <t>Attitudes toward Websites</t>
  </si>
  <si>
    <t>1. I like shopping on this website.
2. Shopping on this website is a good idea.
3. Shopping on this website is appealing.
4. I have formed a favorable impression toward this website.</t>
  </si>
  <si>
    <t>Attitudes toward Products</t>
  </si>
  <si>
    <t>1. The product that I've just examined is good.
2. I have formed a favorable impression toward the product that I've just examined.
3. I like the product that I've just examined.</t>
  </si>
  <si>
    <t>Intentions to Return</t>
  </si>
  <si>
    <t>1. I would like to revisit this website in the future.
2. Next time I need to shop for a sports watch, I would like to use this website.
3. Next time I need to shop for a sports watch as a gift for a friend, I would like to use a website with characteristics similar to those of this website.
4. I would use websites with similar characteristics to those of this website in the future.</t>
  </si>
  <si>
    <t>1. It is likely that I will buy this product.
2. I will purchase the product the next time I need a sports watch.
3. Suppose that a friend calls me to get my advice in his/her search for a sports watch, I would recommend him/her to buy the product.
4. I will definitely try this product.</t>
  </si>
  <si>
    <t>3D</t>
  </si>
  <si>
    <t>Jiang / Benbasat</t>
  </si>
  <si>
    <t>Research Note - Investigating the Influence of the Functional Mechanisms of Online Product Presentations</t>
  </si>
  <si>
    <t>Information Systems Research</t>
  </si>
  <si>
    <t>1. I am able to interact with this product.
2. The product can respond to my input on this Web interface.</t>
  </si>
  <si>
    <t>Attitude towards shopping</t>
  </si>
  <si>
    <t>1. I like shopping on this website.
2. Shopping on this website is a good idea.
3. Shopping on this website is appealing.</t>
  </si>
  <si>
    <t>McLean / Wilson</t>
  </si>
  <si>
    <t>Shopping in the digital world: Examining customer brand engagement through augmented reality mobile applications</t>
  </si>
  <si>
    <t>Computers in Human Behavior</t>
  </si>
  <si>
    <t>AR Interactivity</t>
  </si>
  <si>
    <t>1. I was in control of my navigation through the augmented reality technology.
2. I had some control of the augmented reality technology that I wanted to see.
3. The augmented reality technology had the ability to respond to my specific needs quickly and efficiently.</t>
  </si>
  <si>
    <t>Brand Usage Intention</t>
  </si>
  <si>
    <t>1. It makes sense to use brand X following my engagement with the brand
.
2. Even if another brand has the same features as brand X, I would prefer to use brand X
.
3. If there is another brand as good as brand X, I prefer to use brand X because of my experience with the brand
4. If another brand is not different from brand X in any way, it seems smarter to use brand X because of my knowledge on the brand</t>
  </si>
  <si>
    <t>Tussyadiah / Wang / Jung / tom Dieck</t>
  </si>
  <si>
    <t>Virtual reality, presence, and attitude change: Empricial evidence from tourism</t>
  </si>
  <si>
    <t xml:space="preserve">1. I expect to visit [Destination] in the future.
2. It is likely that I visit [Destination] in the future.
3. I can see myself visiting [Destination] in the future.
</t>
  </si>
  <si>
    <t>Vonkeman / Verhagen / van Dolen</t>
  </si>
  <si>
    <t>Role of Local Presence in Online Impulse Buying</t>
  </si>
  <si>
    <t>Information and Management</t>
  </si>
  <si>
    <t>1. I am able to interact with this product.
2. The product can respond to my input on this Web
interface.</t>
  </si>
  <si>
    <t>Urge to Buy Impulsively</t>
  </si>
  <si>
    <t>1. As I browsed this website, I had an inclination to
purchase an item.
2. When I was at the website, I had the desire to buy
something.
3. When I was at the website, I felt an urge to purchase an
item.</t>
  </si>
  <si>
    <t>Willems / Brengman / Van Kerrebroeck</t>
  </si>
  <si>
    <t>The impact of representation media on customer engagement in tourism marketing among millenials</t>
  </si>
  <si>
    <t>European Journal of Marketing</t>
  </si>
  <si>
    <t>Online Purchase Intentions</t>
  </si>
  <si>
    <t>Jang / Hsieh</t>
  </si>
  <si>
    <t>Understanding consumer behavior in the multimedia context: incorporating gamification in VR-enhanced web system for tourism e-commerce</t>
  </si>
  <si>
    <t>Multimedia Tools and Applications</t>
  </si>
  <si>
    <t>Intention to Adopt</t>
  </si>
  <si>
    <t xml:space="preserve">
1. I am willing to go to visit the tourism destination
presented in VR.
2. I am willing to recommend the tourism destination
which is presented in VR to my friends.
3. I have a high willingness to go to visit the tourism
destination presented in VR.
4. Overall, it is highly possible for me to visit the
tourism destination presented in VR.</t>
  </si>
  <si>
    <t>Presence, Interactivity</t>
  </si>
  <si>
    <t>Pub_Type</t>
  </si>
  <si>
    <t>Pub_Ranking</t>
  </si>
  <si>
    <t>Pub_Status</t>
  </si>
  <si>
    <t>#studies</t>
  </si>
  <si>
    <t>academic_field_text</t>
  </si>
  <si>
    <t>academic_field</t>
  </si>
  <si>
    <t>IV_items</t>
  </si>
  <si>
    <t>IV_#items</t>
  </si>
  <si>
    <t>IV_scale</t>
  </si>
  <si>
    <t>IV_reliability</t>
  </si>
  <si>
    <t>IV_reliability_type</t>
  </si>
  <si>
    <t>outcome_variable_label</t>
  </si>
  <si>
    <t>outcome_variable_items</t>
  </si>
  <si>
    <t>outcome_variable_#items</t>
  </si>
  <si>
    <t>outcome_variable_scale</t>
  </si>
  <si>
    <t>outcome_variable</t>
  </si>
  <si>
    <t>outcome_variable_reliability</t>
  </si>
  <si>
    <t>outcome_variable_reliability_type</t>
  </si>
  <si>
    <t>ES_Sample</t>
  </si>
  <si>
    <t>ESRAW</t>
  </si>
  <si>
    <t>ES_VAR</t>
  </si>
  <si>
    <t>ES_correct</t>
  </si>
  <si>
    <t>ESRAW_Z</t>
  </si>
  <si>
    <t>ES_VAR_Z</t>
  </si>
  <si>
    <t>Notes</t>
  </si>
  <si>
    <t>Australian National University</t>
  </si>
  <si>
    <t>quality of visual stimuli, quality of interaction, obstrusiveness, occlusion, being there, realism, attention allocation, stimulation, novelty, imagination, diagnosticity</t>
  </si>
  <si>
    <t>Elaboration of Mental Imagery, Quality of Mental Imagery, responsiveness, playfulness</t>
  </si>
  <si>
    <t>Vividness; Media richness</t>
  </si>
  <si>
    <t>Response Time, Ease of Use, Enjoyment, Perceived Usefulness, quality of information, aesthetic quality</t>
  </si>
  <si>
    <t>I felt that I could control and interact with the environment easily; felt that I could control and interact
with the products easily
CON3 I felt that I had a lot of control over
the shopping experience
CON4 I felt that using the keyboard, I could
perform the action I wanted
CON5 I felt I could control my movements in
the virtual shop</t>
  </si>
  <si>
    <t>3D authenticity</t>
  </si>
  <si>
    <t>3D creates an experience similar to the one I would have when visiting a real shop; 3DA2 3D let me feel as if I am visiting a real shop
3DA3 3D let me feel as if I am really
interacting with the products
3DA4 3D let me see the virtual shop as if it
was a real one</t>
  </si>
  <si>
    <t>color, engagement, enjoyment, graphic, hedonic value, sumulated experience, utilitarian value</t>
  </si>
  <si>
    <t>color vividness, engagement, enjoyment, graphic vividness, hedonic value, sumulated experience, utilitarian value</t>
  </si>
  <si>
    <t>Vividness, Telepresence, content quality</t>
  </si>
  <si>
    <t>The University of British Columbia</t>
  </si>
  <si>
    <t>vividness, telepresence, perceived usefulness, perceived enjoyment</t>
  </si>
  <si>
    <t>augmented realism, technology fluidity, flow, concentration, curiosity, interest</t>
  </si>
  <si>
    <t>vividness, perceived diagnosticity, compatibility, perceived usefulness, perceived ease of use, shopping enjoyment, perceived risk</t>
  </si>
  <si>
    <t>Attitude towards product</t>
  </si>
  <si>
    <t>The product that I’ve just examined is good.
2. I have formed a favorable impression toward the
product that I’ve just examined.
3. I like the product that I’ve just examined.</t>
  </si>
  <si>
    <t>Intention to return</t>
  </si>
  <si>
    <t>Next time I need to shop for a sports watch, I would
like to use this website.
2. Next time I need to shop for a sports watch as a gift
for a friend, I would like to use a website with characteristics
similar to those of this website.
3. I would use websites with similar characteristics to
those of this website in the future.</t>
  </si>
  <si>
    <t>Intention to purchase</t>
  </si>
  <si>
    <t>It is likely that I will buy this product.
2. I will purchase the product the next time I need a
sports watch.
3. Suppose that a friend calls me to get my advice in
his/her search for a sports watch; I would recommend
him/her to buy the product.
4. I will definitely try this product.</t>
  </si>
  <si>
    <t>vividness, diagnosticity, compatibility, enjoyment</t>
  </si>
  <si>
    <t>Vividness, novelty, ease of use, usefulness, enjoyment, subjective norm</t>
  </si>
  <si>
    <t>Possible Actions</t>
  </si>
  <si>
    <t>The objects in VR gave me the feeling that I could do things with them.
POSSIBLE_ACTIONS2 I had the impression that I could be active in the VR environment.
POSSIBLE_ACTIONS3 I felt like I could move around among the objects in VR.
POSSIBLE_ACTIONS4 It seemed to me that I could do whatever I wanted in the VR environment.</t>
  </si>
  <si>
    <t>Attitude Change</t>
  </si>
  <si>
    <t>After the VR experience, my liking toward [Destination] is...
ATTITUDE_CHANGE2 After the VR experience, my preference toward [Destination] is...
ATTITUDE_CHANGE3 After the VR experience, my interest in visiting [Destination] is…</t>
  </si>
  <si>
    <t>Self-location, enjoyment</t>
  </si>
  <si>
    <t>AR, 3D</t>
  </si>
  <si>
    <t>Product affect</t>
  </si>
  <si>
    <t>PA1: I felt enthusiasm toward the sunglasses
PA2: I felt proud toward the sunglasses
PA3: I felt excited toward the sunglasses
PA4: I felt inspired toward the sunglasses</t>
  </si>
  <si>
    <t>Vividness, presence, product risk</t>
  </si>
  <si>
    <t>I expect I will book a trip to New York City online in the future</t>
  </si>
  <si>
    <t>Vividness, telepresence, flow, enjoyment</t>
  </si>
  <si>
    <t>I feel that the adoption of VR could help me
achieve two-way interaction with the system.
4.14 0.843 [66]
∙ IT2 I feel VR could let me control the information that I
want to know.</t>
  </si>
  <si>
    <t>Ibrahim/Nasr</t>
  </si>
  <si>
    <t>Adopting augmented reality into retailing 
mix strategy: Generation Z’s perspective 
in Egypt</t>
  </si>
  <si>
    <t>Future Business Journal</t>
  </si>
  <si>
    <t xml:space="preserve"> was able to freely rotate the prod_x0002_uct and examine it from diferent 
angles
I was able to freely place the prod_x0002_uct in the 3D virtual room
The retailer’s interface was highly 
interactive</t>
  </si>
  <si>
    <t>Behavioral intention</t>
  </si>
  <si>
    <t xml:space="preserve"> I will repurchase the products I need 
from the same retailer next time I 
need something
I would like to reorder the product I 
bought last time
I will revisit/ reuse my retailer’s 
website in future</t>
  </si>
  <si>
    <t>graphics quality, customer experience, perceived informativeness, perceived playfuolness, technology readiness, optimism, discomfort</t>
  </si>
  <si>
    <t>Chen / Zhang / Chu / Lee</t>
  </si>
  <si>
    <t>Augmented reality in the metavese market: the role of multimodal sensory interaction</t>
  </si>
  <si>
    <t>Internet Research</t>
  </si>
  <si>
    <t>Motion interaction</t>
  </si>
  <si>
    <t>Image interaction</t>
  </si>
  <si>
    <t xml:space="preserve">Touchscreen interaction </t>
  </si>
  <si>
    <t>II1: I was able to see the virtual objects (i.e. clothes) on my body
II2: I was able to see how the virtual objects (i.e. clothes) would
appear on oneself
II3: I was able to see how it looks when I wear the virtual objects
(i.e. clothes)</t>
  </si>
  <si>
    <t>MI1: I can control the directions in virtual world by mymovement
MI2: I can place the angles of virtual objects with real-time
movement
MI3: I can point the virtual objects at specific direction by my
movemen</t>
  </si>
  <si>
    <t>TI1: I can select the virtual objects using my hands/fingers
TI2: I can move the virtual objects using my hands/fingers
TI3: I can use my hands/fingers to interact with virtual products</t>
  </si>
  <si>
    <t>IP1: Uncertain/certain
IP2: Unlikely/likely
IP3: Improbable/probable</t>
  </si>
  <si>
    <t>Dai / Xiao / Li</t>
  </si>
  <si>
    <t>Disassembling the components of
virtual clothing presentation:
exploring their impact on
consumers’ perception and
purchase intention</t>
  </si>
  <si>
    <t>Asia Pacific Journal of Marketing and Logistics</t>
  </si>
  <si>
    <t>Presentation technology</t>
  </si>
  <si>
    <t>JS1. There are a lot of possible ways to manipulate the virtual clothing
presentation
JS2. I feel that the virtual presentation is realistic
JS3. I feel the interaction mode of the virtual clothing presentation is
good</t>
  </si>
  <si>
    <t>Purchase intention</t>
  </si>
  <si>
    <t>GM1. unlikely/likely
GM2. impossible/possible
GM3. improbable/probable</t>
  </si>
  <si>
    <t>Iranmanesh / Senali / Foroughi / Ghobakhloo / Asadi / Tirkolaee</t>
  </si>
  <si>
    <t>Effect of augmented reality
applications on attitude and
behaviours of customers: cognitive
and affective perspectives</t>
  </si>
  <si>
    <t>Asia Pacific Journal of Business Administration</t>
  </si>
  <si>
    <t>1. The IKEA PLACE AR app allows me to interact with it to receive tailored
information about furniture
2. The IKEA PLACE AR app has interactive features that help me make decisions
when selecting furniture
3. I am able to interact with the IKEA PLACE AR app to obtain information
tailored to my specific needs</t>
  </si>
  <si>
    <t>Brand attitude</t>
  </si>
  <si>
    <t>(un) appealing
2. (un) likeable
3. bad/good</t>
  </si>
  <si>
    <t>After using IKEA PLACE AR app., the chance that I will buy product from IKEA is
1. (un)likely
2. (un)certain
3. small/big</t>
  </si>
  <si>
    <t>Construct reliability</t>
  </si>
  <si>
    <t>Pathak / Prakash</t>
  </si>
  <si>
    <t>Exploring the role of augmented reality in purchase intention: Through
flow and immersive experience</t>
  </si>
  <si>
    <t>Technological Forecasting &amp; Social Change</t>
  </si>
  <si>
    <t>Environmental Embedding</t>
  </si>
  <si>
    <t>Physical Control</t>
  </si>
  <si>
    <t>I1: It is likely that I
would buy products in
AR.”
“PI2: It is likely that I will
purchase products in
AR.”
“PI3: It is likely that I will
return to this AR to buy
products.</t>
  </si>
  <si>
    <t>Product likeability</t>
  </si>
  <si>
    <t>L1: I felt excited about
0.806
the product.”
0.826
5.114
1.437
“PL2: I felt enthusiasm
towards the product.”
“PL3: I felt proud towards
the product.”
“PL4: I felt inspired
towards the product</t>
  </si>
  <si>
    <t>While shopping in
0.787
AR, I was able to move
the product around.”
0.905
4.995
1.383
“SPC2: While shopping in
AR, it was easy to
control the product.”</t>
  </si>
  <si>
    <t>E1: While shopping in
0.865
AR, I am able to
experience how the
product would look on
me.”
“EE2: While shopping in
AR, I felt like I wore this
product on me.”</t>
  </si>
  <si>
    <t xml:space="preserve">telepresence, novelty, vividness, reality congruence, modality richness, informativeness, positive affetion, cognitive assimilation, </t>
  </si>
  <si>
    <t>multisensory experience, information overload, spatial presence, product uncertainty</t>
  </si>
  <si>
    <t>virtual clothing, virtual model, presentation space, system quality, perceived usefulnes,s eprceived ease of use, perceived enjoyment</t>
  </si>
  <si>
    <t>vividness, novelty, spatial rpesence, perceived enjoyment, perceived diagnosticity, perceived value</t>
  </si>
  <si>
    <t>Immersion, decision comfort, mental tagibility, psychological ownership, specificity, wow effect</t>
  </si>
  <si>
    <t>XU / Jua / Tayyab</t>
  </si>
  <si>
    <t>Exploring the stimulating role of augmented reality features in
E-commerce: A three-staged hybrid approach</t>
  </si>
  <si>
    <t>Journal of Retailing and Consumer Services</t>
  </si>
  <si>
    <t>INT1 I am in control of my navigation. (McLean &amp; Wilson, 2019) INT2 I have some control over the product that I want to see. INT3 I feel my shopping experience is interactive.</t>
  </si>
  <si>
    <t>PI1 I’m going to buy this product. PI2 I consider purchasing this product. PI3 I may purchase this product. PI4 I probably buy this product. PI5 I will not purchase this product. (reverse)</t>
  </si>
  <si>
    <t>Nguyen / Le / Chau</t>
  </si>
  <si>
    <t>How VR Technological Features Prompt Tourists’ Visiting
Intention: An Integrated Approach</t>
  </si>
  <si>
    <t>I was in control of my navigation through the augmented reality technology, I had some control over the content of the augmented
reality technology (website) that I wanted to see
I was in control over the pace to watch products
The augmented reality technology (website) had the ability to respond to
my speciﬁc needs quickly and efﬁciently</t>
  </si>
  <si>
    <t>I would like to read articles or news concerning the destination city
on the internet after watching the VR video
I would like to search for responses to visiting
destinations on the internet after watching the VR video
I would like to talk with people who traveled and
visited the destination after watching the VR video
I became interested in the attractions of the destination city after watching the VR video
I would like to talk with people about the desire to
visit the city of destination after watching the VR video</t>
  </si>
  <si>
    <t>Visit intention</t>
  </si>
  <si>
    <t>Behavioral involvement</t>
  </si>
  <si>
    <t>I may visit the destination in the future
I plan to visit the destination in the future
I hope to visit the destination in the future</t>
  </si>
  <si>
    <t>perceived nejoyment, perceived ease of use, immersion, usefulness, vividness</t>
  </si>
  <si>
    <t>Jeganathan / Szymkowiak</t>
  </si>
  <si>
    <t>Playing with food – The effects of augmented reality on meal perceptions</t>
  </si>
  <si>
    <t>Food Quality and Preference</t>
  </si>
  <si>
    <t xml:space="preserve">AR </t>
  </si>
  <si>
    <t>Product Liking</t>
  </si>
  <si>
    <t>1 (Not at all certain) – (Very certain)
1 (Highly unlikely) – (Highly likely)
1 (Definitely improbable) – (Definitely
probable)
1 (It is highly unlikely) – (It is highly
likely)</t>
  </si>
  <si>
    <t>1 (Very bad) – (Very good)
1 (Very unpleasant) – (Very pleasant)
1 (Not likable at all) – (Very likable)</t>
  </si>
  <si>
    <t>While I was using this augmented reality
service,
I was able to move the product around
1 (strongly disagree) − 7 (strongly agree)
The product was easy to control
1 (strongly disagree) − 7 (strongly agree)
I had physical control over the product.
1 (strongly disagree) − 7 (strongly agree)</t>
  </si>
  <si>
    <t>I was able to see how the product looked
in my environment.
1 (strongly disagree) − 7 (strongly agree)
I felt like I had the product very close to
me</t>
  </si>
  <si>
    <t>quality of mental imagery, ease of evaluation</t>
  </si>
  <si>
    <t>Fatma / Bhatt</t>
  </si>
  <si>
    <t>Sculpting the feelings:
inﬂuence of immersive
technology on responsible travel</t>
  </si>
  <si>
    <t>International Journal of Contemporary Hospitality Management</t>
  </si>
  <si>
    <t>AR/VR</t>
  </si>
  <si>
    <t>INT1: I was in control of my navigation through the AR/ VR technology
INT2: I had some control of the AR/VR technology that I wanted to see
INT3: The AR/VR technology had the ability to respond to my speciﬁc needs
quickly and efﬁciently
INT4: I could watch the content in an interactive way
INT5: I was in control over the pace to watch the content</t>
  </si>
  <si>
    <t>Behavioral intentions</t>
  </si>
  <si>
    <t>BI1: I intend to stay at green hotel in the next visit to this destination
BI2: I will volunteer my time to activities that help disseminate sustainable
behaviour to this destination
BI3: I am determined to generate less carbon emission on my next visit
BI4: I am happy to gain knowledge of low-carbon tourism
BI5: I will engage in low-carbon tourism activities in the future
Factor
loading VIF
2.859 0.705 0.741 1.489
2.918 0.708 0.733 1.487
3.25 0.688 0.746 1.526
2.778 0.66 0.752 1.536
2.763 0.707 0.734 1.467
2.696 0.686 0.824 2.275
3.144 0.676 0.865 2.75
3.049 0.726 0.861 2.698
3.207 0.702 0.856 2.633
2.735 0.727 0.839 2.405
BI6: I would recommend relatives and friends to engage in low-carbon tourism</t>
  </si>
  <si>
    <t>emotions, metacognitice experience, perceived behavioral control, subjective norms, telepresence, vividness</t>
  </si>
  <si>
    <t>Wu / Dong / Wu / Chang</t>
  </si>
  <si>
    <t>Shopping through mobile augmented reality: The impacts of AR embedding
and embodiment attributes on consumer-based brand equity</t>
  </si>
  <si>
    <t>The AR service can add
products to my body
virtually.
The way the products were
virtually placed on my
body seemed real.
The online products
seemed to be part of my
virtual body.
The level of reality seemed
high on the screen.
The products seem</t>
  </si>
  <si>
    <t>While I was using this AR
service, I was able to move
the product around.
While I was using this AR
service, the product was
easy to control.
While I was using this AR
service, I had physical
control over the product.</t>
  </si>
  <si>
    <t>Overall brand equity</t>
  </si>
  <si>
    <t>If there is another brand as
good as this brand, I prefer
to buy this brand.
If another brand is not
different from this brand
in any way, it seems
smarter to purchase this
brand.
It makes sense to buy this
brand instead of any other
brand, Even if another brand has
the same features as this
brand, I would prefer to
buy this brand.
I am more loyal to this
brand than other similar
brands.</t>
  </si>
  <si>
    <t xml:space="preserve">response time, cognitive associations, affective associations, sensory associations, </t>
  </si>
  <si>
    <t>Xu / Jia / Tayyab</t>
  </si>
  <si>
    <t>The exploration of customization in augmented reality from the affordance
lens: A three-stage hybrid approach</t>
  </si>
  <si>
    <t>measurement feedback</t>
  </si>
  <si>
    <t>local presence</t>
  </si>
  <si>
    <t>controllability</t>
  </si>
  <si>
    <t>AR can measure my room to enable the
virtual products fit the room.
AR can analyze the size of the room.
AR can measure and adjust the size of
the virtual product according to the size
of the room.
AR can enable the products that fit my
room.
AR can enable me to see whether the
virtual product fits the content of
present reality.</t>
  </si>
  <si>
    <t>AR provides me the products and
services based on my location.
AR provides me with location-specific
information.
AR enables the products displayed
actually in my real-surrounding.
AR enables the virtual product to mesh
with my surroundings of mine.
AR enables the product seems to take
part in front of me.</t>
  </si>
  <si>
    <t>AR enables me to have some control
over the product that I want to see. AR enables me to move the products
around
I had absolutely no control over what I
can do. (Reverse)</t>
  </si>
  <si>
    <t>I’m going to buy this customized
product.
I consider purchasing this customized
product.
I may purchase this customized product.
I probably buy this customized product.
I will not purchase this product.
(reverse)</t>
  </si>
  <si>
    <t>selectivity, responsiveness, personalization, situational involvement enduring involvement</t>
  </si>
  <si>
    <t>Gui / zhang</t>
  </si>
  <si>
    <t>The impact of AR online shopping experience
on customer purchase intention: An empirical
study based on the TAM model</t>
  </si>
  <si>
    <t>Related experience</t>
  </si>
  <si>
    <t>AR online shopping enhances interaction with products
AR shopping facilitates interaction with backgrounds and matching
AR online shopping has certain guided shopping functions</t>
  </si>
  <si>
    <t>AR technology can stimulate the desire to purchase products
More likely to buy products that offer an AR experience
Will continue to choose products that offer an AR experience</t>
  </si>
  <si>
    <t>sensory experience, emotional experience, thinking experience, action experience, perceived ease of use, perceived usefulness</t>
  </si>
  <si>
    <t>Jiang / Lyu</t>
  </si>
  <si>
    <t>The role of augmented reality app attributes
and customer-based brand equity on consumer
behavioral responses: an S-O-R framework
perspective</t>
  </si>
  <si>
    <t>Journal of Product and Brand Management</t>
  </si>
  <si>
    <t>I am in control of my navigation when using the Gucci AR app (ARI1)
I am in control over the content of the Gucci AR app that I want to see (ARI2)
I can control the virtual products and environment in the Gucci AR app (ARI3)</t>
  </si>
  <si>
    <t>Patronage intention</t>
  </si>
  <si>
    <t>I would like to visit the Gucci online store (PIL1)
I am willing to recommend the Gucci online store to friends or relatives (PIL2)
I am willing to buy products in the Gucci online store (PIL4)</t>
  </si>
  <si>
    <t xml:space="preserve">virtuality, brand awareness, brand image, perceived utilitarian value, hedonic value, quality value, </t>
  </si>
  <si>
    <t>The Role of Telepresence and User Engagement in
Co-Creation Value and Purchase Intention: Online
Retail Context</t>
  </si>
  <si>
    <t>Journal of Internet Commerce</t>
  </si>
  <si>
    <t>Controlability</t>
  </si>
  <si>
    <t>I felt that I could choose freely what I wanted to see.
CON2 I felt that I had a lot of control over the content of the 3D options (i.e., angles and information).
CON3 I felt it was easy to rotate the 3D flash the way I wanted.
CON4 I felt I could control the 3D flash movements.</t>
  </si>
  <si>
    <t>purchase intention</t>
  </si>
  <si>
    <t>Given the chance, I would consider buying products from this online retailer in the future.
PURCH2 It is likely that I will buy from this online retailer in the near future.
PURCH3 Given the opportunity, I intend to buy from this online retailer.</t>
  </si>
  <si>
    <t>color vividbess, 3D authenticity, telepresence, engagement</t>
  </si>
  <si>
    <t>PLOS One</t>
  </si>
  <si>
    <t>VRHMD</t>
  </si>
  <si>
    <t>ThreeD</t>
  </si>
  <si>
    <t>ABS Ranking</t>
  </si>
  <si>
    <t>4*</t>
  </si>
  <si>
    <t>2.2</t>
  </si>
  <si>
    <t>3.3</t>
  </si>
  <si>
    <t>4.4</t>
  </si>
  <si>
    <t>5.5</t>
  </si>
  <si>
    <t>6.7</t>
  </si>
  <si>
    <t>7.8</t>
  </si>
  <si>
    <t>8.9</t>
  </si>
  <si>
    <t>9.10</t>
  </si>
  <si>
    <t>10.11</t>
  </si>
  <si>
    <t>11.12</t>
  </si>
  <si>
    <t>13.14</t>
  </si>
  <si>
    <t>14.15</t>
  </si>
  <si>
    <t>15.16</t>
  </si>
  <si>
    <t>16.17</t>
  </si>
  <si>
    <t>16.18</t>
  </si>
  <si>
    <t>17.19</t>
  </si>
  <si>
    <t>18.20</t>
  </si>
  <si>
    <t>19.21</t>
  </si>
  <si>
    <t>20.22</t>
  </si>
  <si>
    <t>21.23</t>
  </si>
  <si>
    <t>22.24</t>
  </si>
  <si>
    <t>23.25</t>
  </si>
  <si>
    <t>24.26</t>
  </si>
  <si>
    <t>25.27</t>
  </si>
  <si>
    <t>26.28</t>
  </si>
  <si>
    <t>27.29</t>
  </si>
  <si>
    <t>29.31</t>
  </si>
  <si>
    <t>28.30</t>
  </si>
  <si>
    <t>30.32</t>
  </si>
  <si>
    <t>31.33</t>
  </si>
  <si>
    <t>33.35</t>
  </si>
  <si>
    <t>32.34</t>
  </si>
  <si>
    <t>2.2.2.</t>
  </si>
  <si>
    <t>2.2.3.</t>
  </si>
  <si>
    <t>2.2.4.</t>
  </si>
  <si>
    <t>2.2.5.</t>
  </si>
  <si>
    <t>2.2.6.</t>
  </si>
  <si>
    <t>2.2.7.</t>
  </si>
  <si>
    <t>3.3.8</t>
  </si>
  <si>
    <t>4.4.9.</t>
  </si>
  <si>
    <t>5.5.10</t>
  </si>
  <si>
    <t>5.5.11</t>
  </si>
  <si>
    <t>6.6.12</t>
  </si>
  <si>
    <t>6.7.13</t>
  </si>
  <si>
    <t>7.8.14</t>
  </si>
  <si>
    <t>8.9.15</t>
  </si>
  <si>
    <t>8.9.16</t>
  </si>
  <si>
    <t>9.10.17</t>
  </si>
  <si>
    <t>9.10.18</t>
  </si>
  <si>
    <t>10.11.19</t>
  </si>
  <si>
    <t>11.12.20</t>
  </si>
  <si>
    <t>12.13.21</t>
  </si>
  <si>
    <t>15.16.31</t>
  </si>
  <si>
    <t>12.13.22</t>
  </si>
  <si>
    <t>13.14.23</t>
  </si>
  <si>
    <t>13.14.24</t>
  </si>
  <si>
    <t>13.14.25</t>
  </si>
  <si>
    <t>13.14.26</t>
  </si>
  <si>
    <t>14.15.27</t>
  </si>
  <si>
    <t>14.15.28</t>
  </si>
  <si>
    <t>14.15.29</t>
  </si>
  <si>
    <t>14.15.30</t>
  </si>
  <si>
    <t>16.17.32</t>
  </si>
  <si>
    <t>16.18.34</t>
  </si>
  <si>
    <t>16.17.33</t>
  </si>
  <si>
    <t>16.18.35</t>
  </si>
  <si>
    <t>17.19.36</t>
  </si>
  <si>
    <t>17.19.37</t>
  </si>
  <si>
    <t>18.20.38</t>
  </si>
  <si>
    <t>19.21.39</t>
  </si>
  <si>
    <t>20.22.40</t>
  </si>
  <si>
    <t>21.23.41</t>
  </si>
  <si>
    <t>21.23.42</t>
  </si>
  <si>
    <t>21.23.43</t>
  </si>
  <si>
    <t>22.24.44</t>
  </si>
  <si>
    <t>23.25.45</t>
  </si>
  <si>
    <t>23.25.46</t>
  </si>
  <si>
    <t>24.26.47</t>
  </si>
  <si>
    <t>29.31.59</t>
  </si>
  <si>
    <t>24.26.48</t>
  </si>
  <si>
    <t>24.26.49</t>
  </si>
  <si>
    <t>24.26.50</t>
  </si>
  <si>
    <t>25.27.51</t>
  </si>
  <si>
    <t>26.28.52</t>
  </si>
  <si>
    <t>26.28.53</t>
  </si>
  <si>
    <t>27.29.54</t>
  </si>
  <si>
    <t>27.29.55</t>
  </si>
  <si>
    <t>27.29.56</t>
  </si>
  <si>
    <t>27.29.57</t>
  </si>
  <si>
    <t>28.30.58</t>
  </si>
  <si>
    <t>29.31.60</t>
  </si>
  <si>
    <t>30.32.61</t>
  </si>
  <si>
    <t>30.32.62</t>
  </si>
  <si>
    <t>30.32.63</t>
  </si>
  <si>
    <t>31.33.54</t>
  </si>
  <si>
    <t>32.34.65</t>
  </si>
  <si>
    <t>33.35.66</t>
  </si>
  <si>
    <t>mobile</t>
  </si>
  <si>
    <t>HMD</t>
  </si>
  <si>
    <t>PC</t>
  </si>
  <si>
    <t>XRFam_Demographics</t>
  </si>
  <si>
    <t>XRFam_Scale</t>
  </si>
  <si>
    <t>XRFam_Training</t>
  </si>
  <si>
    <t>XRFam_Text</t>
  </si>
  <si>
    <t>product</t>
  </si>
  <si>
    <t>brand</t>
  </si>
  <si>
    <t>overlay_element</t>
  </si>
  <si>
    <t>brand_fam_demographics</t>
  </si>
  <si>
    <t>brand_fam_text</t>
  </si>
  <si>
    <t>wiki_description</t>
  </si>
  <si>
    <t>wiki_link</t>
  </si>
  <si>
    <t>brand_fam_scale</t>
  </si>
  <si>
    <t>country</t>
  </si>
  <si>
    <t>uncertainty_avoidance</t>
  </si>
  <si>
    <t>mean_age</t>
  </si>
  <si>
    <t>shopper_behavior</t>
  </si>
  <si>
    <t>exposure_time</t>
  </si>
  <si>
    <t>paper</t>
  </si>
  <si>
    <t>dissertation</t>
  </si>
  <si>
    <t>6.6</t>
  </si>
  <si>
    <t>12.13</t>
  </si>
  <si>
    <t>paper_study#</t>
  </si>
  <si>
    <t>Italian sample</t>
  </si>
  <si>
    <t>German sample</t>
  </si>
  <si>
    <t>MKT</t>
  </si>
  <si>
    <t>Business/Management</t>
  </si>
  <si>
    <t>IS</t>
  </si>
  <si>
    <t>DeviceType</t>
  </si>
  <si>
    <t>Mobile</t>
  </si>
  <si>
    <t>Images and video</t>
  </si>
  <si>
    <t>Not stated</t>
  </si>
  <si>
    <t>Young age (Millenials) and Fashion Innovativeness measured</t>
  </si>
  <si>
    <t>Lipstick</t>
  </si>
  <si>
    <t>The AR app was developed in collaboration with major cosmetic brands (e.g., L'Oreal, Estee Lauder)</t>
  </si>
  <si>
    <t>Worldwide</t>
  </si>
  <si>
    <t>https://en.wikipedia.org/wiki/L%27Oréal</t>
  </si>
  <si>
    <t xml:space="preserve">L'Oreal: Worldwide; Estee Lauder: Not stated </t>
  </si>
  <si>
    <t>South Korea</t>
  </si>
  <si>
    <t>Young age</t>
  </si>
  <si>
    <t>Virtual Shop</t>
  </si>
  <si>
    <t>AliBaba Buy+</t>
  </si>
  <si>
    <t>https://en.wikipedia.org/wiki/Alibaba_Group</t>
  </si>
  <si>
    <t>China</t>
  </si>
  <si>
    <t>The study examines written reviews about AliBabs Buy+ application.</t>
  </si>
  <si>
    <t>Young age (M=23.4)</t>
  </si>
  <si>
    <t>Furniture (Chair) and Song-Related Information</t>
  </si>
  <si>
    <t>Die Fantastischen Vier / IKEA</t>
  </si>
  <si>
    <t>Participants were more likely to be familiar with the IKEA app than with the Tunnel/Die Fantastischen Vier App.</t>
  </si>
  <si>
    <t>IKEA: Worldwide; Tunnel: Germany</t>
  </si>
  <si>
    <t>https://en.wikipedia.org/wiki/IKEA
https://en.wikipedia.org/wiki/Die_Fantastischen_Vier</t>
  </si>
  <si>
    <t>Germany</t>
  </si>
  <si>
    <t>Young age (M = 33)</t>
  </si>
  <si>
    <t>Coscmetic products</t>
  </si>
  <si>
    <t>https://en.wikipedia.org/wiki/YouCam_Makeup</t>
  </si>
  <si>
    <t>The study explicitly excluded participants who were prior visitors to the app.</t>
  </si>
  <si>
    <t>100% (as everyone had previously used virtual reality)</t>
  </si>
  <si>
    <t>Had previously worked with VR</t>
  </si>
  <si>
    <t>Santa Clara</t>
  </si>
  <si>
    <t>2,76 (5-point scale)</t>
  </si>
  <si>
    <t>Approximately 31% of the participants had been to Santa Clara before and their familiarity with Santa Clara was relatively low, with a mean of 2.76 on a 5-point scale.</t>
  </si>
  <si>
    <t>https://en.wikipedia.org/wiki/Santa_Clara,_California</t>
  </si>
  <si>
    <t>USA</t>
  </si>
  <si>
    <t>Italy</t>
  </si>
  <si>
    <t>Ray Ban</t>
  </si>
  <si>
    <t>Sun Glasses</t>
  </si>
  <si>
    <t>They were firstly introduced in the smart mirror section in order to familiarise themselves with the augmented reality environment [...] under the guidance of an experienced researcher.</t>
  </si>
  <si>
    <t>https://en.wikipedia.org/wiki/Ray-Ban</t>
  </si>
  <si>
    <t>We anticipated that most subjects had prior experience with the Lego brand </t>
  </si>
  <si>
    <t>Physical product</t>
  </si>
  <si>
    <t>3,77 (7-point scale)</t>
  </si>
  <si>
    <t>AR expertise had no significant effect on psychological inspiration, therefore, the AR app may have been intuitive enough that prior experience was unnecessary for use.</t>
  </si>
  <si>
    <t>LEGO Toys</t>
  </si>
  <si>
    <t>LEGO</t>
  </si>
  <si>
    <t>https://en.wikipedia.org/wiki/Lego</t>
  </si>
  <si>
    <t>1 (received instructions)</t>
  </si>
  <si>
    <t>Young sample, uses mobile devices on a daily basis</t>
  </si>
  <si>
    <t>Beer bottle</t>
  </si>
  <si>
    <t>Heineken</t>
  </si>
  <si>
    <t>5,91 (Brand Attitude)</t>
  </si>
  <si>
    <t>High likelihood as sample is above drinking age and drinks alcohol at least occasionally</t>
  </si>
  <si>
    <t>https://en.wikipedia.org/wiki/Heineken</t>
  </si>
  <si>
    <t>Average 12 years of gaming, most play video/online games daily-monthly</t>
  </si>
  <si>
    <t>Clothing items</t>
  </si>
  <si>
    <t>YouCam Makeup (but cosmetic product brand not stated)</t>
  </si>
  <si>
    <t>/</t>
  </si>
  <si>
    <t>Prior VR use</t>
  </si>
  <si>
    <t>Destination virtual tour</t>
  </si>
  <si>
    <t>2,8 (5-point scale)</t>
  </si>
  <si>
    <t>Respondents "seemed to know about Santa Clara"</t>
  </si>
  <si>
    <t>Young age, tech-savvy</t>
  </si>
  <si>
    <t>Furniture</t>
  </si>
  <si>
    <t>IKEA</t>
  </si>
  <si>
    <t>https://en.wikipedia.org/wiki/IKEA</t>
  </si>
  <si>
    <t>Paint</t>
  </si>
  <si>
    <t>Taiwan</t>
  </si>
  <si>
    <t>Images</t>
  </si>
  <si>
    <t>Young age (M=21.6)</t>
  </si>
  <si>
    <t>Sports watch</t>
  </si>
  <si>
    <t>Canada</t>
  </si>
  <si>
    <t>65.3%</t>
  </si>
  <si>
    <t>Young age (67.4% 18-34)</t>
  </si>
  <si>
    <t>Furniture and Footwear</t>
  </si>
  <si>
    <t>IKEA and Converse</t>
  </si>
  <si>
    <t>UK</t>
  </si>
  <si>
    <t>Video</t>
  </si>
  <si>
    <t>Young age (M=24.3)</t>
  </si>
  <si>
    <t>Netherlands</t>
  </si>
  <si>
    <t>Young age (M=20.98)</t>
  </si>
  <si>
    <t>New York City</t>
  </si>
  <si>
    <t>Belgium</t>
  </si>
  <si>
    <t>Images and text</t>
  </si>
  <si>
    <t>Taroko National Park</t>
  </si>
  <si>
    <t>Egypt</t>
  </si>
  <si>
    <t>2D images</t>
  </si>
  <si>
    <t>Clothes</t>
  </si>
  <si>
    <t>51.1%</t>
  </si>
  <si>
    <t>India</t>
  </si>
  <si>
    <t>Furniture/Home Goods</t>
  </si>
  <si>
    <t>All participants had VR experience</t>
  </si>
  <si>
    <t>Destination virtual tour (Hue)</t>
  </si>
  <si>
    <t>Vietnam</t>
  </si>
  <si>
    <t>All had prior experience</t>
  </si>
  <si>
    <t>All had AR shopping experience</t>
  </si>
  <si>
    <t>All participants had prior experience</t>
  </si>
  <si>
    <t>Shoes (sneakers)</t>
  </si>
  <si>
    <t>Gucci</t>
  </si>
  <si>
    <t>https://en.wikipedia.org/wiki/Gucci</t>
  </si>
  <si>
    <t>Fictitious/Unbranded</t>
  </si>
  <si>
    <t>Physical fan deck</t>
  </si>
  <si>
    <t>Mobile, HMD</t>
  </si>
  <si>
    <t>All respondents had AR shopping experience</t>
  </si>
  <si>
    <t>Not stated ('major national paint brand')</t>
  </si>
  <si>
    <t>Sports watch and Palm Pilot</t>
  </si>
  <si>
    <t>Timex Rush</t>
  </si>
  <si>
    <t>https://de.wikipedia.org/wiki/Timex</t>
  </si>
  <si>
    <t>“I felt that I had a lot of control over my VR experience”</t>
  </si>
  <si>
    <t>Majority of participants are between the ages of 18 and 24 (98%)</t>
  </si>
  <si>
    <t>The majority of participants is young (41% younger than 35)</t>
  </si>
  <si>
    <t>Bird Hive Lake District National Park</t>
  </si>
  <si>
    <t>Tokio / Porto</t>
  </si>
  <si>
    <t>Most of the participants (N=208) knew the Ray-Ban sunglass brand prior to participating in the study.</t>
  </si>
  <si>
    <t>Young age (72% 15-20)</t>
  </si>
  <si>
    <t>Young age (60.7% 18-24)</t>
  </si>
  <si>
    <t>Retail in general</t>
  </si>
  <si>
    <t>https://en.wikipedia.org/wiki/JD.com</t>
  </si>
  <si>
    <t>Global</t>
  </si>
  <si>
    <t>Jingdong mall is a representative online store in China. It is the second-largest e-commerce platform in China after Alibaba. The mobile app of Jingdong mall is called Jingdong.</t>
  </si>
  <si>
    <t>The majority (77.6%) were aged 26-35, representing the main online consumer demographic.</t>
  </si>
  <si>
    <t>https://en.wikipedia.org/wiki/Taobao</t>
  </si>
  <si>
    <t>China / Asian Countries</t>
  </si>
  <si>
    <t>Taobao (clothes' brand name is not revealed)</t>
  </si>
  <si>
    <t>All are prior users of the app</t>
  </si>
  <si>
    <t>The sample consits exclusively of customers who have experience with the IKEA AR app</t>
  </si>
  <si>
    <t>Thailand</t>
  </si>
  <si>
    <t>Various / Not stated</t>
  </si>
  <si>
    <t>All have used AR for shopping (explicit selection criteria)</t>
  </si>
  <si>
    <t>100% (participants were users of the recalled AR apps)</t>
  </si>
  <si>
    <t>Danang City (Vietnam)</t>
  </si>
  <si>
    <t>Chicken Meal (food)</t>
  </si>
  <si>
    <t>The repondents were digital natives, who were proficient in the usage of Internet-connected mobile devices, with previous experience in online shopping.</t>
  </si>
  <si>
    <t>Natural Heritage Site</t>
  </si>
  <si>
    <t>Various NHS</t>
  </si>
  <si>
    <t>Sun Glasses, Hair Dyes</t>
  </si>
  <si>
    <t>Ray Ban, Schwarzkopf</t>
  </si>
  <si>
    <t>Not clearly stated ("Participants had never bought or used either brand's products")</t>
  </si>
  <si>
    <t>5,91 (AR app control)</t>
  </si>
  <si>
    <t>Targeted AR online shopping consumers only</t>
  </si>
  <si>
    <t>81.3%</t>
  </si>
  <si>
    <t>68.7% (had purchased the brand before) but all participants are familiar with the brand ("Participants who were familiar with the luxury brand Gucci and who had purchased the brand before were recruited")</t>
  </si>
  <si>
    <t>All participants were familiar with the brand or had purchased it before.</t>
  </si>
  <si>
    <t>Laptops</t>
  </si>
  <si>
    <t>Jordan</t>
  </si>
  <si>
    <t>Young age (M=19.13)</t>
  </si>
  <si>
    <t>1,41 (dummy)</t>
  </si>
  <si>
    <t>Jingdong (name of App/Website)</t>
  </si>
  <si>
    <t>83.26%</t>
  </si>
  <si>
    <t>42.5%</t>
  </si>
  <si>
    <t>NA</t>
  </si>
  <si>
    <t>NonXR_comparison</t>
  </si>
  <si>
    <t>brand_familiarity</t>
  </si>
  <si>
    <t>product_benefit</t>
  </si>
  <si>
    <t>fit_uncertainty</t>
  </si>
  <si>
    <t>0,893</t>
  </si>
  <si>
    <t>0.950</t>
  </si>
  <si>
    <t>0,864</t>
  </si>
  <si>
    <t>0,845</t>
  </si>
  <si>
    <t>ES_VAR_correct</t>
  </si>
  <si>
    <t>VRPC</t>
  </si>
  <si>
    <t>IDp</t>
  </si>
  <si>
    <t>XRfam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</si>
</sst>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00%"/>
  </numFmts>
  <fonts count="1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11"/>
      <color theme="1"/>
      <name val="Calibri"/>
      <family val="2"/>
      <scheme val="minor"/>
    </font>
    <font>
      <sz val="11"/>
      <color rgb="FF000000"/>
      <name val="Calibri"/>
      <family val="2"/>
      <scheme val="minor"/>
    </font>
    <font>
      <b/>
      <sz val="11"/>
      <name val="Calibri"/>
      <family val="2"/>
      <scheme val="minor"/>
    </font>
    <font>
      <sz val="11"/>
      <name val="Calibri"/>
      <family val="2"/>
      <scheme val="minor"/>
    </font>
    <font>
      <sz val="8"/>
      <name val="Calibri"/>
      <family val="2"/>
      <scheme val="minor"/>
    </font>
    <font>
      <u/>
      <sz val="11"/>
      <color theme="10"/>
      <name val="Calibri"/>
      <family val="2"/>
      <scheme val="minor"/>
    </font>
  </fonts>
  <fills count="2">
    <fill>
      <patternFill patternType="none"/>
    </fill>
    <fill>
      <patternFill patternType="gray125"/>
    </fill>
  </fills>
  <borders count="5">
    <border>
      <left/>
      <right/>
      <top/>
      <bottom/>
      <diagonal/>
    </border>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0" fontId="13" fillId="0" borderId="0" applyNumberFormat="0" applyFill="0" applyBorder="0" applyAlignment="0" applyProtection="0"/>
  </cellStyleXfs>
  <cellXfs count="119">
    <xf numFmtId="0" fontId="0" fillId="0" borderId="0" xfId="0"/>
    <xf numFmtId="0" fontId="6" fillId="0" borderId="0" xfId="0" applyFont="1" applyAlignment="1">
      <alignment vertical="center"/>
    </xf>
    <xf numFmtId="0" fontId="6" fillId="0" borderId="0" xfId="0" applyFont="1" applyAlignment="1">
      <alignment horizontal="left" vertical="top"/>
    </xf>
    <xf numFmtId="0" fontId="0" fillId="0" borderId="0" xfId="0" applyAlignment="1">
      <alignment horizontal="left" vertical="top"/>
    </xf>
    <xf numFmtId="0" fontId="8" fillId="0" borderId="0" xfId="0" applyFont="1" applyAlignment="1">
      <alignment horizontal="center" vertical="center"/>
    </xf>
    <xf numFmtId="0" fontId="5" fillId="0" borderId="0" xfId="0" applyFont="1" applyAlignment="1">
      <alignment horizontal="left" vertical="top"/>
    </xf>
    <xf numFmtId="0" fontId="5" fillId="0" borderId="0" xfId="0" quotePrefix="1" applyFont="1" applyAlignment="1">
      <alignment horizontal="left" vertical="top"/>
    </xf>
    <xf numFmtId="0" fontId="5" fillId="0" borderId="0" xfId="0" applyFont="1"/>
    <xf numFmtId="0" fontId="5" fillId="0" borderId="0" xfId="0" applyFont="1" applyAlignment="1">
      <alignment vertical="center"/>
    </xf>
    <xf numFmtId="49" fontId="8" fillId="0" borderId="0" xfId="0" applyNumberFormat="1" applyFont="1" applyAlignment="1">
      <alignment horizontal="center" vertical="center"/>
    </xf>
    <xf numFmtId="164" fontId="5" fillId="0" borderId="0" xfId="0" quotePrefix="1" applyNumberFormat="1" applyFont="1" applyAlignment="1">
      <alignment horizontal="left" vertical="top"/>
    </xf>
    <xf numFmtId="0" fontId="10" fillId="0" borderId="0" xfId="0" applyFont="1" applyAlignment="1">
      <alignment horizontal="center" vertical="center"/>
    </xf>
    <xf numFmtId="0" fontId="10" fillId="0" borderId="1" xfId="0" applyFont="1" applyBorder="1" applyAlignment="1">
      <alignment horizontal="center" vertical="center"/>
    </xf>
    <xf numFmtId="2" fontId="0" fillId="0" borderId="1" xfId="0" applyNumberFormat="1" applyBorder="1" applyAlignment="1">
      <alignment horizontal="center" vertical="center"/>
    </xf>
    <xf numFmtId="2" fontId="5" fillId="0" borderId="0" xfId="0" applyNumberFormat="1" applyFont="1" applyAlignment="1">
      <alignment horizontal="left" vertical="top"/>
    </xf>
    <xf numFmtId="0" fontId="4" fillId="0" borderId="0" xfId="0" applyFont="1" applyAlignment="1">
      <alignment horizontal="left" vertical="top" wrapText="1"/>
    </xf>
    <xf numFmtId="0" fontId="4" fillId="0" borderId="0" xfId="0" applyFont="1" applyAlignment="1">
      <alignment horizontal="left" vertical="top"/>
    </xf>
    <xf numFmtId="0" fontId="8" fillId="0" borderId="0" xfId="0" applyFont="1" applyAlignment="1">
      <alignment vertical="center"/>
    </xf>
    <xf numFmtId="0" fontId="5" fillId="0" borderId="1" xfId="0" applyFont="1" applyBorder="1" applyAlignment="1">
      <alignment horizontal="left" vertical="top"/>
    </xf>
    <xf numFmtId="0" fontId="11" fillId="0" borderId="0" xfId="0" applyFont="1" applyAlignment="1">
      <alignment horizontal="left" vertical="top"/>
    </xf>
    <xf numFmtId="49" fontId="11" fillId="0" borderId="0" xfId="0" applyNumberFormat="1" applyFont="1" applyAlignment="1">
      <alignment horizontal="left" vertical="top"/>
    </xf>
    <xf numFmtId="0" fontId="9" fillId="0" borderId="0" xfId="0" applyFont="1" applyAlignment="1">
      <alignment horizontal="left" vertical="top"/>
    </xf>
    <xf numFmtId="0" fontId="9" fillId="0" borderId="0" xfId="0" applyFont="1" applyAlignment="1">
      <alignment horizontal="left" vertical="top" wrapText="1"/>
    </xf>
    <xf numFmtId="49" fontId="9" fillId="0" borderId="0" xfId="0" applyNumberFormat="1" applyFont="1" applyAlignment="1">
      <alignment horizontal="left" vertical="top"/>
    </xf>
    <xf numFmtId="0" fontId="11" fillId="0" borderId="0" xfId="0" quotePrefix="1" applyFont="1" applyAlignment="1">
      <alignment horizontal="left" vertical="top"/>
    </xf>
    <xf numFmtId="0" fontId="11" fillId="0" borderId="0" xfId="0" applyFont="1" applyAlignment="1">
      <alignment horizontal="left" vertical="top" wrapText="1"/>
    </xf>
    <xf numFmtId="0" fontId="5" fillId="0" borderId="0" xfId="0" applyFont="1" applyAlignment="1">
      <alignment horizontal="left" vertical="center"/>
    </xf>
    <xf numFmtId="0" fontId="3" fillId="0" borderId="0" xfId="0" applyFont="1" applyAlignment="1">
      <alignment horizontal="left" vertical="top"/>
    </xf>
    <xf numFmtId="0" fontId="10" fillId="0" borderId="0" xfId="0" applyFont="1" applyAlignment="1">
      <alignment horizontal="left" vertical="center"/>
    </xf>
    <xf numFmtId="0" fontId="5" fillId="0" borderId="0" xfId="0" applyFont="1" applyAlignment="1">
      <alignment horizontal="left"/>
    </xf>
    <xf numFmtId="16" fontId="3" fillId="0" borderId="0" xfId="0" quotePrefix="1" applyNumberFormat="1" applyFont="1" applyAlignment="1">
      <alignment horizontal="left" vertical="top"/>
    </xf>
    <xf numFmtId="0" fontId="3" fillId="0" borderId="0" xfId="0" quotePrefix="1" applyFont="1" applyAlignment="1">
      <alignment horizontal="left" vertical="top"/>
    </xf>
    <xf numFmtId="164" fontId="3" fillId="0" borderId="0" xfId="0" quotePrefix="1" applyNumberFormat="1" applyFont="1" applyAlignment="1">
      <alignment horizontal="left" vertical="top"/>
    </xf>
    <xf numFmtId="0" fontId="2" fillId="0" borderId="0" xfId="0" applyFont="1" applyAlignment="1">
      <alignment horizontal="left" vertical="top"/>
    </xf>
    <xf numFmtId="0" fontId="5" fillId="0" borderId="2" xfId="0" applyFont="1" applyBorder="1" applyAlignment="1">
      <alignment horizontal="left" vertical="top"/>
    </xf>
    <xf numFmtId="0" fontId="3" fillId="0" borderId="2" xfId="0" applyFont="1" applyBorder="1" applyAlignment="1">
      <alignment horizontal="left" vertical="top"/>
    </xf>
    <xf numFmtId="0" fontId="2" fillId="0" borderId="2" xfId="0" applyFont="1" applyBorder="1" applyAlignment="1">
      <alignment horizontal="left" vertical="top"/>
    </xf>
    <xf numFmtId="0" fontId="4" fillId="0" borderId="2" xfId="0" applyFont="1" applyBorder="1" applyAlignment="1">
      <alignment horizontal="left" vertical="top"/>
    </xf>
    <xf numFmtId="0" fontId="5" fillId="0" borderId="3" xfId="0" applyFont="1" applyBorder="1" applyAlignment="1">
      <alignment horizontal="left" vertical="top"/>
    </xf>
    <xf numFmtId="0" fontId="2" fillId="0" borderId="3" xfId="0" applyFont="1" applyBorder="1" applyAlignment="1">
      <alignment horizontal="left" vertical="top"/>
    </xf>
    <xf numFmtId="16" fontId="3" fillId="0" borderId="2" xfId="0" quotePrefix="1" applyNumberFormat="1" applyFont="1" applyBorder="1" applyAlignment="1">
      <alignment horizontal="left" vertical="top"/>
    </xf>
    <xf numFmtId="16" fontId="3" fillId="0" borderId="3" xfId="0" quotePrefix="1" applyNumberFormat="1" applyFont="1" applyBorder="1" applyAlignment="1">
      <alignment horizontal="left" vertical="top"/>
    </xf>
    <xf numFmtId="0" fontId="3" fillId="0" borderId="3" xfId="0" quotePrefix="1" applyFont="1" applyBorder="1" applyAlignment="1">
      <alignment horizontal="left" vertical="top"/>
    </xf>
    <xf numFmtId="0" fontId="3" fillId="0" borderId="2" xfId="0" quotePrefix="1" applyFont="1" applyBorder="1" applyAlignment="1">
      <alignment horizontal="left" vertical="top"/>
    </xf>
    <xf numFmtId="0" fontId="9" fillId="0" borderId="2" xfId="0" applyFont="1" applyBorder="1" applyAlignment="1">
      <alignment horizontal="left" vertical="top"/>
    </xf>
    <xf numFmtId="0" fontId="2" fillId="0" borderId="3" xfId="0" quotePrefix="1" applyFont="1" applyBorder="1" applyAlignment="1">
      <alignment horizontal="left" vertical="top"/>
    </xf>
    <xf numFmtId="0" fontId="2" fillId="0" borderId="0" xfId="0" quotePrefix="1" applyFont="1" applyAlignment="1">
      <alignment horizontal="left" vertical="top"/>
    </xf>
    <xf numFmtId="0" fontId="2" fillId="0" borderId="2" xfId="0" quotePrefix="1" applyFont="1" applyBorder="1" applyAlignment="1">
      <alignment horizontal="left" vertical="top"/>
    </xf>
    <xf numFmtId="0" fontId="13" fillId="0" borderId="2" xfId="1" applyBorder="1" applyAlignment="1">
      <alignment horizontal="left" vertical="top" wrapText="1"/>
    </xf>
    <xf numFmtId="0" fontId="13" fillId="0" borderId="3" xfId="1" applyBorder="1" applyAlignment="1">
      <alignment horizontal="left" vertical="top" wrapText="1"/>
    </xf>
    <xf numFmtId="0" fontId="13" fillId="0" borderId="3" xfId="1" applyBorder="1" applyAlignment="1">
      <alignment horizontal="left" vertical="top"/>
    </xf>
    <xf numFmtId="0" fontId="13" fillId="0" borderId="0" xfId="1" applyAlignment="1">
      <alignment horizontal="left" vertical="top"/>
    </xf>
    <xf numFmtId="10" fontId="2" fillId="0" borderId="3" xfId="0" applyNumberFormat="1" applyFont="1" applyBorder="1" applyAlignment="1">
      <alignment horizontal="left" vertical="top"/>
    </xf>
    <xf numFmtId="10" fontId="2" fillId="0" borderId="2" xfId="0" applyNumberFormat="1" applyFont="1" applyBorder="1" applyAlignment="1">
      <alignment horizontal="left" vertical="top"/>
    </xf>
    <xf numFmtId="10" fontId="2" fillId="0" borderId="4" xfId="0" applyNumberFormat="1" applyFont="1" applyBorder="1" applyAlignment="1">
      <alignment horizontal="left" vertical="top"/>
    </xf>
    <xf numFmtId="0" fontId="2" fillId="0" borderId="4" xfId="0" applyFont="1" applyBorder="1" applyAlignment="1">
      <alignment horizontal="left" vertical="top"/>
    </xf>
    <xf numFmtId="9" fontId="5" fillId="0" borderId="0" xfId="0" applyNumberFormat="1" applyFont="1" applyAlignment="1">
      <alignment horizontal="left" vertical="top"/>
    </xf>
    <xf numFmtId="9" fontId="5" fillId="0" borderId="2" xfId="0" applyNumberFormat="1" applyFont="1" applyBorder="1" applyAlignment="1">
      <alignment horizontal="left" vertical="top"/>
    </xf>
    <xf numFmtId="0" fontId="7" fillId="0" borderId="0" xfId="0" applyFont="1" applyAlignment="1">
      <alignment horizontal="left" vertical="top"/>
    </xf>
    <xf numFmtId="9" fontId="4" fillId="0" borderId="2" xfId="0" applyNumberFormat="1" applyFont="1" applyBorder="1" applyAlignment="1">
      <alignment horizontal="left" vertical="top"/>
    </xf>
    <xf numFmtId="10" fontId="5" fillId="0" borderId="0" xfId="0" applyNumberFormat="1" applyFont="1" applyAlignment="1">
      <alignment horizontal="left" vertical="top"/>
    </xf>
    <xf numFmtId="10" fontId="5" fillId="0" borderId="2" xfId="0" applyNumberFormat="1" applyFont="1" applyBorder="1" applyAlignment="1">
      <alignment horizontal="left" vertical="top"/>
    </xf>
    <xf numFmtId="10" fontId="4" fillId="0" borderId="2" xfId="0" applyNumberFormat="1" applyFont="1" applyBorder="1" applyAlignment="1">
      <alignment horizontal="left" vertical="top"/>
    </xf>
    <xf numFmtId="10" fontId="4" fillId="0" borderId="0" xfId="0" applyNumberFormat="1" applyFont="1" applyAlignment="1">
      <alignment horizontal="left" vertical="top"/>
    </xf>
    <xf numFmtId="0" fontId="2" fillId="0" borderId="0" xfId="0" applyFont="1" applyAlignment="1">
      <alignment horizontal="left" vertical="top" wrapText="1"/>
    </xf>
    <xf numFmtId="0" fontId="4" fillId="0" borderId="3" xfId="0" applyFont="1" applyBorder="1" applyAlignment="1">
      <alignment vertical="center"/>
    </xf>
    <xf numFmtId="0" fontId="5" fillId="0" borderId="3" xfId="0" applyFont="1" applyBorder="1" applyAlignment="1">
      <alignment horizontal="left" vertical="center"/>
    </xf>
    <xf numFmtId="0" fontId="2" fillId="0" borderId="3" xfId="0" applyFont="1" applyBorder="1" applyAlignment="1">
      <alignment vertical="center"/>
    </xf>
    <xf numFmtId="0" fontId="3" fillId="0" borderId="3" xfId="0" quotePrefix="1" applyFont="1" applyBorder="1" applyAlignment="1">
      <alignment vertical="center"/>
    </xf>
    <xf numFmtId="0" fontId="4" fillId="0" borderId="3" xfId="0" applyFont="1" applyBorder="1" applyAlignment="1">
      <alignment horizontal="left" vertical="center"/>
    </xf>
    <xf numFmtId="0" fontId="2" fillId="0" borderId="3" xfId="0" applyFont="1" applyBorder="1" applyAlignment="1">
      <alignment horizontal="left" vertical="center"/>
    </xf>
    <xf numFmtId="0" fontId="3" fillId="0" borderId="0" xfId="0" quotePrefix="1" applyFont="1" applyAlignment="1">
      <alignment vertical="center"/>
    </xf>
    <xf numFmtId="0" fontId="4" fillId="0" borderId="0" xfId="0" applyFont="1" applyAlignment="1">
      <alignment vertical="center"/>
    </xf>
    <xf numFmtId="0" fontId="4" fillId="0" borderId="0" xfId="0" applyFont="1" applyAlignment="1">
      <alignment vertical="center" wrapText="1"/>
    </xf>
    <xf numFmtId="0" fontId="11" fillId="0" borderId="0" xfId="0" applyFont="1" applyAlignment="1">
      <alignment vertical="center"/>
    </xf>
    <xf numFmtId="0" fontId="11" fillId="0" borderId="0" xfId="0" applyFont="1" applyAlignment="1">
      <alignment horizontal="left" vertical="center"/>
    </xf>
    <xf numFmtId="2" fontId="11" fillId="0" borderId="0" xfId="0" applyNumberFormat="1" applyFont="1" applyAlignment="1">
      <alignment horizontal="left" vertical="top"/>
    </xf>
    <xf numFmtId="0" fontId="2" fillId="0" borderId="0" xfId="0" applyFont="1" applyAlignment="1">
      <alignment vertical="center"/>
    </xf>
    <xf numFmtId="0" fontId="4" fillId="0" borderId="0" xfId="0" applyFont="1" applyAlignment="1">
      <alignment horizontal="left" vertical="center"/>
    </xf>
    <xf numFmtId="0" fontId="2" fillId="0" borderId="0" xfId="0" applyFont="1"/>
    <xf numFmtId="0" fontId="2" fillId="0" borderId="0" xfId="0" applyFont="1" applyAlignment="1">
      <alignment horizontal="left" vertical="center"/>
    </xf>
    <xf numFmtId="0" fontId="4" fillId="0" borderId="0" xfId="0" applyFont="1" applyAlignment="1">
      <alignment wrapText="1"/>
    </xf>
    <xf numFmtId="0" fontId="4" fillId="0" borderId="2" xfId="0" applyFont="1" applyBorder="1" applyAlignment="1">
      <alignment vertical="center"/>
    </xf>
    <xf numFmtId="0" fontId="5" fillId="0" borderId="2" xfId="0" applyFont="1" applyBorder="1" applyAlignment="1">
      <alignment horizontal="left" vertical="center"/>
    </xf>
    <xf numFmtId="0" fontId="2" fillId="0" borderId="2" xfId="0" applyFont="1" applyBorder="1" applyAlignment="1">
      <alignment vertical="center"/>
    </xf>
    <xf numFmtId="0" fontId="3" fillId="0" borderId="2" xfId="0" quotePrefix="1" applyFont="1" applyBorder="1" applyAlignment="1">
      <alignment vertical="center"/>
    </xf>
    <xf numFmtId="0" fontId="4" fillId="0" borderId="2" xfId="0" applyFont="1" applyBorder="1" applyAlignment="1">
      <alignment horizontal="left" vertical="center"/>
    </xf>
    <xf numFmtId="0" fontId="2" fillId="0" borderId="2" xfId="0" applyFont="1" applyBorder="1" applyAlignment="1">
      <alignment horizontal="left" vertical="center"/>
    </xf>
    <xf numFmtId="0" fontId="13" fillId="0" borderId="0" xfId="1" applyFill="1" applyAlignment="1">
      <alignment vertical="center"/>
    </xf>
    <xf numFmtId="10" fontId="4" fillId="0" borderId="3" xfId="0" applyNumberFormat="1" applyFont="1" applyBorder="1" applyAlignment="1">
      <alignment horizontal="left" vertical="center"/>
    </xf>
    <xf numFmtId="0" fontId="5" fillId="0" borderId="4" xfId="0" applyFont="1" applyBorder="1" applyAlignment="1">
      <alignment horizontal="left" vertical="top"/>
    </xf>
    <xf numFmtId="0" fontId="4" fillId="0" borderId="4" xfId="0" applyFont="1" applyBorder="1" applyAlignment="1">
      <alignment vertical="center"/>
    </xf>
    <xf numFmtId="0" fontId="2" fillId="0" borderId="4" xfId="0" applyFont="1" applyBorder="1" applyAlignment="1">
      <alignment vertical="center"/>
    </xf>
    <xf numFmtId="0" fontId="5" fillId="0" borderId="4" xfId="0" applyFont="1" applyBorder="1" applyAlignment="1">
      <alignment horizontal="left" vertical="center"/>
    </xf>
    <xf numFmtId="165" fontId="4" fillId="0" borderId="0" xfId="0" applyNumberFormat="1" applyFont="1" applyAlignment="1">
      <alignment horizontal="left" vertical="center"/>
    </xf>
    <xf numFmtId="9" fontId="4" fillId="0" borderId="0" xfId="0" applyNumberFormat="1" applyFont="1" applyAlignment="1">
      <alignment horizontal="left" vertical="center"/>
    </xf>
    <xf numFmtId="165" fontId="4" fillId="0" borderId="2" xfId="0" applyNumberFormat="1" applyFont="1" applyBorder="1" applyAlignment="1">
      <alignment horizontal="left" vertical="center"/>
    </xf>
    <xf numFmtId="9" fontId="4" fillId="0" borderId="2" xfId="0" applyNumberFormat="1" applyFont="1" applyBorder="1" applyAlignment="1">
      <alignment horizontal="left" vertical="center"/>
    </xf>
    <xf numFmtId="165" fontId="4" fillId="0" borderId="3" xfId="0" applyNumberFormat="1" applyFont="1" applyBorder="1" applyAlignment="1">
      <alignment horizontal="left" vertical="center"/>
    </xf>
    <xf numFmtId="165" fontId="4" fillId="0" borderId="0" xfId="0" applyNumberFormat="1" applyFont="1" applyAlignment="1">
      <alignment vertical="center"/>
    </xf>
    <xf numFmtId="165" fontId="4" fillId="0" borderId="2" xfId="0" applyNumberFormat="1" applyFont="1" applyBorder="1" applyAlignment="1">
      <alignment vertical="center"/>
    </xf>
    <xf numFmtId="0" fontId="2" fillId="0" borderId="2" xfId="0" applyFont="1" applyBorder="1" applyAlignment="1">
      <alignment vertical="center" wrapText="1"/>
    </xf>
    <xf numFmtId="165" fontId="2" fillId="0" borderId="3" xfId="0" applyNumberFormat="1" applyFont="1" applyBorder="1" applyAlignment="1">
      <alignment horizontal="left" vertical="center"/>
    </xf>
    <xf numFmtId="9" fontId="2" fillId="0" borderId="3" xfId="0" applyNumberFormat="1" applyFont="1" applyBorder="1" applyAlignment="1">
      <alignment horizontal="left" vertical="center"/>
    </xf>
    <xf numFmtId="10" fontId="4" fillId="0" borderId="0" xfId="0" applyNumberFormat="1" applyFont="1" applyAlignment="1">
      <alignment horizontal="left" vertical="center"/>
    </xf>
    <xf numFmtId="10" fontId="2" fillId="0" borderId="0" xfId="0" applyNumberFormat="1" applyFont="1" applyAlignment="1">
      <alignment horizontal="left" vertical="center"/>
    </xf>
    <xf numFmtId="0" fontId="1" fillId="0" borderId="0" xfId="0" applyFont="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1" fillId="0" borderId="3" xfId="0" applyFont="1" applyBorder="1" applyAlignment="1">
      <alignment vertical="center"/>
    </xf>
    <xf numFmtId="0" fontId="1" fillId="0" borderId="0" xfId="0" applyFont="1" applyAlignment="1">
      <alignment vertical="center"/>
    </xf>
    <xf numFmtId="0" fontId="1" fillId="0" borderId="2" xfId="0" applyFont="1" applyBorder="1" applyAlignment="1">
      <alignment vertical="center"/>
    </xf>
    <xf numFmtId="0" fontId="2" fillId="0" borderId="1" xfId="0" applyFont="1" applyBorder="1" applyAlignment="1">
      <alignment horizontal="left" vertical="top"/>
    </xf>
    <xf numFmtId="0" fontId="2" fillId="0" borderId="1" xfId="0" applyFont="1" applyBorder="1" applyAlignment="1">
      <alignment horizontal="left" vertical="center"/>
    </xf>
    <xf numFmtId="0" fontId="5" fillId="0" borderId="1" xfId="0" applyFont="1" applyBorder="1" applyAlignment="1">
      <alignment horizontal="left" vertical="center"/>
    </xf>
    <xf numFmtId="0" fontId="1" fillId="0" borderId="3" xfId="0" applyFont="1" applyBorder="1" applyAlignment="1">
      <alignment horizontal="left" vertical="center"/>
    </xf>
    <xf numFmtId="0" fontId="1" fillId="0" borderId="0" xfId="0" applyFont="1" applyAlignment="1">
      <alignment horizontal="left" vertical="center"/>
    </xf>
    <xf numFmtId="0" fontId="1" fillId="0" borderId="2" xfId="0" applyFont="1" applyBorder="1" applyAlignment="1">
      <alignment horizontal="left" vertical="center"/>
    </xf>
    <xf numFmtId="0" fontId="1" fillId="0" borderId="1" xfId="0" applyFont="1" applyBorder="1" applyAlignment="1">
      <alignment horizontal="left" vertical="center"/>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wikipedia.org/wiki/Ray-Ban" TargetMode="External"/><Relationship Id="rId7" Type="http://schemas.openxmlformats.org/officeDocument/2006/relationships/printerSettings" Target="../printerSettings/printerSettings1.bin"/><Relationship Id="rId2" Type="http://schemas.openxmlformats.org/officeDocument/2006/relationships/hyperlink" Target="https://en.wikipedia.org/wiki/Die_Fantastischen_Vier" TargetMode="External"/><Relationship Id="rId1" Type="http://schemas.openxmlformats.org/officeDocument/2006/relationships/hyperlink" Target="https://en.wikipedia.org/wiki/L%27Or&#233;al" TargetMode="External"/><Relationship Id="rId6" Type="http://schemas.openxmlformats.org/officeDocument/2006/relationships/hyperlink" Target="https://en.wikipedia.org/wiki/JD.com" TargetMode="External"/><Relationship Id="rId5" Type="http://schemas.openxmlformats.org/officeDocument/2006/relationships/hyperlink" Target="https://en.wikipedia.org/wiki/Heineken" TargetMode="External"/><Relationship Id="rId4" Type="http://schemas.openxmlformats.org/officeDocument/2006/relationships/hyperlink" Target="https://en.wikipedia.org/wiki/Ray-B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949"/>
  <sheetViews>
    <sheetView tabSelected="1" zoomScale="70" zoomScaleNormal="70" workbookViewId="0">
      <pane xSplit="12" topLeftCell="BH1" activePane="topRight" state="frozen"/>
      <selection pane="topRight" activeCell="BO2" sqref="BO2"/>
    </sheetView>
  </sheetViews>
  <sheetFormatPr baseColWidth="10" defaultColWidth="14.453125" defaultRowHeight="15" customHeight="1" x14ac:dyDescent="0.35"/>
  <cols>
    <col min="1" max="1" width="6" style="7" customWidth="1"/>
    <col min="2" max="2" width="14.453125" style="7" customWidth="1"/>
    <col min="3" max="3" width="7.453125" style="7" customWidth="1"/>
    <col min="4" max="4" width="12.81640625" style="7" customWidth="1"/>
    <col min="5" max="5" width="51.6328125" style="7" customWidth="1"/>
    <col min="6" max="6" width="10.90625" style="7" customWidth="1"/>
    <col min="7" max="7" width="11.90625" style="29" customWidth="1"/>
    <col min="8" max="8" width="14.6328125" style="29" customWidth="1"/>
    <col min="9" max="9" width="22.81640625" style="7" customWidth="1"/>
    <col min="10" max="10" width="28.90625" style="7" customWidth="1"/>
    <col min="11" max="14" width="10.6328125" style="7" customWidth="1"/>
    <col min="15" max="15" width="15.6328125" style="7" customWidth="1"/>
    <col min="16" max="16" width="12.81640625" style="7" customWidth="1"/>
    <col min="17" max="26" width="10.6328125" style="7" customWidth="1"/>
    <col min="27" max="27" width="21.54296875" style="7" customWidth="1"/>
    <col min="28" max="48" width="10.6328125" style="7" customWidth="1"/>
    <col min="49" max="49" width="13.36328125" style="7" customWidth="1"/>
    <col min="50" max="50" width="76.453125" style="7" customWidth="1"/>
    <col min="51" max="53" width="10.6328125" style="7" customWidth="1"/>
    <col min="54" max="54" width="22.54296875" style="7" customWidth="1"/>
    <col min="55" max="55" width="23" style="7" customWidth="1"/>
    <col min="56" max="56" width="32.6328125" style="7" customWidth="1"/>
    <col min="57" max="60" width="10.6328125" style="7" customWidth="1"/>
    <col min="61" max="61" width="19.90625" style="7" customWidth="1"/>
    <col min="62" max="62" width="12.453125" style="7" customWidth="1"/>
    <col min="63" max="69" width="10.6328125" style="7" customWidth="1"/>
    <col min="70" max="70" width="13.36328125" style="7" customWidth="1"/>
    <col min="71" max="72" width="10.6328125" customWidth="1"/>
  </cols>
  <sheetData>
    <row r="1" spans="1:72" ht="14.5" x14ac:dyDescent="0.35">
      <c r="A1" s="9" t="s">
        <v>631</v>
      </c>
      <c r="B1" s="4" t="s">
        <v>0</v>
      </c>
      <c r="C1" s="9" t="s">
        <v>1</v>
      </c>
      <c r="D1" s="4" t="s">
        <v>2</v>
      </c>
      <c r="E1" s="4" t="s">
        <v>3</v>
      </c>
      <c r="F1" s="11" t="s">
        <v>163</v>
      </c>
      <c r="G1" s="28" t="s">
        <v>341</v>
      </c>
      <c r="H1" s="28" t="s">
        <v>164</v>
      </c>
      <c r="I1" s="11" t="s">
        <v>165</v>
      </c>
      <c r="J1" s="11" t="s">
        <v>166</v>
      </c>
      <c r="K1" s="12" t="s">
        <v>167</v>
      </c>
      <c r="L1" s="12" t="s">
        <v>168</v>
      </c>
      <c r="M1" s="4" t="s">
        <v>4</v>
      </c>
      <c r="N1" s="4" t="s">
        <v>5</v>
      </c>
      <c r="O1" s="4" t="s">
        <v>464</v>
      </c>
      <c r="P1" s="4" t="s">
        <v>6</v>
      </c>
      <c r="Q1" s="4" t="s">
        <v>8</v>
      </c>
      <c r="R1" s="4" t="s">
        <v>17</v>
      </c>
      <c r="S1" s="4" t="s">
        <v>339</v>
      </c>
      <c r="T1" s="4" t="s">
        <v>630</v>
      </c>
      <c r="U1" s="4" t="s">
        <v>340</v>
      </c>
      <c r="V1" s="4" t="s">
        <v>470</v>
      </c>
      <c r="W1" s="4" t="s">
        <v>440</v>
      </c>
      <c r="X1" s="4" t="s">
        <v>441</v>
      </c>
      <c r="Y1" s="4" t="s">
        <v>442</v>
      </c>
      <c r="Z1" s="4" t="s">
        <v>449</v>
      </c>
      <c r="AA1" s="4" t="s">
        <v>621</v>
      </c>
      <c r="AB1" s="11" t="s">
        <v>443</v>
      </c>
      <c r="AC1" s="11" t="s">
        <v>444</v>
      </c>
      <c r="AD1" s="11" t="s">
        <v>445</v>
      </c>
      <c r="AE1" s="11" t="s">
        <v>446</v>
      </c>
      <c r="AF1" s="4" t="s">
        <v>632</v>
      </c>
      <c r="AG1" s="4" t="s">
        <v>447</v>
      </c>
      <c r="AH1" s="4" t="s">
        <v>623</v>
      </c>
      <c r="AI1" s="4" t="s">
        <v>624</v>
      </c>
      <c r="AJ1" s="4" t="s">
        <v>448</v>
      </c>
      <c r="AK1" s="4" t="s">
        <v>450</v>
      </c>
      <c r="AL1" s="4" t="s">
        <v>454</v>
      </c>
      <c r="AM1" s="4" t="s">
        <v>451</v>
      </c>
      <c r="AN1" s="4" t="s">
        <v>452</v>
      </c>
      <c r="AO1" s="4" t="s">
        <v>453</v>
      </c>
      <c r="AP1" s="4" t="s">
        <v>622</v>
      </c>
      <c r="AQ1" s="4" t="s">
        <v>455</v>
      </c>
      <c r="AR1" s="4" t="s">
        <v>456</v>
      </c>
      <c r="AS1" s="4" t="s">
        <v>457</v>
      </c>
      <c r="AT1" s="4" t="s">
        <v>458</v>
      </c>
      <c r="AU1" s="4" t="s">
        <v>459</v>
      </c>
      <c r="AV1" s="4" t="s">
        <v>7</v>
      </c>
      <c r="AW1" s="4" t="s">
        <v>9</v>
      </c>
      <c r="AX1" s="4" t="s">
        <v>169</v>
      </c>
      <c r="AY1" s="4" t="s">
        <v>170</v>
      </c>
      <c r="AZ1" s="4" t="s">
        <v>171</v>
      </c>
      <c r="BA1" s="4" t="s">
        <v>172</v>
      </c>
      <c r="BB1" s="4" t="s">
        <v>173</v>
      </c>
      <c r="BC1" s="11" t="s">
        <v>174</v>
      </c>
      <c r="BD1" s="11" t="s">
        <v>175</v>
      </c>
      <c r="BE1" s="11" t="s">
        <v>176</v>
      </c>
      <c r="BF1" s="11" t="s">
        <v>177</v>
      </c>
      <c r="BG1" s="11" t="s">
        <v>179</v>
      </c>
      <c r="BH1" s="11" t="s">
        <v>180</v>
      </c>
      <c r="BI1" s="11" t="s">
        <v>178</v>
      </c>
      <c r="BJ1" s="4" t="s">
        <v>10</v>
      </c>
      <c r="BK1" s="4" t="s">
        <v>181</v>
      </c>
      <c r="BL1" s="4" t="s">
        <v>182</v>
      </c>
      <c r="BM1" s="4" t="s">
        <v>184</v>
      </c>
      <c r="BN1" s="4" t="s">
        <v>185</v>
      </c>
      <c r="BO1" s="4" t="s">
        <v>183</v>
      </c>
      <c r="BP1" s="4" t="s">
        <v>629</v>
      </c>
      <c r="BQ1" s="4" t="s">
        <v>186</v>
      </c>
      <c r="BR1" s="4" t="s">
        <v>11</v>
      </c>
      <c r="BS1" s="17" t="s">
        <v>187</v>
      </c>
      <c r="BT1" s="1"/>
    </row>
    <row r="2" spans="1:72" s="3" customFormat="1" ht="17.5" customHeight="1" x14ac:dyDescent="0.35">
      <c r="A2" s="34">
        <v>1</v>
      </c>
      <c r="B2" s="34" t="s">
        <v>12</v>
      </c>
      <c r="C2" s="34">
        <v>2021</v>
      </c>
      <c r="D2" s="34" t="s">
        <v>13</v>
      </c>
      <c r="E2" s="35" t="s">
        <v>242</v>
      </c>
      <c r="F2" s="36" t="s">
        <v>460</v>
      </c>
      <c r="G2" s="34">
        <v>1</v>
      </c>
      <c r="H2" s="34">
        <v>0</v>
      </c>
      <c r="I2" s="34">
        <v>1</v>
      </c>
      <c r="J2" s="34">
        <v>1</v>
      </c>
      <c r="K2" s="107" t="s">
        <v>467</v>
      </c>
      <c r="L2" s="34">
        <v>1</v>
      </c>
      <c r="M2" s="34" t="s">
        <v>14</v>
      </c>
      <c r="N2" s="34">
        <v>202</v>
      </c>
      <c r="O2" s="34">
        <v>1</v>
      </c>
      <c r="P2" s="34" t="s">
        <v>15</v>
      </c>
      <c r="Q2" s="34" t="s">
        <v>17</v>
      </c>
      <c r="R2" s="34">
        <v>1</v>
      </c>
      <c r="S2" s="34">
        <v>0</v>
      </c>
      <c r="T2" s="34">
        <v>0</v>
      </c>
      <c r="U2" s="34">
        <v>0</v>
      </c>
      <c r="V2" s="36" t="s">
        <v>471</v>
      </c>
      <c r="W2" s="34">
        <v>1</v>
      </c>
      <c r="X2" s="34">
        <v>0</v>
      </c>
      <c r="Y2" s="34">
        <v>0</v>
      </c>
      <c r="Z2" s="34">
        <v>1</v>
      </c>
      <c r="AA2" s="36" t="s">
        <v>472</v>
      </c>
      <c r="AB2" s="36" t="s">
        <v>473</v>
      </c>
      <c r="AC2" s="36" t="s">
        <v>473</v>
      </c>
      <c r="AD2" s="34">
        <v>1</v>
      </c>
      <c r="AE2" s="36" t="s">
        <v>474</v>
      </c>
      <c r="AF2" s="34">
        <v>1</v>
      </c>
      <c r="AG2" s="36" t="s">
        <v>475</v>
      </c>
      <c r="AH2" s="36">
        <v>4.3</v>
      </c>
      <c r="AI2" s="36">
        <v>2.6</v>
      </c>
      <c r="AJ2" s="36" t="s">
        <v>526</v>
      </c>
      <c r="AK2" s="36" t="s">
        <v>473</v>
      </c>
      <c r="AL2" s="36" t="s">
        <v>473</v>
      </c>
      <c r="AM2" s="36" t="s">
        <v>476</v>
      </c>
      <c r="AN2" s="36" t="s">
        <v>479</v>
      </c>
      <c r="AO2" s="48" t="s">
        <v>478</v>
      </c>
      <c r="AP2" s="34">
        <v>1</v>
      </c>
      <c r="AQ2" s="36" t="s">
        <v>480</v>
      </c>
      <c r="AR2" s="34">
        <v>85</v>
      </c>
      <c r="AS2" s="34">
        <v>26.79</v>
      </c>
      <c r="AT2" s="34">
        <v>0</v>
      </c>
      <c r="AU2" s="34">
        <v>1</v>
      </c>
      <c r="AV2" s="10" t="s">
        <v>16</v>
      </c>
      <c r="AW2" s="5" t="s">
        <v>18</v>
      </c>
      <c r="AX2" s="15" t="s">
        <v>19</v>
      </c>
      <c r="AY2" s="5">
        <v>2</v>
      </c>
      <c r="AZ2" s="5">
        <v>7</v>
      </c>
      <c r="BA2" s="5">
        <v>0.81299999999999994</v>
      </c>
      <c r="BB2" s="5" t="s">
        <v>20</v>
      </c>
      <c r="BC2" s="5" t="s">
        <v>21</v>
      </c>
      <c r="BD2" s="5" t="s">
        <v>22</v>
      </c>
      <c r="BE2" s="5">
        <v>5</v>
      </c>
      <c r="BF2" s="5">
        <v>7</v>
      </c>
      <c r="BG2" s="5">
        <v>0.86799999999999999</v>
      </c>
      <c r="BH2" s="5" t="s">
        <v>20</v>
      </c>
      <c r="BI2" s="5">
        <v>0</v>
      </c>
      <c r="BJ2" s="5">
        <v>0.45900000000000002</v>
      </c>
      <c r="BK2" s="5">
        <f t="shared" ref="BK2:BK11" si="0">N2</f>
        <v>202</v>
      </c>
      <c r="BL2" s="5">
        <f>BJ2</f>
        <v>0.45900000000000002</v>
      </c>
      <c r="BM2" s="5">
        <f>(BL2/SQRT(BA2))</f>
        <v>0.50905817094141026</v>
      </c>
      <c r="BN2" s="13">
        <f>0.5*LN((1+BM2)/(1-BM2))</f>
        <v>0.56145768050150602</v>
      </c>
      <c r="BO2" s="14">
        <f>((1-(BL2)^2)^2)/(BK2-1)</f>
        <v>3.0996242973184078E-3</v>
      </c>
      <c r="BP2" s="14">
        <f>((1-(BM2)^2)^2)/(BK2-1)</f>
        <v>2.7307124952435841E-3</v>
      </c>
      <c r="BQ2" s="14">
        <f>(1/(BK2-3))</f>
        <v>5.0251256281407036E-3</v>
      </c>
      <c r="BR2" s="5" t="s">
        <v>23</v>
      </c>
      <c r="BS2" s="2"/>
      <c r="BT2" s="2"/>
    </row>
    <row r="3" spans="1:72" s="3" customFormat="1" ht="15.75" customHeight="1" x14ac:dyDescent="0.35">
      <c r="A3" s="5">
        <v>2</v>
      </c>
      <c r="B3" s="5" t="s">
        <v>27</v>
      </c>
      <c r="C3" s="5">
        <v>2021</v>
      </c>
      <c r="D3" s="5" t="s">
        <v>28</v>
      </c>
      <c r="E3" s="16" t="s">
        <v>188</v>
      </c>
      <c r="F3" s="33" t="s">
        <v>461</v>
      </c>
      <c r="G3" s="5">
        <v>0</v>
      </c>
      <c r="H3" s="5">
        <v>0</v>
      </c>
      <c r="I3" s="5">
        <v>0</v>
      </c>
      <c r="J3" s="5">
        <v>1</v>
      </c>
      <c r="K3" s="106" t="s">
        <v>469</v>
      </c>
      <c r="L3" s="5">
        <v>0</v>
      </c>
      <c r="M3" s="30" t="s">
        <v>343</v>
      </c>
      <c r="N3" s="5">
        <v>144</v>
      </c>
      <c r="O3" s="5">
        <v>1</v>
      </c>
      <c r="P3" s="5" t="s">
        <v>29</v>
      </c>
      <c r="Q3" s="5" t="s">
        <v>25</v>
      </c>
      <c r="R3" s="5">
        <v>0</v>
      </c>
      <c r="S3" s="5">
        <v>1</v>
      </c>
      <c r="T3" s="5">
        <v>0</v>
      </c>
      <c r="U3" s="5">
        <v>0</v>
      </c>
      <c r="V3" s="33" t="s">
        <v>441</v>
      </c>
      <c r="W3" s="5">
        <v>0</v>
      </c>
      <c r="X3" s="5">
        <v>1</v>
      </c>
      <c r="Y3" s="5">
        <v>0</v>
      </c>
      <c r="Z3" s="5">
        <v>1</v>
      </c>
      <c r="AA3" s="106" t="s">
        <v>620</v>
      </c>
      <c r="AB3" s="33" t="s">
        <v>473</v>
      </c>
      <c r="AC3" s="33" t="s">
        <v>473</v>
      </c>
      <c r="AD3" s="5">
        <v>0</v>
      </c>
      <c r="AE3" s="33" t="s">
        <v>481</v>
      </c>
      <c r="AF3" s="5">
        <v>0</v>
      </c>
      <c r="AG3" s="33" t="s">
        <v>482</v>
      </c>
      <c r="AH3" s="33">
        <v>3.9</v>
      </c>
      <c r="AI3" s="33">
        <v>2.7</v>
      </c>
      <c r="AJ3" s="33" t="s">
        <v>483</v>
      </c>
      <c r="AK3" s="33" t="s">
        <v>473</v>
      </c>
      <c r="AL3" s="33" t="s">
        <v>473</v>
      </c>
      <c r="AM3" s="33" t="s">
        <v>486</v>
      </c>
      <c r="AN3" s="33" t="s">
        <v>477</v>
      </c>
      <c r="AO3" s="5" t="s">
        <v>484</v>
      </c>
      <c r="AP3" s="5">
        <v>1</v>
      </c>
      <c r="AQ3" s="33" t="s">
        <v>485</v>
      </c>
      <c r="AR3" s="5">
        <v>30</v>
      </c>
      <c r="AS3" s="33">
        <v>30</v>
      </c>
      <c r="AT3" s="33">
        <v>1</v>
      </c>
      <c r="AU3" s="33">
        <v>0</v>
      </c>
      <c r="AV3" s="32" t="s">
        <v>375</v>
      </c>
      <c r="AW3" s="5" t="s">
        <v>30</v>
      </c>
      <c r="AX3" s="15" t="s">
        <v>31</v>
      </c>
      <c r="AY3" s="5">
        <v>3</v>
      </c>
      <c r="AZ3" s="5">
        <v>7</v>
      </c>
      <c r="BA3" s="5">
        <v>0.84199999999999997</v>
      </c>
      <c r="BB3" s="5" t="s">
        <v>32</v>
      </c>
      <c r="BC3" s="5" t="s">
        <v>33</v>
      </c>
      <c r="BD3" s="15" t="s">
        <v>34</v>
      </c>
      <c r="BE3" s="5">
        <v>4</v>
      </c>
      <c r="BF3" s="5">
        <v>7</v>
      </c>
      <c r="BG3" s="5">
        <v>0.95</v>
      </c>
      <c r="BH3" s="5" t="s">
        <v>32</v>
      </c>
      <c r="BI3" s="5">
        <v>0</v>
      </c>
      <c r="BJ3" s="5">
        <v>0.38700000000000001</v>
      </c>
      <c r="BK3" s="5">
        <f t="shared" si="0"/>
        <v>144</v>
      </c>
      <c r="BL3" s="5">
        <f t="shared" ref="BL3:BL12" si="1">BJ3</f>
        <v>0.38700000000000001</v>
      </c>
      <c r="BM3" s="5">
        <f t="shared" ref="BM3:BM66" si="2">(BL3/SQRT(BA3))</f>
        <v>0.42174983297590285</v>
      </c>
      <c r="BN3" s="13">
        <f t="shared" ref="BN3:BN66" si="3">0.5*LN((1+BM3)/(1-BM3))</f>
        <v>0.44981853937673849</v>
      </c>
      <c r="BO3" s="14">
        <f t="shared" ref="BO3:BO11" si="4">((1-(BL3)^2)^2)/(BK3-1)</f>
        <v>5.0551940794475517E-3</v>
      </c>
      <c r="BP3" s="14">
        <f>((1-(BM3)^2)^2)/(BK3-1)</f>
        <v>4.726524007087579E-3</v>
      </c>
      <c r="BQ3" s="14">
        <f t="shared" ref="BQ3:BQ11" si="5">(1/(BK3-3))</f>
        <v>7.0921985815602835E-3</v>
      </c>
      <c r="BR3" s="16" t="s">
        <v>189</v>
      </c>
      <c r="BS3" s="2"/>
      <c r="BT3" s="2"/>
    </row>
    <row r="4" spans="1:72" s="3" customFormat="1" ht="15.75" customHeight="1" x14ac:dyDescent="0.35">
      <c r="A4" s="5">
        <v>2</v>
      </c>
      <c r="B4" s="5" t="s">
        <v>27</v>
      </c>
      <c r="C4" s="5">
        <v>2021</v>
      </c>
      <c r="D4" s="5" t="s">
        <v>28</v>
      </c>
      <c r="E4" s="16" t="s">
        <v>188</v>
      </c>
      <c r="F4" s="33" t="s">
        <v>461</v>
      </c>
      <c r="G4" s="5">
        <v>0</v>
      </c>
      <c r="H4" s="5">
        <v>0</v>
      </c>
      <c r="I4" s="5">
        <v>0</v>
      </c>
      <c r="J4" s="5">
        <v>1</v>
      </c>
      <c r="K4" s="106" t="s">
        <v>469</v>
      </c>
      <c r="L4" s="5">
        <v>0</v>
      </c>
      <c r="M4" s="30" t="s">
        <v>343</v>
      </c>
      <c r="N4" s="5">
        <v>144</v>
      </c>
      <c r="O4" s="5">
        <v>1</v>
      </c>
      <c r="P4" s="5" t="s">
        <v>29</v>
      </c>
      <c r="Q4" s="5" t="s">
        <v>25</v>
      </c>
      <c r="R4" s="5">
        <v>0</v>
      </c>
      <c r="S4" s="5">
        <v>1</v>
      </c>
      <c r="T4" s="5">
        <v>0</v>
      </c>
      <c r="U4" s="5">
        <v>0</v>
      </c>
      <c r="V4" s="33" t="s">
        <v>441</v>
      </c>
      <c r="W4" s="5">
        <v>0</v>
      </c>
      <c r="X4" s="5">
        <v>1</v>
      </c>
      <c r="Y4" s="5">
        <v>0</v>
      </c>
      <c r="Z4" s="5">
        <v>1</v>
      </c>
      <c r="AA4" s="106" t="s">
        <v>620</v>
      </c>
      <c r="AB4" s="33" t="s">
        <v>473</v>
      </c>
      <c r="AC4" s="33" t="s">
        <v>473</v>
      </c>
      <c r="AD4" s="5">
        <v>0</v>
      </c>
      <c r="AE4" s="33" t="s">
        <v>481</v>
      </c>
      <c r="AF4" s="5">
        <v>0</v>
      </c>
      <c r="AG4" s="33" t="s">
        <v>482</v>
      </c>
      <c r="AH4" s="33">
        <v>3.9</v>
      </c>
      <c r="AI4" s="33">
        <v>2.7</v>
      </c>
      <c r="AJ4" s="33" t="s">
        <v>483</v>
      </c>
      <c r="AK4" s="33" t="s">
        <v>473</v>
      </c>
      <c r="AL4" s="33" t="s">
        <v>473</v>
      </c>
      <c r="AM4" s="33" t="s">
        <v>486</v>
      </c>
      <c r="AN4" s="33" t="s">
        <v>477</v>
      </c>
      <c r="AO4" s="5" t="s">
        <v>484</v>
      </c>
      <c r="AP4" s="5">
        <v>1</v>
      </c>
      <c r="AQ4" s="33" t="s">
        <v>485</v>
      </c>
      <c r="AR4" s="5">
        <v>30</v>
      </c>
      <c r="AS4" s="33">
        <v>30</v>
      </c>
      <c r="AT4" s="33">
        <v>1</v>
      </c>
      <c r="AU4" s="33">
        <v>0</v>
      </c>
      <c r="AV4" s="32" t="s">
        <v>376</v>
      </c>
      <c r="AW4" s="5" t="s">
        <v>30</v>
      </c>
      <c r="AX4" s="5" t="s">
        <v>31</v>
      </c>
      <c r="AY4" s="5">
        <v>3</v>
      </c>
      <c r="AZ4" s="5">
        <v>7</v>
      </c>
      <c r="BA4" s="5">
        <v>0.84199999999999997</v>
      </c>
      <c r="BB4" s="5" t="s">
        <v>32</v>
      </c>
      <c r="BC4" s="5" t="s">
        <v>35</v>
      </c>
      <c r="BD4" s="5" t="s">
        <v>36</v>
      </c>
      <c r="BE4" s="5">
        <v>2</v>
      </c>
      <c r="BF4" s="5">
        <v>7</v>
      </c>
      <c r="BG4" s="5">
        <v>0.78900000000000003</v>
      </c>
      <c r="BH4" s="5" t="s">
        <v>32</v>
      </c>
      <c r="BI4" s="5">
        <v>0</v>
      </c>
      <c r="BJ4" s="5">
        <v>0.28899999999999998</v>
      </c>
      <c r="BK4" s="5">
        <f t="shared" si="0"/>
        <v>144</v>
      </c>
      <c r="BL4" s="5">
        <f t="shared" si="1"/>
        <v>0.28899999999999998</v>
      </c>
      <c r="BM4" s="5">
        <f t="shared" si="2"/>
        <v>0.31495013366934344</v>
      </c>
      <c r="BN4" s="13">
        <f t="shared" si="3"/>
        <v>0.32603119477661419</v>
      </c>
      <c r="BO4" s="14">
        <f t="shared" si="4"/>
        <v>5.873662639447553E-3</v>
      </c>
      <c r="BP4" s="14">
        <f t="shared" ref="BP3:BP66" si="6">((1-(BM4)^2)^2)/(BK4-1)</f>
        <v>5.6744908688489927E-3</v>
      </c>
      <c r="BQ4" s="14">
        <f t="shared" si="5"/>
        <v>7.0921985815602835E-3</v>
      </c>
      <c r="BR4" s="16" t="s">
        <v>189</v>
      </c>
      <c r="BS4" s="2"/>
      <c r="BT4" s="2"/>
    </row>
    <row r="5" spans="1:72" s="3" customFormat="1" ht="15.75" customHeight="1" x14ac:dyDescent="0.35">
      <c r="A5" s="5">
        <v>2</v>
      </c>
      <c r="B5" s="5" t="s">
        <v>27</v>
      </c>
      <c r="C5" s="5">
        <v>2021</v>
      </c>
      <c r="D5" s="5" t="s">
        <v>28</v>
      </c>
      <c r="E5" s="16" t="s">
        <v>188</v>
      </c>
      <c r="F5" s="33" t="s">
        <v>461</v>
      </c>
      <c r="G5" s="5">
        <v>0</v>
      </c>
      <c r="H5" s="5">
        <v>0</v>
      </c>
      <c r="I5" s="5">
        <v>0</v>
      </c>
      <c r="J5" s="5">
        <v>1</v>
      </c>
      <c r="K5" s="106" t="s">
        <v>469</v>
      </c>
      <c r="L5" s="5">
        <v>0</v>
      </c>
      <c r="M5" s="30" t="s">
        <v>343</v>
      </c>
      <c r="N5" s="5">
        <v>144</v>
      </c>
      <c r="O5" s="5">
        <v>1</v>
      </c>
      <c r="P5" s="5" t="s">
        <v>29</v>
      </c>
      <c r="Q5" s="5" t="s">
        <v>25</v>
      </c>
      <c r="R5" s="5">
        <v>0</v>
      </c>
      <c r="S5" s="5">
        <v>1</v>
      </c>
      <c r="T5" s="5">
        <v>0</v>
      </c>
      <c r="U5" s="5">
        <v>0</v>
      </c>
      <c r="V5" s="33" t="s">
        <v>441</v>
      </c>
      <c r="W5" s="5">
        <v>0</v>
      </c>
      <c r="X5" s="5">
        <v>1</v>
      </c>
      <c r="Y5" s="5">
        <v>0</v>
      </c>
      <c r="Z5" s="5">
        <v>1</v>
      </c>
      <c r="AA5" s="106" t="s">
        <v>620</v>
      </c>
      <c r="AB5" s="33" t="s">
        <v>473</v>
      </c>
      <c r="AC5" s="33" t="s">
        <v>473</v>
      </c>
      <c r="AD5" s="5">
        <v>0</v>
      </c>
      <c r="AE5" s="33" t="s">
        <v>481</v>
      </c>
      <c r="AF5" s="5">
        <v>0</v>
      </c>
      <c r="AG5" s="33" t="s">
        <v>482</v>
      </c>
      <c r="AH5" s="33">
        <v>3.9</v>
      </c>
      <c r="AI5" s="33">
        <v>2.7</v>
      </c>
      <c r="AJ5" s="33" t="s">
        <v>483</v>
      </c>
      <c r="AK5" s="33" t="s">
        <v>473</v>
      </c>
      <c r="AL5" s="33" t="s">
        <v>473</v>
      </c>
      <c r="AM5" s="33" t="s">
        <v>486</v>
      </c>
      <c r="AN5" s="33" t="s">
        <v>477</v>
      </c>
      <c r="AO5" s="5" t="s">
        <v>484</v>
      </c>
      <c r="AP5" s="5">
        <v>1</v>
      </c>
      <c r="AQ5" s="33" t="s">
        <v>485</v>
      </c>
      <c r="AR5" s="5">
        <v>30</v>
      </c>
      <c r="AS5" s="33">
        <v>30</v>
      </c>
      <c r="AT5" s="33">
        <v>1</v>
      </c>
      <c r="AU5" s="33">
        <v>0</v>
      </c>
      <c r="AV5" s="32" t="s">
        <v>377</v>
      </c>
      <c r="AW5" s="5" t="s">
        <v>37</v>
      </c>
      <c r="AX5" s="5" t="s">
        <v>38</v>
      </c>
      <c r="AY5" s="5">
        <v>4</v>
      </c>
      <c r="AZ5" s="5">
        <v>7</v>
      </c>
      <c r="BA5" s="5">
        <v>0.90600000000000003</v>
      </c>
      <c r="BB5" s="5" t="s">
        <v>32</v>
      </c>
      <c r="BC5" s="27" t="s">
        <v>33</v>
      </c>
      <c r="BD5" s="5" t="s">
        <v>34</v>
      </c>
      <c r="BE5" s="5">
        <v>4</v>
      </c>
      <c r="BF5" s="5">
        <v>7</v>
      </c>
      <c r="BG5" s="106" t="s">
        <v>626</v>
      </c>
      <c r="BH5" s="5" t="s">
        <v>32</v>
      </c>
      <c r="BI5" s="5">
        <v>0</v>
      </c>
      <c r="BJ5" s="5">
        <v>0.45300000000000001</v>
      </c>
      <c r="BK5" s="5">
        <f t="shared" si="0"/>
        <v>144</v>
      </c>
      <c r="BL5" s="5">
        <f t="shared" si="1"/>
        <v>0.45300000000000001</v>
      </c>
      <c r="BM5" s="5">
        <f t="shared" si="2"/>
        <v>0.47592016137163179</v>
      </c>
      <c r="BN5" s="13">
        <f t="shared" si="3"/>
        <v>0.51769643798817488</v>
      </c>
      <c r="BO5" s="14">
        <f t="shared" si="4"/>
        <v>4.4174317040629367E-3</v>
      </c>
      <c r="BP5" s="14">
        <f t="shared" si="6"/>
        <v>4.1839318181818175E-3</v>
      </c>
      <c r="BQ5" s="14">
        <f t="shared" si="5"/>
        <v>7.0921985815602835E-3</v>
      </c>
      <c r="BR5" s="16" t="s">
        <v>189</v>
      </c>
      <c r="BS5" s="2"/>
      <c r="BT5" s="2"/>
    </row>
    <row r="6" spans="1:72" s="3" customFormat="1" ht="15.75" customHeight="1" x14ac:dyDescent="0.35">
      <c r="A6" s="5">
        <v>2</v>
      </c>
      <c r="B6" s="5" t="s">
        <v>27</v>
      </c>
      <c r="C6" s="5">
        <v>2021</v>
      </c>
      <c r="D6" s="5" t="s">
        <v>28</v>
      </c>
      <c r="E6" s="16" t="s">
        <v>188</v>
      </c>
      <c r="F6" s="33" t="s">
        <v>461</v>
      </c>
      <c r="G6" s="5">
        <v>0</v>
      </c>
      <c r="H6" s="5">
        <v>0</v>
      </c>
      <c r="I6" s="5">
        <v>0</v>
      </c>
      <c r="J6" s="5">
        <v>1</v>
      </c>
      <c r="K6" s="106" t="s">
        <v>469</v>
      </c>
      <c r="L6" s="5">
        <v>0</v>
      </c>
      <c r="M6" s="30" t="s">
        <v>343</v>
      </c>
      <c r="N6" s="5">
        <v>144</v>
      </c>
      <c r="O6" s="5">
        <v>1</v>
      </c>
      <c r="P6" s="5" t="s">
        <v>29</v>
      </c>
      <c r="Q6" s="5" t="s">
        <v>25</v>
      </c>
      <c r="R6" s="5">
        <v>0</v>
      </c>
      <c r="S6" s="5">
        <v>1</v>
      </c>
      <c r="T6" s="5">
        <v>0</v>
      </c>
      <c r="U6" s="5">
        <v>0</v>
      </c>
      <c r="V6" s="33" t="s">
        <v>441</v>
      </c>
      <c r="W6" s="5">
        <v>0</v>
      </c>
      <c r="X6" s="5">
        <v>1</v>
      </c>
      <c r="Y6" s="5">
        <v>0</v>
      </c>
      <c r="Z6" s="5">
        <v>1</v>
      </c>
      <c r="AA6" s="106" t="s">
        <v>620</v>
      </c>
      <c r="AB6" s="33" t="s">
        <v>473</v>
      </c>
      <c r="AC6" s="33" t="s">
        <v>473</v>
      </c>
      <c r="AD6" s="5">
        <v>0</v>
      </c>
      <c r="AE6" s="33" t="s">
        <v>481</v>
      </c>
      <c r="AF6" s="5">
        <v>0</v>
      </c>
      <c r="AG6" s="33" t="s">
        <v>482</v>
      </c>
      <c r="AH6" s="33">
        <v>3.9</v>
      </c>
      <c r="AI6" s="33">
        <v>2.7</v>
      </c>
      <c r="AJ6" s="33" t="s">
        <v>483</v>
      </c>
      <c r="AK6" s="33" t="s">
        <v>473</v>
      </c>
      <c r="AL6" s="33" t="s">
        <v>473</v>
      </c>
      <c r="AM6" s="33" t="s">
        <v>486</v>
      </c>
      <c r="AN6" s="33" t="s">
        <v>477</v>
      </c>
      <c r="AO6" s="5" t="s">
        <v>484</v>
      </c>
      <c r="AP6" s="5">
        <v>1</v>
      </c>
      <c r="AQ6" s="33" t="s">
        <v>485</v>
      </c>
      <c r="AR6" s="5">
        <v>30</v>
      </c>
      <c r="AS6" s="33">
        <v>30</v>
      </c>
      <c r="AT6" s="33">
        <v>1</v>
      </c>
      <c r="AU6" s="33">
        <v>0</v>
      </c>
      <c r="AV6" s="32" t="s">
        <v>378</v>
      </c>
      <c r="AW6" s="5" t="s">
        <v>37</v>
      </c>
      <c r="AX6" s="5" t="s">
        <v>38</v>
      </c>
      <c r="AY6" s="5">
        <v>4</v>
      </c>
      <c r="AZ6" s="5">
        <v>7</v>
      </c>
      <c r="BA6" s="5">
        <v>0.90600000000000003</v>
      </c>
      <c r="BB6" s="5" t="s">
        <v>32</v>
      </c>
      <c r="BC6" s="5" t="s">
        <v>35</v>
      </c>
      <c r="BD6" s="5" t="s">
        <v>36</v>
      </c>
      <c r="BE6" s="5">
        <v>2</v>
      </c>
      <c r="BF6" s="5">
        <v>7</v>
      </c>
      <c r="BG6" s="5">
        <v>0.78900000000000003</v>
      </c>
      <c r="BH6" s="5" t="s">
        <v>32</v>
      </c>
      <c r="BI6" s="5">
        <v>0</v>
      </c>
      <c r="BJ6" s="5">
        <v>0.373</v>
      </c>
      <c r="BK6" s="5">
        <f t="shared" si="0"/>
        <v>144</v>
      </c>
      <c r="BL6" s="5">
        <f t="shared" si="1"/>
        <v>0.373</v>
      </c>
      <c r="BM6" s="5">
        <f t="shared" si="2"/>
        <v>0.39187245075412502</v>
      </c>
      <c r="BN6" s="13">
        <f t="shared" si="3"/>
        <v>0.4140102807912176</v>
      </c>
      <c r="BO6" s="14">
        <f t="shared" si="4"/>
        <v>5.1825096408461531E-3</v>
      </c>
      <c r="BP6" s="14">
        <f t="shared" si="6"/>
        <v>5.0101669384601819E-3</v>
      </c>
      <c r="BQ6" s="14">
        <f t="shared" si="5"/>
        <v>7.0921985815602835E-3</v>
      </c>
      <c r="BR6" s="16" t="s">
        <v>189</v>
      </c>
      <c r="BS6" s="2"/>
      <c r="BT6" s="2"/>
    </row>
    <row r="7" spans="1:72" s="3" customFormat="1" ht="15.75" customHeight="1" x14ac:dyDescent="0.35">
      <c r="A7" s="5">
        <v>2</v>
      </c>
      <c r="B7" s="5" t="s">
        <v>27</v>
      </c>
      <c r="C7" s="5">
        <v>2021</v>
      </c>
      <c r="D7" s="5" t="s">
        <v>28</v>
      </c>
      <c r="E7" s="16" t="s">
        <v>188</v>
      </c>
      <c r="F7" s="33" t="s">
        <v>461</v>
      </c>
      <c r="G7" s="5">
        <v>0</v>
      </c>
      <c r="H7" s="5">
        <v>0</v>
      </c>
      <c r="I7" s="5">
        <v>0</v>
      </c>
      <c r="J7" s="5">
        <v>1</v>
      </c>
      <c r="K7" s="106" t="s">
        <v>469</v>
      </c>
      <c r="L7" s="5">
        <v>0</v>
      </c>
      <c r="M7" s="30" t="s">
        <v>343</v>
      </c>
      <c r="N7" s="5">
        <v>144</v>
      </c>
      <c r="O7" s="5">
        <v>1</v>
      </c>
      <c r="P7" s="5" t="s">
        <v>29</v>
      </c>
      <c r="Q7" s="5" t="s">
        <v>25</v>
      </c>
      <c r="R7" s="5">
        <v>0</v>
      </c>
      <c r="S7" s="5">
        <v>1</v>
      </c>
      <c r="T7" s="5">
        <v>0</v>
      </c>
      <c r="U7" s="5">
        <v>0</v>
      </c>
      <c r="V7" s="33" t="s">
        <v>441</v>
      </c>
      <c r="W7" s="5">
        <v>0</v>
      </c>
      <c r="X7" s="5">
        <v>1</v>
      </c>
      <c r="Y7" s="5">
        <v>0</v>
      </c>
      <c r="Z7" s="5">
        <v>1</v>
      </c>
      <c r="AA7" s="106" t="s">
        <v>620</v>
      </c>
      <c r="AB7" s="33" t="s">
        <v>473</v>
      </c>
      <c r="AC7" s="33" t="s">
        <v>473</v>
      </c>
      <c r="AD7" s="5">
        <v>0</v>
      </c>
      <c r="AE7" s="33" t="s">
        <v>481</v>
      </c>
      <c r="AF7" s="5">
        <v>0</v>
      </c>
      <c r="AG7" s="33" t="s">
        <v>482</v>
      </c>
      <c r="AH7" s="33">
        <v>3.9</v>
      </c>
      <c r="AI7" s="33">
        <v>2.7</v>
      </c>
      <c r="AJ7" s="33" t="s">
        <v>483</v>
      </c>
      <c r="AK7" s="33" t="s">
        <v>473</v>
      </c>
      <c r="AL7" s="33" t="s">
        <v>473</v>
      </c>
      <c r="AM7" s="33" t="s">
        <v>486</v>
      </c>
      <c r="AN7" s="33" t="s">
        <v>477</v>
      </c>
      <c r="AO7" s="5" t="s">
        <v>484</v>
      </c>
      <c r="AP7" s="5">
        <v>1</v>
      </c>
      <c r="AQ7" s="33" t="s">
        <v>485</v>
      </c>
      <c r="AR7" s="5">
        <v>30</v>
      </c>
      <c r="AS7" s="33">
        <v>30</v>
      </c>
      <c r="AT7" s="33">
        <v>1</v>
      </c>
      <c r="AU7" s="33">
        <v>0</v>
      </c>
      <c r="AV7" s="32" t="s">
        <v>379</v>
      </c>
      <c r="AW7" s="5" t="s">
        <v>39</v>
      </c>
      <c r="AX7" s="15" t="s">
        <v>40</v>
      </c>
      <c r="AY7" s="5">
        <v>4</v>
      </c>
      <c r="AZ7" s="5">
        <v>7</v>
      </c>
      <c r="BA7" s="5">
        <v>0.93100000000000005</v>
      </c>
      <c r="BB7" s="5" t="s">
        <v>32</v>
      </c>
      <c r="BC7" s="5" t="s">
        <v>33</v>
      </c>
      <c r="BD7" s="5" t="s">
        <v>34</v>
      </c>
      <c r="BE7" s="5">
        <v>4</v>
      </c>
      <c r="BF7" s="5">
        <v>7</v>
      </c>
      <c r="BG7" s="5">
        <v>0.95</v>
      </c>
      <c r="BH7" s="5" t="s">
        <v>32</v>
      </c>
      <c r="BI7" s="5">
        <v>0</v>
      </c>
      <c r="BJ7" s="5">
        <v>0.44500000000000001</v>
      </c>
      <c r="BK7" s="5">
        <f t="shared" si="0"/>
        <v>144</v>
      </c>
      <c r="BL7" s="5">
        <f t="shared" si="1"/>
        <v>0.44500000000000001</v>
      </c>
      <c r="BM7" s="5">
        <f t="shared" si="2"/>
        <v>0.46119561614136456</v>
      </c>
      <c r="BN7" s="13">
        <f t="shared" si="3"/>
        <v>0.49882885694951679</v>
      </c>
      <c r="BO7" s="14">
        <f t="shared" si="4"/>
        <v>4.4976496547202791E-3</v>
      </c>
      <c r="BP7" s="14">
        <f t="shared" si="6"/>
        <v>4.3345391000864947E-3</v>
      </c>
      <c r="BQ7" s="14">
        <f t="shared" si="5"/>
        <v>7.0921985815602835E-3</v>
      </c>
      <c r="BR7" s="16" t="s">
        <v>189</v>
      </c>
      <c r="BS7" s="2"/>
      <c r="BT7" s="2"/>
    </row>
    <row r="8" spans="1:72" s="3" customFormat="1" ht="15.75" customHeight="1" x14ac:dyDescent="0.35">
      <c r="A8" s="34">
        <v>2</v>
      </c>
      <c r="B8" s="34" t="s">
        <v>27</v>
      </c>
      <c r="C8" s="34">
        <v>2021</v>
      </c>
      <c r="D8" s="34" t="s">
        <v>28</v>
      </c>
      <c r="E8" s="37" t="s">
        <v>188</v>
      </c>
      <c r="F8" s="36" t="s">
        <v>461</v>
      </c>
      <c r="G8" s="34">
        <v>0</v>
      </c>
      <c r="H8" s="34">
        <v>0</v>
      </c>
      <c r="I8" s="34">
        <v>0</v>
      </c>
      <c r="J8" s="34">
        <v>1</v>
      </c>
      <c r="K8" s="107" t="s">
        <v>469</v>
      </c>
      <c r="L8" s="34">
        <v>0</v>
      </c>
      <c r="M8" s="40" t="s">
        <v>343</v>
      </c>
      <c r="N8" s="34">
        <v>144</v>
      </c>
      <c r="O8" s="34">
        <v>1</v>
      </c>
      <c r="P8" s="34" t="s">
        <v>29</v>
      </c>
      <c r="Q8" s="34" t="s">
        <v>25</v>
      </c>
      <c r="R8" s="34">
        <v>0</v>
      </c>
      <c r="S8" s="34">
        <v>1</v>
      </c>
      <c r="T8" s="34">
        <v>0</v>
      </c>
      <c r="U8" s="34">
        <v>0</v>
      </c>
      <c r="V8" s="36" t="s">
        <v>441</v>
      </c>
      <c r="W8" s="34">
        <v>0</v>
      </c>
      <c r="X8" s="34">
        <v>1</v>
      </c>
      <c r="Y8" s="34">
        <v>0</v>
      </c>
      <c r="Z8" s="34">
        <v>1</v>
      </c>
      <c r="AA8" s="107" t="s">
        <v>620</v>
      </c>
      <c r="AB8" s="36" t="s">
        <v>473</v>
      </c>
      <c r="AC8" s="36" t="s">
        <v>473</v>
      </c>
      <c r="AD8" s="34">
        <v>0</v>
      </c>
      <c r="AE8" s="36" t="s">
        <v>481</v>
      </c>
      <c r="AF8" s="34">
        <v>0</v>
      </c>
      <c r="AG8" s="33" t="s">
        <v>482</v>
      </c>
      <c r="AH8" s="33">
        <v>3.9</v>
      </c>
      <c r="AI8" s="33">
        <v>2.7</v>
      </c>
      <c r="AJ8" s="33" t="s">
        <v>483</v>
      </c>
      <c r="AK8" s="36" t="s">
        <v>473</v>
      </c>
      <c r="AL8" s="36" t="s">
        <v>473</v>
      </c>
      <c r="AM8" s="33" t="s">
        <v>486</v>
      </c>
      <c r="AN8" s="33" t="s">
        <v>477</v>
      </c>
      <c r="AO8" s="34" t="s">
        <v>484</v>
      </c>
      <c r="AP8" s="34">
        <v>1</v>
      </c>
      <c r="AQ8" s="33" t="s">
        <v>485</v>
      </c>
      <c r="AR8" s="5">
        <v>30</v>
      </c>
      <c r="AS8" s="33">
        <v>30</v>
      </c>
      <c r="AT8" s="33">
        <v>1</v>
      </c>
      <c r="AU8" s="33">
        <v>0</v>
      </c>
      <c r="AV8" s="32" t="s">
        <v>380</v>
      </c>
      <c r="AW8" s="5" t="s">
        <v>39</v>
      </c>
      <c r="AX8" s="5" t="s">
        <v>40</v>
      </c>
      <c r="AY8" s="5">
        <v>4</v>
      </c>
      <c r="AZ8" s="5">
        <v>7</v>
      </c>
      <c r="BA8" s="5">
        <v>0.93100000000000005</v>
      </c>
      <c r="BB8" s="5" t="s">
        <v>32</v>
      </c>
      <c r="BC8" s="5" t="s">
        <v>35</v>
      </c>
      <c r="BD8" s="5" t="s">
        <v>36</v>
      </c>
      <c r="BE8" s="5">
        <v>2</v>
      </c>
      <c r="BF8" s="5">
        <v>7</v>
      </c>
      <c r="BG8" s="5">
        <v>0.78900000000000003</v>
      </c>
      <c r="BH8" s="5" t="s">
        <v>32</v>
      </c>
      <c r="BI8" s="5">
        <v>0</v>
      </c>
      <c r="BJ8" s="5">
        <v>0.47499999999999998</v>
      </c>
      <c r="BK8" s="5">
        <f t="shared" si="0"/>
        <v>144</v>
      </c>
      <c r="BL8" s="5">
        <f t="shared" si="1"/>
        <v>0.47499999999999998</v>
      </c>
      <c r="BM8" s="5">
        <f t="shared" si="2"/>
        <v>0.49228745543179364</v>
      </c>
      <c r="BN8" s="13">
        <f t="shared" si="3"/>
        <v>0.53907499821655092</v>
      </c>
      <c r="BO8" s="14">
        <f t="shared" si="4"/>
        <v>4.1934030812937062E-3</v>
      </c>
      <c r="BP8" s="14">
        <f t="shared" si="6"/>
        <v>4.0142528754044792E-3</v>
      </c>
      <c r="BQ8" s="14">
        <f t="shared" si="5"/>
        <v>7.0921985815602835E-3</v>
      </c>
      <c r="BR8" s="16" t="s">
        <v>189</v>
      </c>
      <c r="BS8" s="2"/>
      <c r="BT8" s="2"/>
    </row>
    <row r="9" spans="1:72" s="3" customFormat="1" ht="15.75" customHeight="1" x14ac:dyDescent="0.35">
      <c r="A9" s="38">
        <v>3</v>
      </c>
      <c r="B9" s="38" t="s">
        <v>41</v>
      </c>
      <c r="C9" s="38">
        <v>2019</v>
      </c>
      <c r="D9" s="38" t="s">
        <v>42</v>
      </c>
      <c r="E9" s="38" t="s">
        <v>43</v>
      </c>
      <c r="F9" s="39" t="s">
        <v>460</v>
      </c>
      <c r="G9" s="38">
        <v>2</v>
      </c>
      <c r="H9" s="38">
        <v>0</v>
      </c>
      <c r="I9" s="38">
        <v>1</v>
      </c>
      <c r="J9" s="38">
        <v>1</v>
      </c>
      <c r="K9" s="108" t="s">
        <v>467</v>
      </c>
      <c r="L9" s="38">
        <v>1</v>
      </c>
      <c r="M9" s="41" t="s">
        <v>344</v>
      </c>
      <c r="N9" s="38">
        <v>482</v>
      </c>
      <c r="O9" s="38">
        <v>1</v>
      </c>
      <c r="P9" s="38" t="s">
        <v>15</v>
      </c>
      <c r="Q9" s="38" t="s">
        <v>17</v>
      </c>
      <c r="R9" s="38">
        <v>1</v>
      </c>
      <c r="S9" s="38">
        <v>0</v>
      </c>
      <c r="T9" s="38">
        <v>0</v>
      </c>
      <c r="U9" s="38">
        <v>0</v>
      </c>
      <c r="V9" s="39" t="s">
        <v>471</v>
      </c>
      <c r="W9" s="38">
        <v>1</v>
      </c>
      <c r="X9" s="38">
        <v>0</v>
      </c>
      <c r="Y9" s="38">
        <v>0</v>
      </c>
      <c r="Z9" s="38">
        <v>0</v>
      </c>
      <c r="AA9" s="107" t="s">
        <v>620</v>
      </c>
      <c r="AB9" s="36" t="s">
        <v>473</v>
      </c>
      <c r="AC9" s="36" t="s">
        <v>473</v>
      </c>
      <c r="AD9" s="38">
        <v>0</v>
      </c>
      <c r="AE9" s="39" t="s">
        <v>487</v>
      </c>
      <c r="AF9" s="38">
        <v>0</v>
      </c>
      <c r="AG9" s="39" t="s">
        <v>488</v>
      </c>
      <c r="AH9" s="39">
        <v>3.4</v>
      </c>
      <c r="AI9" s="39">
        <v>3.1</v>
      </c>
      <c r="AJ9" s="39" t="s">
        <v>489</v>
      </c>
      <c r="AK9" s="39" t="s">
        <v>473</v>
      </c>
      <c r="AL9" s="39" t="s">
        <v>473</v>
      </c>
      <c r="AM9" s="39" t="s">
        <v>490</v>
      </c>
      <c r="AN9" s="39" t="s">
        <v>491</v>
      </c>
      <c r="AO9" s="49" t="s">
        <v>492</v>
      </c>
      <c r="AP9" s="38">
        <v>1</v>
      </c>
      <c r="AQ9" s="39" t="s">
        <v>493</v>
      </c>
      <c r="AR9" s="38">
        <v>65</v>
      </c>
      <c r="AS9" s="38">
        <v>23.4</v>
      </c>
      <c r="AT9" s="38">
        <v>0</v>
      </c>
      <c r="AU9" s="38">
        <v>0</v>
      </c>
      <c r="AV9" s="32" t="s">
        <v>381</v>
      </c>
      <c r="AW9" s="5" t="s">
        <v>47</v>
      </c>
      <c r="AX9" s="15" t="s">
        <v>48</v>
      </c>
      <c r="AY9" s="5">
        <v>3</v>
      </c>
      <c r="AZ9" s="5">
        <v>7</v>
      </c>
      <c r="BA9" s="5">
        <v>0.91</v>
      </c>
      <c r="BB9" s="5" t="s">
        <v>32</v>
      </c>
      <c r="BC9" s="5" t="s">
        <v>44</v>
      </c>
      <c r="BD9" s="5" t="s">
        <v>45</v>
      </c>
      <c r="BE9" s="5">
        <v>2</v>
      </c>
      <c r="BF9" s="5">
        <v>7</v>
      </c>
      <c r="BG9" s="5">
        <v>0.57999999999999996</v>
      </c>
      <c r="BH9" s="5" t="s">
        <v>32</v>
      </c>
      <c r="BI9" s="5">
        <v>1</v>
      </c>
      <c r="BJ9" s="5">
        <v>0.34599999999999997</v>
      </c>
      <c r="BK9" s="5">
        <f t="shared" si="0"/>
        <v>482</v>
      </c>
      <c r="BL9" s="5">
        <v>0.34599999999999997</v>
      </c>
      <c r="BM9" s="5">
        <f t="shared" si="2"/>
        <v>0.36270655350578368</v>
      </c>
      <c r="BN9" s="13">
        <f t="shared" si="3"/>
        <v>0.37999894745929191</v>
      </c>
      <c r="BO9" s="14">
        <f t="shared" si="4"/>
        <v>1.6110185460623703E-3</v>
      </c>
      <c r="BP9" s="14">
        <f t="shared" si="6"/>
        <v>1.5679727750296814E-3</v>
      </c>
      <c r="BQ9" s="14">
        <f t="shared" si="5"/>
        <v>2.0876826722338203E-3</v>
      </c>
      <c r="BR9" s="5" t="s">
        <v>46</v>
      </c>
      <c r="BS9" s="2"/>
      <c r="BT9" s="2"/>
    </row>
    <row r="10" spans="1:72" s="3" customFormat="1" ht="15.75" customHeight="1" x14ac:dyDescent="0.35">
      <c r="A10" s="38">
        <v>4</v>
      </c>
      <c r="B10" s="38" t="s">
        <v>50</v>
      </c>
      <c r="C10" s="38">
        <v>2020</v>
      </c>
      <c r="D10" s="38" t="s">
        <v>51</v>
      </c>
      <c r="E10" s="38" t="s">
        <v>43</v>
      </c>
      <c r="F10" s="39" t="s">
        <v>460</v>
      </c>
      <c r="G10" s="38">
        <v>2</v>
      </c>
      <c r="H10" s="38">
        <v>0</v>
      </c>
      <c r="I10" s="38">
        <v>1</v>
      </c>
      <c r="J10" s="38">
        <v>1</v>
      </c>
      <c r="K10" s="108" t="s">
        <v>467</v>
      </c>
      <c r="L10" s="38">
        <v>1</v>
      </c>
      <c r="M10" s="42" t="s">
        <v>345</v>
      </c>
      <c r="N10" s="38">
        <v>302</v>
      </c>
      <c r="O10" s="38">
        <v>1</v>
      </c>
      <c r="P10" s="38" t="s">
        <v>15</v>
      </c>
      <c r="Q10" s="38" t="s">
        <v>17</v>
      </c>
      <c r="R10" s="38">
        <v>1</v>
      </c>
      <c r="S10" s="38">
        <v>0</v>
      </c>
      <c r="T10" s="38">
        <v>0</v>
      </c>
      <c r="U10" s="38">
        <v>0</v>
      </c>
      <c r="V10" s="39" t="s">
        <v>471</v>
      </c>
      <c r="W10" s="38">
        <v>1</v>
      </c>
      <c r="X10" s="38">
        <v>0</v>
      </c>
      <c r="Y10" s="38">
        <v>0</v>
      </c>
      <c r="Z10" s="38">
        <v>0</v>
      </c>
      <c r="AA10" s="107" t="s">
        <v>620</v>
      </c>
      <c r="AB10" s="36" t="s">
        <v>473</v>
      </c>
      <c r="AC10" s="36" t="s">
        <v>473</v>
      </c>
      <c r="AD10" s="38">
        <v>0</v>
      </c>
      <c r="AE10" s="39" t="s">
        <v>494</v>
      </c>
      <c r="AF10" s="38">
        <v>0</v>
      </c>
      <c r="AG10" s="39" t="s">
        <v>495</v>
      </c>
      <c r="AH10" s="39">
        <v>4.2</v>
      </c>
      <c r="AI10" s="39">
        <v>2.8</v>
      </c>
      <c r="AJ10" s="39" t="s">
        <v>526</v>
      </c>
      <c r="AK10" s="39" t="s">
        <v>473</v>
      </c>
      <c r="AL10" s="39" t="s">
        <v>473</v>
      </c>
      <c r="AM10" s="39" t="s">
        <v>497</v>
      </c>
      <c r="AN10" s="39" t="s">
        <v>473</v>
      </c>
      <c r="AO10" s="38" t="s">
        <v>496</v>
      </c>
      <c r="AP10" s="38">
        <v>0</v>
      </c>
      <c r="AQ10" s="39" t="s">
        <v>480</v>
      </c>
      <c r="AR10" s="38">
        <v>85</v>
      </c>
      <c r="AS10" s="38">
        <v>33</v>
      </c>
      <c r="AT10" s="38">
        <v>0</v>
      </c>
      <c r="AU10" s="38">
        <v>0</v>
      </c>
      <c r="AV10" s="31" t="s">
        <v>382</v>
      </c>
      <c r="AW10" s="5" t="s">
        <v>52</v>
      </c>
      <c r="AX10" s="15" t="s">
        <v>53</v>
      </c>
      <c r="AY10" s="5">
        <v>4</v>
      </c>
      <c r="AZ10" s="5">
        <v>7</v>
      </c>
      <c r="BA10" s="5">
        <v>0.8</v>
      </c>
      <c r="BB10" s="5" t="s">
        <v>20</v>
      </c>
      <c r="BC10" s="5" t="s">
        <v>54</v>
      </c>
      <c r="BD10" s="5" t="s">
        <v>55</v>
      </c>
      <c r="BE10" s="5">
        <v>3</v>
      </c>
      <c r="BF10" s="5">
        <v>7</v>
      </c>
      <c r="BG10" s="5">
        <v>0.8</v>
      </c>
      <c r="BH10" s="5" t="s">
        <v>20</v>
      </c>
      <c r="BI10" s="5">
        <v>0</v>
      </c>
      <c r="BJ10" s="5">
        <v>0.48</v>
      </c>
      <c r="BK10" s="5">
        <f t="shared" si="0"/>
        <v>302</v>
      </c>
      <c r="BL10" s="5">
        <f t="shared" si="1"/>
        <v>0.48</v>
      </c>
      <c r="BM10" s="5">
        <f t="shared" si="2"/>
        <v>0.53665631459994956</v>
      </c>
      <c r="BN10" s="13">
        <f t="shared" si="3"/>
        <v>0.59944751539998364</v>
      </c>
      <c r="BO10" s="14">
        <f t="shared" si="4"/>
        <v>1.9677214617940201E-3</v>
      </c>
      <c r="BP10" s="14">
        <f t="shared" si="6"/>
        <v>1.6841993355481725E-3</v>
      </c>
      <c r="BQ10" s="14">
        <f t="shared" si="5"/>
        <v>3.3444816053511705E-3</v>
      </c>
      <c r="BR10" s="16" t="s">
        <v>190</v>
      </c>
      <c r="BS10" s="2"/>
      <c r="BT10" s="2"/>
    </row>
    <row r="11" spans="1:72" s="3" customFormat="1" ht="15.75" customHeight="1" x14ac:dyDescent="0.35">
      <c r="A11" s="18">
        <v>5</v>
      </c>
      <c r="B11" s="5" t="s">
        <v>58</v>
      </c>
      <c r="C11" s="5">
        <v>2021</v>
      </c>
      <c r="D11" s="5" t="s">
        <v>59</v>
      </c>
      <c r="E11" s="5" t="s">
        <v>60</v>
      </c>
      <c r="F11" s="33" t="s">
        <v>460</v>
      </c>
      <c r="G11" s="5">
        <v>2</v>
      </c>
      <c r="H11" s="5">
        <v>0</v>
      </c>
      <c r="I11" s="5">
        <v>1</v>
      </c>
      <c r="J11" s="5">
        <v>1</v>
      </c>
      <c r="K11" s="106" t="s">
        <v>468</v>
      </c>
      <c r="L11" s="5">
        <v>0</v>
      </c>
      <c r="M11" s="31" t="s">
        <v>346</v>
      </c>
      <c r="N11" s="5">
        <v>278</v>
      </c>
      <c r="O11" s="5">
        <v>1</v>
      </c>
      <c r="P11" s="5" t="s">
        <v>56</v>
      </c>
      <c r="Q11" s="21" t="s">
        <v>25</v>
      </c>
      <c r="R11" s="21">
        <v>0</v>
      </c>
      <c r="S11" s="21">
        <v>0</v>
      </c>
      <c r="T11" s="21">
        <v>1</v>
      </c>
      <c r="U11" s="21">
        <v>0</v>
      </c>
      <c r="V11" s="21" t="s">
        <v>442</v>
      </c>
      <c r="W11" s="21">
        <v>0</v>
      </c>
      <c r="X11" s="21">
        <v>0</v>
      </c>
      <c r="Y11" s="21">
        <v>1</v>
      </c>
      <c r="Z11" s="21">
        <v>0</v>
      </c>
      <c r="AA11" s="21" t="s">
        <v>472</v>
      </c>
      <c r="AB11" s="21" t="s">
        <v>498</v>
      </c>
      <c r="AC11" s="21" t="s">
        <v>473</v>
      </c>
      <c r="AD11" s="21">
        <v>0</v>
      </c>
      <c r="AE11" s="21" t="s">
        <v>499</v>
      </c>
      <c r="AF11" s="21">
        <v>1</v>
      </c>
      <c r="AG11" s="55" t="s">
        <v>529</v>
      </c>
      <c r="AH11" s="112">
        <v>4.3</v>
      </c>
      <c r="AI11" s="112">
        <v>2.9</v>
      </c>
      <c r="AJ11" s="21" t="s">
        <v>500</v>
      </c>
      <c r="AK11" s="54">
        <v>0.31</v>
      </c>
      <c r="AL11" s="21" t="s">
        <v>501</v>
      </c>
      <c r="AM11" s="22" t="s">
        <v>502</v>
      </c>
      <c r="AN11" s="21" t="s">
        <v>473</v>
      </c>
      <c r="AO11" s="21" t="s">
        <v>503</v>
      </c>
      <c r="AP11" s="21">
        <v>1</v>
      </c>
      <c r="AQ11" s="21" t="s">
        <v>504</v>
      </c>
      <c r="AR11" s="21">
        <v>46</v>
      </c>
      <c r="AS11" s="21"/>
      <c r="AT11" s="21">
        <v>0</v>
      </c>
      <c r="AU11" s="21">
        <v>1</v>
      </c>
      <c r="AV11" s="32" t="s">
        <v>383</v>
      </c>
      <c r="AW11" s="21" t="s">
        <v>57</v>
      </c>
      <c r="AX11" s="22" t="s">
        <v>61</v>
      </c>
      <c r="AY11" s="21">
        <v>3</v>
      </c>
      <c r="AZ11" s="21">
        <v>7</v>
      </c>
      <c r="BA11" s="23" t="s">
        <v>625</v>
      </c>
      <c r="BB11" s="21" t="s">
        <v>62</v>
      </c>
      <c r="BC11" s="19" t="s">
        <v>63</v>
      </c>
      <c r="BD11" s="19" t="s">
        <v>64</v>
      </c>
      <c r="BE11" s="19">
        <v>2</v>
      </c>
      <c r="BF11" s="19">
        <v>7</v>
      </c>
      <c r="BG11" s="20" t="s">
        <v>627</v>
      </c>
      <c r="BH11" s="19" t="s">
        <v>62</v>
      </c>
      <c r="BI11" s="19">
        <v>0</v>
      </c>
      <c r="BJ11" s="21">
        <v>0.57399999999999995</v>
      </c>
      <c r="BK11" s="5">
        <f t="shared" si="0"/>
        <v>278</v>
      </c>
      <c r="BL11" s="5">
        <f t="shared" si="1"/>
        <v>0.57399999999999995</v>
      </c>
      <c r="BM11" s="5">
        <f t="shared" si="2"/>
        <v>0.60741590969123005</v>
      </c>
      <c r="BN11" s="13">
        <f t="shared" si="3"/>
        <v>0.70481619320439226</v>
      </c>
      <c r="BO11" s="14">
        <f t="shared" si="4"/>
        <v>1.6231134822238273E-3</v>
      </c>
      <c r="BP11" s="14">
        <f t="shared" si="6"/>
        <v>1.4376135158024868E-3</v>
      </c>
      <c r="BQ11" s="14">
        <f t="shared" si="5"/>
        <v>3.6363636363636364E-3</v>
      </c>
      <c r="BR11" s="21" t="s">
        <v>191</v>
      </c>
      <c r="BS11" s="2"/>
      <c r="BT11" s="2"/>
    </row>
    <row r="12" spans="1:72" s="3" customFormat="1" ht="15.75" customHeight="1" x14ac:dyDescent="0.35">
      <c r="A12" s="34">
        <v>5</v>
      </c>
      <c r="B12" s="34" t="s">
        <v>58</v>
      </c>
      <c r="C12" s="34">
        <v>2021</v>
      </c>
      <c r="D12" s="34" t="s">
        <v>59</v>
      </c>
      <c r="E12" s="34" t="s">
        <v>60</v>
      </c>
      <c r="F12" s="36" t="s">
        <v>460</v>
      </c>
      <c r="G12" s="34">
        <v>2</v>
      </c>
      <c r="H12" s="34">
        <v>0</v>
      </c>
      <c r="I12" s="34">
        <v>1</v>
      </c>
      <c r="J12" s="34">
        <v>1</v>
      </c>
      <c r="K12" s="107" t="s">
        <v>468</v>
      </c>
      <c r="L12" s="34">
        <v>0</v>
      </c>
      <c r="M12" s="43" t="s">
        <v>346</v>
      </c>
      <c r="N12" s="34">
        <v>278</v>
      </c>
      <c r="O12" s="34">
        <v>1</v>
      </c>
      <c r="P12" s="34" t="s">
        <v>56</v>
      </c>
      <c r="Q12" s="44" t="s">
        <v>25</v>
      </c>
      <c r="R12" s="44">
        <v>0</v>
      </c>
      <c r="S12" s="44">
        <v>0</v>
      </c>
      <c r="T12" s="44">
        <v>1</v>
      </c>
      <c r="U12" s="44">
        <v>0</v>
      </c>
      <c r="V12" s="21" t="s">
        <v>442</v>
      </c>
      <c r="W12" s="21">
        <v>0</v>
      </c>
      <c r="X12" s="21">
        <v>0</v>
      </c>
      <c r="Y12" s="21">
        <v>1</v>
      </c>
      <c r="Z12" s="21">
        <v>0</v>
      </c>
      <c r="AA12" s="21" t="s">
        <v>472</v>
      </c>
      <c r="AB12" s="21" t="s">
        <v>498</v>
      </c>
      <c r="AC12" s="21" t="s">
        <v>473</v>
      </c>
      <c r="AD12" s="21">
        <v>0</v>
      </c>
      <c r="AE12" s="21" t="s">
        <v>499</v>
      </c>
      <c r="AF12" s="21">
        <v>1</v>
      </c>
      <c r="AG12" s="36" t="s">
        <v>529</v>
      </c>
      <c r="AH12" s="112">
        <v>4.3</v>
      </c>
      <c r="AI12" s="112">
        <v>2.9</v>
      </c>
      <c r="AJ12" s="21" t="s">
        <v>500</v>
      </c>
      <c r="AK12" s="53">
        <v>0.31</v>
      </c>
      <c r="AL12" s="21" t="s">
        <v>501</v>
      </c>
      <c r="AM12" s="22" t="s">
        <v>502</v>
      </c>
      <c r="AN12" s="21" t="s">
        <v>473</v>
      </c>
      <c r="AO12" s="21" t="s">
        <v>503</v>
      </c>
      <c r="AP12" s="21">
        <v>1</v>
      </c>
      <c r="AQ12" s="21" t="s">
        <v>504</v>
      </c>
      <c r="AR12" s="21">
        <v>46</v>
      </c>
      <c r="AS12" s="21"/>
      <c r="AT12" s="21">
        <v>0</v>
      </c>
      <c r="AU12" s="21">
        <v>1</v>
      </c>
      <c r="AV12" s="32" t="s">
        <v>384</v>
      </c>
      <c r="AW12" s="21" t="s">
        <v>57</v>
      </c>
      <c r="AX12" s="22" t="s">
        <v>61</v>
      </c>
      <c r="AY12" s="21">
        <v>3</v>
      </c>
      <c r="AZ12" s="21">
        <v>7</v>
      </c>
      <c r="BA12" s="23" t="s">
        <v>625</v>
      </c>
      <c r="BB12" s="21" t="s">
        <v>62</v>
      </c>
      <c r="BC12" s="21" t="s">
        <v>65</v>
      </c>
      <c r="BD12" s="19" t="s">
        <v>66</v>
      </c>
      <c r="BE12" s="19">
        <v>2</v>
      </c>
      <c r="BF12" s="19">
        <v>7</v>
      </c>
      <c r="BG12" s="20" t="s">
        <v>628</v>
      </c>
      <c r="BH12" s="19" t="s">
        <v>62</v>
      </c>
      <c r="BI12" s="21">
        <v>0</v>
      </c>
      <c r="BJ12" s="21">
        <v>0.58699999999999997</v>
      </c>
      <c r="BK12" s="5">
        <v>278</v>
      </c>
      <c r="BL12" s="5">
        <f t="shared" si="1"/>
        <v>0.58699999999999997</v>
      </c>
      <c r="BM12" s="5">
        <f t="shared" si="2"/>
        <v>0.62117271600827884</v>
      </c>
      <c r="BN12" s="13">
        <f t="shared" si="3"/>
        <v>0.72691233947864931</v>
      </c>
      <c r="BO12" s="14">
        <f t="shared" ref="BO12" si="7">((1-(BL12)^2)^2)/(BK12-1)</f>
        <v>1.5508656886678706E-3</v>
      </c>
      <c r="BP12" s="14">
        <f t="shared" si="6"/>
        <v>1.3616368733751012E-3</v>
      </c>
      <c r="BQ12" s="14">
        <f t="shared" ref="BQ12" si="8">(1/(BK12-3))</f>
        <v>3.6363636363636364E-3</v>
      </c>
      <c r="BR12" s="21" t="s">
        <v>191</v>
      </c>
      <c r="BS12" s="2"/>
      <c r="BT12" s="2"/>
    </row>
    <row r="13" spans="1:72" s="3" customFormat="1" ht="15.75" customHeight="1" x14ac:dyDescent="0.35">
      <c r="A13" s="5">
        <v>6</v>
      </c>
      <c r="B13" s="5" t="s">
        <v>69</v>
      </c>
      <c r="C13" s="5">
        <v>2017</v>
      </c>
      <c r="D13" s="5" t="s">
        <v>70</v>
      </c>
      <c r="E13" s="5" t="s">
        <v>43</v>
      </c>
      <c r="F13" s="33" t="s">
        <v>460</v>
      </c>
      <c r="G13" s="5">
        <v>2</v>
      </c>
      <c r="H13" s="5">
        <v>0</v>
      </c>
      <c r="I13" s="5">
        <v>1</v>
      </c>
      <c r="J13" s="5">
        <v>2</v>
      </c>
      <c r="K13" s="106" t="s">
        <v>467</v>
      </c>
      <c r="L13" s="5">
        <v>1</v>
      </c>
      <c r="M13" s="45" t="s">
        <v>462</v>
      </c>
      <c r="N13" s="38">
        <v>150</v>
      </c>
      <c r="O13" s="39" t="s">
        <v>465</v>
      </c>
      <c r="P13" s="38" t="s">
        <v>29</v>
      </c>
      <c r="Q13" s="38" t="s">
        <v>17</v>
      </c>
      <c r="R13" s="38">
        <v>1</v>
      </c>
      <c r="S13" s="38">
        <v>0</v>
      </c>
      <c r="T13" s="38">
        <v>0</v>
      </c>
      <c r="U13" s="38">
        <v>0</v>
      </c>
      <c r="V13" s="39" t="s">
        <v>442</v>
      </c>
      <c r="W13" s="38">
        <v>0</v>
      </c>
      <c r="X13" s="38">
        <v>0</v>
      </c>
      <c r="Y13" s="38">
        <v>1</v>
      </c>
      <c r="Z13" s="38">
        <v>0</v>
      </c>
      <c r="AA13" s="108" t="s">
        <v>620</v>
      </c>
      <c r="AB13" s="39" t="s">
        <v>473</v>
      </c>
      <c r="AC13" s="39" t="s">
        <v>473</v>
      </c>
      <c r="AD13" s="38">
        <v>1</v>
      </c>
      <c r="AE13" s="39" t="s">
        <v>508</v>
      </c>
      <c r="AF13" s="38">
        <v>1</v>
      </c>
      <c r="AG13" s="39" t="s">
        <v>507</v>
      </c>
      <c r="AH13" s="39">
        <v>3.7</v>
      </c>
      <c r="AI13" s="39">
        <v>2.9</v>
      </c>
      <c r="AJ13" s="39" t="s">
        <v>506</v>
      </c>
      <c r="AK13" s="39" t="s">
        <v>473</v>
      </c>
      <c r="AL13" s="39" t="s">
        <v>473</v>
      </c>
      <c r="AM13" s="39" t="s">
        <v>527</v>
      </c>
      <c r="AN13" s="39" t="s">
        <v>477</v>
      </c>
      <c r="AO13" s="50" t="s">
        <v>509</v>
      </c>
      <c r="AP13" s="38">
        <v>1</v>
      </c>
      <c r="AQ13" s="39" t="s">
        <v>505</v>
      </c>
      <c r="AR13" s="38">
        <v>75</v>
      </c>
      <c r="AS13" s="38">
        <v>24.8</v>
      </c>
      <c r="AT13" s="38">
        <v>1</v>
      </c>
      <c r="AU13" s="38">
        <v>1</v>
      </c>
      <c r="AV13" s="31" t="s">
        <v>385</v>
      </c>
      <c r="AW13" s="5" t="s">
        <v>57</v>
      </c>
      <c r="AX13" s="15" t="s">
        <v>71</v>
      </c>
      <c r="AY13" s="5">
        <v>4</v>
      </c>
      <c r="AZ13" s="5">
        <v>7</v>
      </c>
      <c r="BA13" s="6">
        <v>0.83299999999999996</v>
      </c>
      <c r="BB13" s="5" t="s">
        <v>20</v>
      </c>
      <c r="BC13" s="5" t="s">
        <v>54</v>
      </c>
      <c r="BD13" s="5" t="s">
        <v>72</v>
      </c>
      <c r="BE13" s="5">
        <v>5</v>
      </c>
      <c r="BF13" s="5">
        <v>7</v>
      </c>
      <c r="BG13" s="6">
        <v>0.92100000000000004</v>
      </c>
      <c r="BH13" s="5" t="s">
        <v>20</v>
      </c>
      <c r="BI13" s="5">
        <v>0</v>
      </c>
      <c r="BJ13" s="6">
        <v>0.47399999999999998</v>
      </c>
      <c r="BK13" s="5">
        <f t="shared" ref="BK13:BK20" si="9">N13</f>
        <v>150</v>
      </c>
      <c r="BL13" s="5">
        <f t="shared" ref="BL13:BL21" si="10">BJ13</f>
        <v>0.47399999999999998</v>
      </c>
      <c r="BM13" s="5">
        <f t="shared" si="2"/>
        <v>0.51934486387664802</v>
      </c>
      <c r="BN13" s="13">
        <f t="shared" si="3"/>
        <v>0.57544223503985192</v>
      </c>
      <c r="BO13" s="14">
        <f t="shared" ref="BO13:BO21" si="11">((1-(BL13)^2)^2)/(BK13-1)</f>
        <v>4.0344114427919462E-3</v>
      </c>
      <c r="BP13" s="14">
        <f t="shared" si="6"/>
        <v>3.5792631608360923E-3</v>
      </c>
      <c r="BQ13" s="14">
        <f t="shared" ref="BQ13:BQ21" si="12">(1/(BK13-3))</f>
        <v>6.8027210884353739E-3</v>
      </c>
      <c r="BR13" s="16" t="s">
        <v>192</v>
      </c>
      <c r="BS13" s="2"/>
      <c r="BT13" s="2"/>
    </row>
    <row r="14" spans="1:72" s="3" customFormat="1" ht="15.75" customHeight="1" x14ac:dyDescent="0.35">
      <c r="A14" s="34">
        <v>6</v>
      </c>
      <c r="B14" s="34" t="s">
        <v>69</v>
      </c>
      <c r="C14" s="34">
        <v>2017</v>
      </c>
      <c r="D14" s="34" t="s">
        <v>70</v>
      </c>
      <c r="E14" s="34" t="s">
        <v>43</v>
      </c>
      <c r="F14" s="36" t="s">
        <v>460</v>
      </c>
      <c r="G14" s="34">
        <v>2</v>
      </c>
      <c r="H14" s="34">
        <v>0</v>
      </c>
      <c r="I14" s="34">
        <v>1</v>
      </c>
      <c r="J14" s="34">
        <v>2</v>
      </c>
      <c r="K14" s="107" t="s">
        <v>467</v>
      </c>
      <c r="L14" s="34">
        <v>1</v>
      </c>
      <c r="M14" s="42" t="s">
        <v>347</v>
      </c>
      <c r="N14" s="38">
        <v>168</v>
      </c>
      <c r="O14" s="39" t="s">
        <v>466</v>
      </c>
      <c r="P14" s="38" t="s">
        <v>29</v>
      </c>
      <c r="Q14" s="38" t="s">
        <v>17</v>
      </c>
      <c r="R14" s="38">
        <v>1</v>
      </c>
      <c r="S14" s="38">
        <v>0</v>
      </c>
      <c r="T14" s="38">
        <v>0</v>
      </c>
      <c r="U14" s="38">
        <v>0</v>
      </c>
      <c r="V14" s="39" t="s">
        <v>442</v>
      </c>
      <c r="W14" s="38">
        <v>0</v>
      </c>
      <c r="X14" s="38">
        <v>0</v>
      </c>
      <c r="Y14" s="38">
        <v>1</v>
      </c>
      <c r="Z14" s="38">
        <v>0</v>
      </c>
      <c r="AA14" s="108" t="s">
        <v>620</v>
      </c>
      <c r="AB14" s="39" t="s">
        <v>473</v>
      </c>
      <c r="AC14" s="39" t="s">
        <v>473</v>
      </c>
      <c r="AD14" s="38">
        <v>1</v>
      </c>
      <c r="AE14" s="39" t="s">
        <v>508</v>
      </c>
      <c r="AF14" s="38">
        <v>1</v>
      </c>
      <c r="AG14" s="39" t="s">
        <v>507</v>
      </c>
      <c r="AH14" s="39">
        <v>3.7</v>
      </c>
      <c r="AI14" s="39">
        <v>2.9</v>
      </c>
      <c r="AJ14" s="39" t="s">
        <v>506</v>
      </c>
      <c r="AK14" s="39" t="s">
        <v>473</v>
      </c>
      <c r="AL14" s="39" t="s">
        <v>473</v>
      </c>
      <c r="AM14" s="39" t="s">
        <v>527</v>
      </c>
      <c r="AN14" s="39" t="s">
        <v>477</v>
      </c>
      <c r="AO14" s="50" t="s">
        <v>509</v>
      </c>
      <c r="AP14" s="38">
        <v>1</v>
      </c>
      <c r="AQ14" s="39" t="s">
        <v>493</v>
      </c>
      <c r="AR14" s="38">
        <v>65</v>
      </c>
      <c r="AS14" s="38">
        <v>24</v>
      </c>
      <c r="AT14" s="38">
        <v>1</v>
      </c>
      <c r="AU14" s="38">
        <v>1</v>
      </c>
      <c r="AV14" s="31" t="s">
        <v>386</v>
      </c>
      <c r="AW14" s="5" t="s">
        <v>57</v>
      </c>
      <c r="AX14" s="5" t="s">
        <v>71</v>
      </c>
      <c r="AY14" s="5">
        <v>4</v>
      </c>
      <c r="AZ14" s="5">
        <v>7</v>
      </c>
      <c r="BA14" s="6">
        <v>0.83699999999999997</v>
      </c>
      <c r="BB14" s="5" t="s">
        <v>20</v>
      </c>
      <c r="BC14" s="5" t="s">
        <v>54</v>
      </c>
      <c r="BD14" s="5" t="s">
        <v>72</v>
      </c>
      <c r="BE14" s="5">
        <v>5</v>
      </c>
      <c r="BF14" s="5">
        <v>7</v>
      </c>
      <c r="BG14" s="6">
        <v>0.84199999999999997</v>
      </c>
      <c r="BH14" s="5" t="s">
        <v>20</v>
      </c>
      <c r="BI14" s="5">
        <v>0</v>
      </c>
      <c r="BJ14" s="6">
        <v>0.48499999999999999</v>
      </c>
      <c r="BK14" s="5">
        <f t="shared" si="9"/>
        <v>168</v>
      </c>
      <c r="BL14" s="5">
        <f t="shared" si="10"/>
        <v>0.48499999999999999</v>
      </c>
      <c r="BM14" s="5">
        <f t="shared" si="2"/>
        <v>0.53012588392536197</v>
      </c>
      <c r="BN14" s="13">
        <f t="shared" si="3"/>
        <v>0.59032023369365616</v>
      </c>
      <c r="BO14" s="14">
        <f t="shared" si="11"/>
        <v>3.5022802432634727E-3</v>
      </c>
      <c r="BP14" s="14">
        <f t="shared" si="6"/>
        <v>3.0952868022855982E-3</v>
      </c>
      <c r="BQ14" s="14">
        <f t="shared" si="12"/>
        <v>6.0606060606060606E-3</v>
      </c>
      <c r="BR14" s="16" t="s">
        <v>192</v>
      </c>
      <c r="BS14" s="2"/>
      <c r="BT14" s="2"/>
    </row>
    <row r="15" spans="1:72" s="3" customFormat="1" ht="15.75" customHeight="1" x14ac:dyDescent="0.35">
      <c r="A15" s="38">
        <v>7</v>
      </c>
      <c r="B15" s="38" t="s">
        <v>74</v>
      </c>
      <c r="C15" s="38">
        <v>2020</v>
      </c>
      <c r="D15" s="38" t="s">
        <v>75</v>
      </c>
      <c r="E15" s="38" t="s">
        <v>43</v>
      </c>
      <c r="F15" s="39" t="s">
        <v>460</v>
      </c>
      <c r="G15" s="38">
        <v>2</v>
      </c>
      <c r="H15" s="38">
        <v>0</v>
      </c>
      <c r="I15" s="38">
        <v>1</v>
      </c>
      <c r="J15" s="38">
        <v>1</v>
      </c>
      <c r="K15" s="108" t="s">
        <v>467</v>
      </c>
      <c r="L15" s="38">
        <v>1</v>
      </c>
      <c r="M15" s="42" t="s">
        <v>348</v>
      </c>
      <c r="N15" s="38">
        <v>145</v>
      </c>
      <c r="O15" s="38">
        <v>1</v>
      </c>
      <c r="P15" s="38" t="s">
        <v>56</v>
      </c>
      <c r="Q15" s="38" t="s">
        <v>17</v>
      </c>
      <c r="R15" s="38">
        <v>1</v>
      </c>
      <c r="S15" s="38">
        <v>0</v>
      </c>
      <c r="T15" s="38">
        <v>0</v>
      </c>
      <c r="U15" s="38">
        <v>0</v>
      </c>
      <c r="V15" s="39" t="s">
        <v>471</v>
      </c>
      <c r="W15" s="38">
        <v>1</v>
      </c>
      <c r="X15" s="38">
        <v>0</v>
      </c>
      <c r="Y15" s="38">
        <v>0</v>
      </c>
      <c r="Z15" s="38">
        <v>1</v>
      </c>
      <c r="AA15" s="39" t="s">
        <v>511</v>
      </c>
      <c r="AB15" s="39" t="s">
        <v>473</v>
      </c>
      <c r="AC15" s="39" t="s">
        <v>512</v>
      </c>
      <c r="AD15" s="38">
        <v>0</v>
      </c>
      <c r="AE15" s="39" t="s">
        <v>513</v>
      </c>
      <c r="AF15" s="38">
        <v>1</v>
      </c>
      <c r="AG15" s="39" t="s">
        <v>514</v>
      </c>
      <c r="AH15" s="39">
        <v>3.9</v>
      </c>
      <c r="AI15" s="39">
        <v>2.4</v>
      </c>
      <c r="AJ15" s="39" t="s">
        <v>515</v>
      </c>
      <c r="AK15" s="39" t="s">
        <v>473</v>
      </c>
      <c r="AL15" s="39" t="s">
        <v>473</v>
      </c>
      <c r="AM15" s="39" t="s">
        <v>510</v>
      </c>
      <c r="AN15" s="39" t="s">
        <v>477</v>
      </c>
      <c r="AO15" s="38" t="s">
        <v>516</v>
      </c>
      <c r="AP15" s="38">
        <v>1</v>
      </c>
      <c r="AQ15" s="39" t="s">
        <v>493</v>
      </c>
      <c r="AR15" s="39">
        <v>65</v>
      </c>
      <c r="AS15" s="38">
        <v>28.9</v>
      </c>
      <c r="AT15" s="39">
        <v>1</v>
      </c>
      <c r="AU15" s="38">
        <v>1</v>
      </c>
      <c r="AV15" s="31" t="s">
        <v>387</v>
      </c>
      <c r="AW15" s="5" t="s">
        <v>76</v>
      </c>
      <c r="AX15" s="15" t="s">
        <v>77</v>
      </c>
      <c r="AY15" s="5">
        <v>3</v>
      </c>
      <c r="AZ15" s="5">
        <v>7</v>
      </c>
      <c r="BA15" s="6">
        <v>0.83899999999999997</v>
      </c>
      <c r="BB15" s="5" t="s">
        <v>20</v>
      </c>
      <c r="BC15" s="5" t="s">
        <v>78</v>
      </c>
      <c r="BD15" s="5" t="s">
        <v>79</v>
      </c>
      <c r="BE15" s="5">
        <v>3</v>
      </c>
      <c r="BF15" s="5">
        <v>7</v>
      </c>
      <c r="BG15" s="6">
        <v>0.877</v>
      </c>
      <c r="BH15" s="5" t="s">
        <v>20</v>
      </c>
      <c r="BI15" s="5">
        <v>0</v>
      </c>
      <c r="BJ15" s="6">
        <v>0.38400000000000001</v>
      </c>
      <c r="BK15" s="5">
        <f t="shared" si="9"/>
        <v>145</v>
      </c>
      <c r="BL15" s="5">
        <f t="shared" si="10"/>
        <v>0.38400000000000001</v>
      </c>
      <c r="BM15" s="5">
        <f t="shared" si="2"/>
        <v>0.41922796402011181</v>
      </c>
      <c r="BN15" s="13">
        <f t="shared" si="3"/>
        <v>0.44675500025003684</v>
      </c>
      <c r="BO15" s="14">
        <f t="shared" si="11"/>
        <v>5.0474393884444441E-3</v>
      </c>
      <c r="BP15" s="14">
        <f t="shared" si="6"/>
        <v>4.7179487780273323E-3</v>
      </c>
      <c r="BQ15" s="14">
        <f t="shared" si="12"/>
        <v>7.0422535211267607E-3</v>
      </c>
      <c r="BR15" s="5" t="s">
        <v>80</v>
      </c>
      <c r="BS15" s="2"/>
      <c r="BT15" s="2"/>
    </row>
    <row r="16" spans="1:72" s="3" customFormat="1" ht="15.75" customHeight="1" x14ac:dyDescent="0.35">
      <c r="A16" s="5">
        <v>8</v>
      </c>
      <c r="B16" s="5" t="s">
        <v>82</v>
      </c>
      <c r="C16" s="5">
        <v>2021</v>
      </c>
      <c r="D16" s="5" t="s">
        <v>83</v>
      </c>
      <c r="E16" s="5" t="s">
        <v>84</v>
      </c>
      <c r="F16" s="33" t="s">
        <v>460</v>
      </c>
      <c r="G16" s="5">
        <v>3</v>
      </c>
      <c r="H16" s="5">
        <v>0</v>
      </c>
      <c r="I16" s="5">
        <v>1</v>
      </c>
      <c r="J16" s="5">
        <v>1</v>
      </c>
      <c r="K16" s="106" t="s">
        <v>467</v>
      </c>
      <c r="L16" s="5">
        <v>1</v>
      </c>
      <c r="M16" s="31" t="s">
        <v>349</v>
      </c>
      <c r="N16" s="5">
        <v>213</v>
      </c>
      <c r="O16" s="5">
        <v>1</v>
      </c>
      <c r="P16" s="5" t="s">
        <v>56</v>
      </c>
      <c r="Q16" s="5" t="s">
        <v>17</v>
      </c>
      <c r="R16" s="5">
        <v>1</v>
      </c>
      <c r="S16" s="5">
        <v>0</v>
      </c>
      <c r="T16" s="5">
        <v>0</v>
      </c>
      <c r="U16" s="5">
        <v>0</v>
      </c>
      <c r="V16" s="33" t="s">
        <v>471</v>
      </c>
      <c r="W16" s="5">
        <v>1</v>
      </c>
      <c r="X16" s="5">
        <v>0</v>
      </c>
      <c r="Y16" s="5">
        <v>0</v>
      </c>
      <c r="Z16" s="5">
        <v>1</v>
      </c>
      <c r="AA16" s="106" t="s">
        <v>620</v>
      </c>
      <c r="AB16" s="33" t="s">
        <v>473</v>
      </c>
      <c r="AC16" s="33" t="s">
        <v>608</v>
      </c>
      <c r="AD16" s="33" t="s">
        <v>517</v>
      </c>
      <c r="AE16" s="33" t="s">
        <v>518</v>
      </c>
      <c r="AF16" s="5">
        <v>1</v>
      </c>
      <c r="AG16" s="33" t="s">
        <v>519</v>
      </c>
      <c r="AH16" s="33">
        <v>3.8</v>
      </c>
      <c r="AI16" s="33">
        <v>2.9</v>
      </c>
      <c r="AJ16" s="33" t="s">
        <v>520</v>
      </c>
      <c r="AK16" s="33" t="s">
        <v>473</v>
      </c>
      <c r="AL16" s="33" t="s">
        <v>521</v>
      </c>
      <c r="AM16" s="33" t="s">
        <v>522</v>
      </c>
      <c r="AN16" s="33" t="s">
        <v>477</v>
      </c>
      <c r="AO16" s="51" t="s">
        <v>523</v>
      </c>
      <c r="AP16" s="5">
        <v>1</v>
      </c>
      <c r="AQ16" s="33" t="s">
        <v>504</v>
      </c>
      <c r="AR16" s="5">
        <v>46</v>
      </c>
      <c r="AS16" s="33"/>
      <c r="AT16" s="5">
        <v>0</v>
      </c>
      <c r="AU16" s="5">
        <v>1</v>
      </c>
      <c r="AV16" s="31" t="s">
        <v>388</v>
      </c>
      <c r="AW16" s="5" t="s">
        <v>86</v>
      </c>
      <c r="AX16" s="15" t="s">
        <v>87</v>
      </c>
      <c r="AY16" s="5">
        <v>3</v>
      </c>
      <c r="AZ16" s="5">
        <v>7</v>
      </c>
      <c r="BA16" s="6">
        <v>0.8</v>
      </c>
      <c r="BB16" s="5"/>
      <c r="BC16" s="5" t="s">
        <v>49</v>
      </c>
      <c r="BD16" s="5" t="s">
        <v>89</v>
      </c>
      <c r="BE16" s="5">
        <v>3</v>
      </c>
      <c r="BF16" s="5">
        <v>7</v>
      </c>
      <c r="BG16" s="6">
        <v>0.82899999999999996</v>
      </c>
      <c r="BH16" s="5" t="s">
        <v>88</v>
      </c>
      <c r="BI16" s="5">
        <v>0</v>
      </c>
      <c r="BJ16" s="6">
        <v>0.16600000000000001</v>
      </c>
      <c r="BK16" s="5">
        <f t="shared" si="9"/>
        <v>213</v>
      </c>
      <c r="BL16" s="5">
        <f t="shared" si="10"/>
        <v>0.16600000000000001</v>
      </c>
      <c r="BM16" s="5">
        <f t="shared" si="2"/>
        <v>0.18559364213248256</v>
      </c>
      <c r="BN16" s="13">
        <f t="shared" si="3"/>
        <v>0.18776971968802844</v>
      </c>
      <c r="BO16" s="14">
        <f t="shared" si="11"/>
        <v>4.4606006279999996E-3</v>
      </c>
      <c r="BP16" s="14">
        <f t="shared" si="6"/>
        <v>4.3976248020047171E-3</v>
      </c>
      <c r="BQ16" s="14">
        <f t="shared" si="12"/>
        <v>4.7619047619047623E-3</v>
      </c>
      <c r="BR16" s="5" t="s">
        <v>90</v>
      </c>
      <c r="BS16" s="2"/>
      <c r="BT16" s="2"/>
    </row>
    <row r="17" spans="1:72" s="3" customFormat="1" ht="15.5" customHeight="1" x14ac:dyDescent="0.35">
      <c r="A17" s="34">
        <v>8</v>
      </c>
      <c r="B17" s="34" t="s">
        <v>82</v>
      </c>
      <c r="C17" s="34">
        <v>2021</v>
      </c>
      <c r="D17" s="34" t="s">
        <v>83</v>
      </c>
      <c r="E17" s="34" t="s">
        <v>84</v>
      </c>
      <c r="F17" s="36" t="s">
        <v>460</v>
      </c>
      <c r="G17" s="34">
        <v>3</v>
      </c>
      <c r="H17" s="34">
        <v>0</v>
      </c>
      <c r="I17" s="34">
        <v>1</v>
      </c>
      <c r="J17" s="34">
        <v>1</v>
      </c>
      <c r="K17" s="107" t="s">
        <v>467</v>
      </c>
      <c r="L17" s="34">
        <v>1</v>
      </c>
      <c r="M17" s="43" t="s">
        <v>349</v>
      </c>
      <c r="N17" s="34">
        <v>213</v>
      </c>
      <c r="O17" s="34">
        <v>1</v>
      </c>
      <c r="P17" s="34" t="s">
        <v>56</v>
      </c>
      <c r="Q17" s="34" t="s">
        <v>17</v>
      </c>
      <c r="R17" s="34">
        <v>1</v>
      </c>
      <c r="S17" s="34">
        <v>0</v>
      </c>
      <c r="T17" s="34">
        <v>0</v>
      </c>
      <c r="U17" s="34">
        <v>0</v>
      </c>
      <c r="V17" s="36" t="s">
        <v>471</v>
      </c>
      <c r="W17" s="36">
        <v>1</v>
      </c>
      <c r="X17" s="34">
        <v>0</v>
      </c>
      <c r="Y17" s="34">
        <v>0</v>
      </c>
      <c r="Z17" s="34">
        <v>1</v>
      </c>
      <c r="AA17" s="107" t="s">
        <v>620</v>
      </c>
      <c r="AB17" s="34" t="s">
        <v>473</v>
      </c>
      <c r="AC17" s="34" t="s">
        <v>608</v>
      </c>
      <c r="AD17" s="34" t="s">
        <v>517</v>
      </c>
      <c r="AE17" s="34" t="s">
        <v>518</v>
      </c>
      <c r="AF17" s="34">
        <v>1</v>
      </c>
      <c r="AG17" s="34" t="s">
        <v>519</v>
      </c>
      <c r="AH17" s="34">
        <v>3.8</v>
      </c>
      <c r="AI17" s="34">
        <v>2.9</v>
      </c>
      <c r="AJ17" s="34" t="s">
        <v>520</v>
      </c>
      <c r="AK17" s="39" t="s">
        <v>473</v>
      </c>
      <c r="AL17" s="39" t="s">
        <v>521</v>
      </c>
      <c r="AM17" s="39" t="s">
        <v>522</v>
      </c>
      <c r="AN17" s="39" t="s">
        <v>477</v>
      </c>
      <c r="AO17" s="34" t="s">
        <v>523</v>
      </c>
      <c r="AP17" s="34">
        <v>1</v>
      </c>
      <c r="AQ17" s="36" t="s">
        <v>504</v>
      </c>
      <c r="AR17" s="34">
        <v>46</v>
      </c>
      <c r="AS17" s="36"/>
      <c r="AT17" s="34">
        <v>0</v>
      </c>
      <c r="AU17" s="34">
        <v>1</v>
      </c>
      <c r="AV17" s="31" t="s">
        <v>389</v>
      </c>
      <c r="AW17" s="5" t="s">
        <v>86</v>
      </c>
      <c r="AX17" s="5" t="s">
        <v>87</v>
      </c>
      <c r="AY17" s="5">
        <v>3</v>
      </c>
      <c r="AZ17" s="5">
        <v>7</v>
      </c>
      <c r="BA17" s="6">
        <v>0.8</v>
      </c>
      <c r="BB17" s="5"/>
      <c r="BC17" s="5" t="s">
        <v>91</v>
      </c>
      <c r="BD17" s="5" t="s">
        <v>92</v>
      </c>
      <c r="BE17" s="5">
        <v>3</v>
      </c>
      <c r="BF17" s="5">
        <v>7</v>
      </c>
      <c r="BG17" s="6">
        <v>0.877</v>
      </c>
      <c r="BH17" s="5" t="s">
        <v>88</v>
      </c>
      <c r="BI17" s="5">
        <v>1</v>
      </c>
      <c r="BJ17" s="6">
        <v>0.111</v>
      </c>
      <c r="BK17" s="5">
        <f t="shared" si="9"/>
        <v>213</v>
      </c>
      <c r="BL17" s="5">
        <f t="shared" si="10"/>
        <v>0.111</v>
      </c>
      <c r="BM17" s="5">
        <f t="shared" si="2"/>
        <v>0.12410177275123833</v>
      </c>
      <c r="BN17" s="13">
        <f t="shared" si="3"/>
        <v>0.12474483312984647</v>
      </c>
      <c r="BO17" s="14">
        <f t="shared" si="11"/>
        <v>4.601461353966981E-3</v>
      </c>
      <c r="BP17" s="14">
        <f t="shared" si="6"/>
        <v>4.5728051816111438E-3</v>
      </c>
      <c r="BQ17" s="14">
        <f t="shared" si="12"/>
        <v>4.7619047619047623E-3</v>
      </c>
      <c r="BR17" s="5"/>
      <c r="BS17" s="2"/>
      <c r="BT17" s="2"/>
    </row>
    <row r="18" spans="1:72" s="3" customFormat="1" ht="15.75" customHeight="1" x14ac:dyDescent="0.35">
      <c r="A18" s="5">
        <v>9</v>
      </c>
      <c r="B18" s="5" t="s">
        <v>93</v>
      </c>
      <c r="C18" s="5">
        <v>2013</v>
      </c>
      <c r="D18" s="5" t="s">
        <v>94</v>
      </c>
      <c r="E18" s="5" t="s">
        <v>95</v>
      </c>
      <c r="F18" s="33" t="s">
        <v>460</v>
      </c>
      <c r="G18" s="5">
        <v>2</v>
      </c>
      <c r="H18" s="5">
        <v>0</v>
      </c>
      <c r="I18" s="5">
        <v>1</v>
      </c>
      <c r="J18" s="5">
        <v>1</v>
      </c>
      <c r="K18" s="106" t="s">
        <v>467</v>
      </c>
      <c r="L18" s="5">
        <v>1</v>
      </c>
      <c r="M18" s="31" t="s">
        <v>350</v>
      </c>
      <c r="N18" s="5">
        <v>150</v>
      </c>
      <c r="O18" s="5">
        <v>1</v>
      </c>
      <c r="P18" s="5" t="s">
        <v>85</v>
      </c>
      <c r="Q18" s="5" t="s">
        <v>25</v>
      </c>
      <c r="R18" s="5">
        <v>0</v>
      </c>
      <c r="S18" s="5">
        <v>0</v>
      </c>
      <c r="T18" s="5">
        <v>1</v>
      </c>
      <c r="U18" s="5">
        <v>0</v>
      </c>
      <c r="V18" s="33" t="s">
        <v>442</v>
      </c>
      <c r="W18" s="5">
        <v>0</v>
      </c>
      <c r="X18" s="5">
        <v>0</v>
      </c>
      <c r="Y18" s="5">
        <v>1</v>
      </c>
      <c r="Z18" s="5">
        <v>0</v>
      </c>
      <c r="AA18" s="106" t="s">
        <v>620</v>
      </c>
      <c r="AB18" s="33" t="s">
        <v>473</v>
      </c>
      <c r="AC18" s="33" t="s">
        <v>473</v>
      </c>
      <c r="AD18" s="5">
        <v>1</v>
      </c>
      <c r="AE18" s="33" t="s">
        <v>524</v>
      </c>
      <c r="AF18" s="5">
        <v>1</v>
      </c>
      <c r="AG18" s="33" t="s">
        <v>525</v>
      </c>
      <c r="AH18" s="106">
        <v>3.3</v>
      </c>
      <c r="AI18" s="33">
        <v>2.8</v>
      </c>
      <c r="AJ18" s="33" t="s">
        <v>473</v>
      </c>
      <c r="AK18" s="33" t="s">
        <v>527</v>
      </c>
      <c r="AL18" s="33" t="s">
        <v>527</v>
      </c>
      <c r="AM18" s="33" t="s">
        <v>527</v>
      </c>
      <c r="AN18" s="33" t="s">
        <v>527</v>
      </c>
      <c r="AO18" s="33" t="s">
        <v>527</v>
      </c>
      <c r="AP18" s="33">
        <v>0</v>
      </c>
      <c r="AQ18" s="33" t="s">
        <v>505</v>
      </c>
      <c r="AR18" s="5">
        <v>75</v>
      </c>
      <c r="AS18" s="5">
        <v>28</v>
      </c>
      <c r="AT18" s="5">
        <v>0</v>
      </c>
      <c r="AU18" s="5">
        <v>1</v>
      </c>
      <c r="AV18" s="31" t="s">
        <v>390</v>
      </c>
      <c r="AW18" s="16" t="s">
        <v>26</v>
      </c>
      <c r="AX18" s="15" t="s">
        <v>193</v>
      </c>
      <c r="AY18" s="5">
        <v>5</v>
      </c>
      <c r="AZ18" s="5">
        <v>7</v>
      </c>
      <c r="BA18" s="6">
        <v>0.99</v>
      </c>
      <c r="BB18" s="5" t="s">
        <v>32</v>
      </c>
      <c r="BC18" s="19" t="s">
        <v>49</v>
      </c>
      <c r="BD18" s="19" t="s">
        <v>96</v>
      </c>
      <c r="BE18" s="19">
        <v>4</v>
      </c>
      <c r="BF18" s="19">
        <v>7</v>
      </c>
      <c r="BG18" s="24">
        <v>0.89</v>
      </c>
      <c r="BH18" s="19" t="s">
        <v>32</v>
      </c>
      <c r="BI18" s="5">
        <v>0</v>
      </c>
      <c r="BJ18" s="6">
        <v>0.1</v>
      </c>
      <c r="BK18" s="5">
        <f t="shared" si="9"/>
        <v>150</v>
      </c>
      <c r="BL18" s="5">
        <f t="shared" si="10"/>
        <v>0.1</v>
      </c>
      <c r="BM18" s="5">
        <f t="shared" si="2"/>
        <v>0.10050378152592121</v>
      </c>
      <c r="BN18" s="13">
        <f t="shared" si="3"/>
        <v>0.10084424389941797</v>
      </c>
      <c r="BO18" s="14">
        <f t="shared" si="11"/>
        <v>6.5778523489932886E-3</v>
      </c>
      <c r="BP18" s="14">
        <f t="shared" si="6"/>
        <v>6.5765101355908769E-3</v>
      </c>
      <c r="BQ18" s="14">
        <f t="shared" si="12"/>
        <v>6.8027210884353739E-3</v>
      </c>
      <c r="BR18" s="16" t="s">
        <v>197</v>
      </c>
      <c r="BS18" s="2"/>
      <c r="BT18" s="2"/>
    </row>
    <row r="19" spans="1:72" s="3" customFormat="1" ht="15.75" customHeight="1" x14ac:dyDescent="0.35">
      <c r="A19" s="34">
        <v>9</v>
      </c>
      <c r="B19" s="34" t="s">
        <v>93</v>
      </c>
      <c r="C19" s="34">
        <v>2013</v>
      </c>
      <c r="D19" s="34" t="s">
        <v>94</v>
      </c>
      <c r="E19" s="34" t="s">
        <v>95</v>
      </c>
      <c r="F19" s="36" t="s">
        <v>460</v>
      </c>
      <c r="G19" s="34">
        <v>2</v>
      </c>
      <c r="H19" s="34">
        <v>0</v>
      </c>
      <c r="I19" s="34">
        <v>1</v>
      </c>
      <c r="J19" s="34">
        <v>1</v>
      </c>
      <c r="K19" s="107" t="s">
        <v>467</v>
      </c>
      <c r="L19" s="34">
        <v>1</v>
      </c>
      <c r="M19" s="43" t="s">
        <v>350</v>
      </c>
      <c r="N19" s="34">
        <v>150</v>
      </c>
      <c r="O19" s="34">
        <v>1</v>
      </c>
      <c r="P19" s="34" t="s">
        <v>85</v>
      </c>
      <c r="Q19" s="34" t="s">
        <v>25</v>
      </c>
      <c r="R19" s="34">
        <v>0</v>
      </c>
      <c r="S19" s="34">
        <v>0</v>
      </c>
      <c r="T19" s="34">
        <v>1</v>
      </c>
      <c r="U19" s="34">
        <v>0</v>
      </c>
      <c r="V19" s="36" t="s">
        <v>442</v>
      </c>
      <c r="W19" s="5">
        <v>0</v>
      </c>
      <c r="X19" s="5">
        <v>0</v>
      </c>
      <c r="Y19" s="5">
        <v>1</v>
      </c>
      <c r="Z19" s="34">
        <v>0</v>
      </c>
      <c r="AA19" s="107" t="s">
        <v>620</v>
      </c>
      <c r="AB19" s="33" t="s">
        <v>473</v>
      </c>
      <c r="AC19" s="33" t="s">
        <v>473</v>
      </c>
      <c r="AD19" s="34">
        <v>1</v>
      </c>
      <c r="AE19" s="33" t="s">
        <v>524</v>
      </c>
      <c r="AF19" s="34">
        <v>1</v>
      </c>
      <c r="AG19" s="36" t="s">
        <v>525</v>
      </c>
      <c r="AH19" s="36">
        <v>3.3</v>
      </c>
      <c r="AI19" s="36">
        <v>2.8</v>
      </c>
      <c r="AJ19" s="36" t="s">
        <v>473</v>
      </c>
      <c r="AK19" s="36" t="s">
        <v>527</v>
      </c>
      <c r="AL19" s="36" t="s">
        <v>527</v>
      </c>
      <c r="AM19" s="36" t="s">
        <v>527</v>
      </c>
      <c r="AN19" s="36" t="s">
        <v>527</v>
      </c>
      <c r="AO19" s="36" t="s">
        <v>527</v>
      </c>
      <c r="AP19" s="36">
        <v>0</v>
      </c>
      <c r="AQ19" s="36" t="s">
        <v>505</v>
      </c>
      <c r="AR19" s="34">
        <v>75</v>
      </c>
      <c r="AS19" s="34">
        <v>28</v>
      </c>
      <c r="AT19" s="34">
        <v>0</v>
      </c>
      <c r="AU19" s="34">
        <v>1</v>
      </c>
      <c r="AV19" s="31" t="s">
        <v>391</v>
      </c>
      <c r="AW19" s="16" t="s">
        <v>194</v>
      </c>
      <c r="AX19" s="15" t="s">
        <v>195</v>
      </c>
      <c r="AY19" s="5">
        <v>4</v>
      </c>
      <c r="AZ19" s="5">
        <v>7</v>
      </c>
      <c r="BA19" s="6">
        <v>0.98</v>
      </c>
      <c r="BB19" s="5" t="s">
        <v>32</v>
      </c>
      <c r="BC19" s="19" t="s">
        <v>49</v>
      </c>
      <c r="BD19" s="25" t="s">
        <v>96</v>
      </c>
      <c r="BE19" s="19">
        <v>4</v>
      </c>
      <c r="BF19" s="19">
        <v>7</v>
      </c>
      <c r="BG19" s="24">
        <v>0.89</v>
      </c>
      <c r="BH19" s="19" t="s">
        <v>32</v>
      </c>
      <c r="BI19" s="5">
        <v>0</v>
      </c>
      <c r="BJ19" s="6">
        <v>0.33</v>
      </c>
      <c r="BK19" s="5">
        <f t="shared" si="9"/>
        <v>150</v>
      </c>
      <c r="BL19" s="5">
        <f t="shared" si="10"/>
        <v>0.33</v>
      </c>
      <c r="BM19" s="5">
        <f t="shared" si="2"/>
        <v>0.33335033970222955</v>
      </c>
      <c r="BN19" s="13">
        <f t="shared" si="3"/>
        <v>0.34659272256699719</v>
      </c>
      <c r="BO19" s="14">
        <f t="shared" si="11"/>
        <v>5.3292564429530198E-3</v>
      </c>
      <c r="BP19" s="14">
        <f t="shared" si="6"/>
        <v>5.3027067161613307E-3</v>
      </c>
      <c r="BQ19" s="14">
        <f t="shared" si="12"/>
        <v>6.8027210884353739E-3</v>
      </c>
      <c r="BR19" s="16" t="s">
        <v>196</v>
      </c>
      <c r="BS19" s="2"/>
      <c r="BT19" s="2"/>
    </row>
    <row r="20" spans="1:72" s="3" customFormat="1" ht="15.75" customHeight="1" x14ac:dyDescent="0.35">
      <c r="A20" s="38">
        <v>10</v>
      </c>
      <c r="B20" s="38" t="s">
        <v>97</v>
      </c>
      <c r="C20" s="38">
        <v>2020</v>
      </c>
      <c r="D20" s="38" t="s">
        <v>98</v>
      </c>
      <c r="E20" s="38" t="s">
        <v>99</v>
      </c>
      <c r="F20" s="39" t="s">
        <v>460</v>
      </c>
      <c r="G20" s="38">
        <v>3</v>
      </c>
      <c r="H20" s="38">
        <v>0</v>
      </c>
      <c r="I20" s="38">
        <v>1</v>
      </c>
      <c r="J20" s="38">
        <v>1</v>
      </c>
      <c r="K20" s="108" t="s">
        <v>468</v>
      </c>
      <c r="L20" s="38">
        <v>0</v>
      </c>
      <c r="M20" s="42" t="s">
        <v>351</v>
      </c>
      <c r="N20" s="38">
        <v>247</v>
      </c>
      <c r="O20" s="38">
        <v>1</v>
      </c>
      <c r="P20" s="38" t="s">
        <v>100</v>
      </c>
      <c r="Q20" s="38" t="s">
        <v>25</v>
      </c>
      <c r="R20" s="38">
        <v>0</v>
      </c>
      <c r="S20" s="38">
        <v>0</v>
      </c>
      <c r="T20" s="38">
        <v>1</v>
      </c>
      <c r="U20" s="38">
        <v>0</v>
      </c>
      <c r="V20" s="39" t="s">
        <v>442</v>
      </c>
      <c r="W20" s="38">
        <v>0</v>
      </c>
      <c r="X20" s="38">
        <v>0</v>
      </c>
      <c r="Y20" s="38">
        <v>1</v>
      </c>
      <c r="Z20" s="38">
        <v>1</v>
      </c>
      <c r="AA20" s="108" t="s">
        <v>620</v>
      </c>
      <c r="AB20" s="39" t="s">
        <v>498</v>
      </c>
      <c r="AC20" s="39" t="s">
        <v>473</v>
      </c>
      <c r="AD20" s="38">
        <v>0</v>
      </c>
      <c r="AE20" s="39" t="s">
        <v>528</v>
      </c>
      <c r="AF20" s="38">
        <v>1</v>
      </c>
      <c r="AG20" s="39" t="s">
        <v>529</v>
      </c>
      <c r="AH20" s="39">
        <v>4.3</v>
      </c>
      <c r="AI20" s="39">
        <v>2.9</v>
      </c>
      <c r="AJ20" s="39" t="s">
        <v>500</v>
      </c>
      <c r="AK20" s="52">
        <v>0.33600000000000002</v>
      </c>
      <c r="AL20" s="39" t="s">
        <v>530</v>
      </c>
      <c r="AM20" s="39" t="s">
        <v>531</v>
      </c>
      <c r="AN20" s="39" t="s">
        <v>473</v>
      </c>
      <c r="AO20" s="21" t="s">
        <v>503</v>
      </c>
      <c r="AP20" s="38">
        <v>1</v>
      </c>
      <c r="AQ20" s="39" t="s">
        <v>504</v>
      </c>
      <c r="AR20" s="39">
        <v>46</v>
      </c>
      <c r="AS20" s="39"/>
      <c r="AT20" s="38">
        <v>1</v>
      </c>
      <c r="AU20" s="38">
        <v>1</v>
      </c>
      <c r="AV20" s="31" t="s">
        <v>392</v>
      </c>
      <c r="AW20" s="5" t="s">
        <v>102</v>
      </c>
      <c r="AX20" s="15" t="s">
        <v>103</v>
      </c>
      <c r="AY20" s="5">
        <v>3</v>
      </c>
      <c r="AZ20" s="5">
        <v>7</v>
      </c>
      <c r="BA20" s="6">
        <v>0.77900000000000003</v>
      </c>
      <c r="BB20" s="5" t="s">
        <v>20</v>
      </c>
      <c r="BC20" s="5" t="s">
        <v>73</v>
      </c>
      <c r="BD20" s="5" t="s">
        <v>101</v>
      </c>
      <c r="BE20" s="5">
        <v>3</v>
      </c>
      <c r="BF20" s="5">
        <v>7</v>
      </c>
      <c r="BG20" s="6">
        <v>0.86199999999999999</v>
      </c>
      <c r="BH20" s="5" t="s">
        <v>20</v>
      </c>
      <c r="BI20" s="5">
        <v>0</v>
      </c>
      <c r="BJ20" s="6">
        <v>0.56100000000000005</v>
      </c>
      <c r="BK20" s="5">
        <f t="shared" si="9"/>
        <v>247</v>
      </c>
      <c r="BL20" s="5">
        <f t="shared" si="10"/>
        <v>0.56100000000000005</v>
      </c>
      <c r="BM20" s="5">
        <f t="shared" si="2"/>
        <v>0.63561499233831598</v>
      </c>
      <c r="BN20" s="13">
        <f t="shared" si="3"/>
        <v>0.75078156635111015</v>
      </c>
      <c r="BO20" s="14">
        <f t="shared" si="11"/>
        <v>1.9089727961016259E-3</v>
      </c>
      <c r="BP20" s="14">
        <f t="shared" si="6"/>
        <v>1.4439363788894062E-3</v>
      </c>
      <c r="BQ20" s="14">
        <f t="shared" si="12"/>
        <v>4.0983606557377051E-3</v>
      </c>
      <c r="BR20" s="16" t="s">
        <v>198</v>
      </c>
      <c r="BS20" s="2"/>
      <c r="BT20" s="2"/>
    </row>
    <row r="21" spans="1:72" s="3" customFormat="1" ht="15.75" customHeight="1" x14ac:dyDescent="0.35">
      <c r="A21" s="38">
        <v>11</v>
      </c>
      <c r="B21" s="38" t="s">
        <v>108</v>
      </c>
      <c r="C21" s="38">
        <v>2021</v>
      </c>
      <c r="D21" s="38" t="s">
        <v>109</v>
      </c>
      <c r="E21" s="38" t="s">
        <v>110</v>
      </c>
      <c r="F21" s="39" t="s">
        <v>460</v>
      </c>
      <c r="G21" s="38">
        <v>1</v>
      </c>
      <c r="H21" s="38">
        <v>0</v>
      </c>
      <c r="I21" s="38">
        <v>1</v>
      </c>
      <c r="J21" s="38">
        <v>1</v>
      </c>
      <c r="K21" s="108" t="s">
        <v>467</v>
      </c>
      <c r="L21" s="38">
        <v>1</v>
      </c>
      <c r="M21" s="42" t="s">
        <v>352</v>
      </c>
      <c r="N21" s="38">
        <v>146</v>
      </c>
      <c r="O21" s="38">
        <v>1</v>
      </c>
      <c r="P21" s="38" t="s">
        <v>106</v>
      </c>
      <c r="Q21" s="38" t="s">
        <v>25</v>
      </c>
      <c r="R21" s="38">
        <v>0</v>
      </c>
      <c r="S21" s="38">
        <v>1</v>
      </c>
      <c r="T21" s="38">
        <v>0</v>
      </c>
      <c r="U21" s="38">
        <v>0</v>
      </c>
      <c r="V21" s="39" t="s">
        <v>441</v>
      </c>
      <c r="W21" s="38">
        <v>0</v>
      </c>
      <c r="X21" s="38">
        <v>1</v>
      </c>
      <c r="Y21" s="38">
        <v>0</v>
      </c>
      <c r="Z21" s="38">
        <v>0</v>
      </c>
      <c r="AA21" s="108" t="s">
        <v>620</v>
      </c>
      <c r="AB21" s="52" t="s">
        <v>619</v>
      </c>
      <c r="AC21" s="39" t="s">
        <v>473</v>
      </c>
      <c r="AD21" s="38">
        <v>1</v>
      </c>
      <c r="AE21" s="39" t="s">
        <v>532</v>
      </c>
      <c r="AF21" s="38">
        <v>1</v>
      </c>
      <c r="AG21" s="39" t="s">
        <v>533</v>
      </c>
      <c r="AH21" s="39">
        <v>2.6</v>
      </c>
      <c r="AI21" s="39">
        <v>3</v>
      </c>
      <c r="AJ21" s="39" t="s">
        <v>534</v>
      </c>
      <c r="AK21" s="39" t="s">
        <v>473</v>
      </c>
      <c r="AL21" s="39" t="s">
        <v>473</v>
      </c>
      <c r="AM21" s="39" t="s">
        <v>473</v>
      </c>
      <c r="AN21" s="39" t="s">
        <v>473</v>
      </c>
      <c r="AO21" s="38" t="s">
        <v>535</v>
      </c>
      <c r="AP21" s="38">
        <v>1</v>
      </c>
      <c r="AQ21" s="39" t="s">
        <v>504</v>
      </c>
      <c r="AR21" s="38">
        <v>46</v>
      </c>
      <c r="AS21" s="38">
        <v>20.93</v>
      </c>
      <c r="AT21" s="38">
        <v>1</v>
      </c>
      <c r="AU21" s="38">
        <v>0</v>
      </c>
      <c r="AV21" s="31" t="s">
        <v>393</v>
      </c>
      <c r="AW21" s="5" t="s">
        <v>57</v>
      </c>
      <c r="AX21" s="15" t="s">
        <v>111</v>
      </c>
      <c r="AY21" s="5">
        <v>2</v>
      </c>
      <c r="AZ21" s="5">
        <v>7</v>
      </c>
      <c r="BA21" s="6">
        <v>0.73</v>
      </c>
      <c r="BB21" s="5" t="s">
        <v>20</v>
      </c>
      <c r="BC21" s="5" t="s">
        <v>73</v>
      </c>
      <c r="BD21" s="5" t="s">
        <v>112</v>
      </c>
      <c r="BE21" s="5">
        <v>3</v>
      </c>
      <c r="BF21" s="5">
        <v>7</v>
      </c>
      <c r="BG21" s="6">
        <v>0.96</v>
      </c>
      <c r="BH21" s="5" t="s">
        <v>20</v>
      </c>
      <c r="BI21" s="5">
        <v>0</v>
      </c>
      <c r="BJ21" s="6">
        <v>0.23</v>
      </c>
      <c r="BK21" s="5">
        <v>146</v>
      </c>
      <c r="BL21" s="5">
        <f t="shared" si="10"/>
        <v>0.23</v>
      </c>
      <c r="BM21" s="5">
        <f t="shared" si="2"/>
        <v>0.26919463855110032</v>
      </c>
      <c r="BN21" s="13">
        <f t="shared" si="3"/>
        <v>0.27599533726913283</v>
      </c>
      <c r="BO21" s="14">
        <f t="shared" si="11"/>
        <v>6.1861959310344841E-3</v>
      </c>
      <c r="BP21" s="14">
        <f t="shared" si="6"/>
        <v>5.9332398522075041E-3</v>
      </c>
      <c r="BQ21" s="14">
        <f t="shared" si="12"/>
        <v>6.993006993006993E-3</v>
      </c>
      <c r="BR21" s="16" t="s">
        <v>200</v>
      </c>
      <c r="BS21" s="2"/>
      <c r="BT21" s="2"/>
    </row>
    <row r="22" spans="1:72" s="3" customFormat="1" ht="15.75" customHeight="1" x14ac:dyDescent="0.35">
      <c r="A22" s="5">
        <v>12</v>
      </c>
      <c r="B22" s="5" t="s">
        <v>113</v>
      </c>
      <c r="C22" s="5">
        <v>2022</v>
      </c>
      <c r="D22" s="33" t="s">
        <v>114</v>
      </c>
      <c r="E22" s="5" t="s">
        <v>115</v>
      </c>
      <c r="F22" s="33" t="s">
        <v>460</v>
      </c>
      <c r="G22" s="5">
        <v>0</v>
      </c>
      <c r="H22" s="5">
        <v>0</v>
      </c>
      <c r="I22" s="5">
        <v>1</v>
      </c>
      <c r="J22" s="5">
        <v>1</v>
      </c>
      <c r="K22" s="106" t="s">
        <v>469</v>
      </c>
      <c r="L22" s="5">
        <v>0</v>
      </c>
      <c r="M22" s="46" t="s">
        <v>463</v>
      </c>
      <c r="N22" s="5">
        <v>200</v>
      </c>
      <c r="O22" s="5">
        <v>1</v>
      </c>
      <c r="P22" s="5" t="s">
        <v>106</v>
      </c>
      <c r="Q22" s="5" t="s">
        <v>17</v>
      </c>
      <c r="R22" s="5">
        <v>1</v>
      </c>
      <c r="S22" s="5">
        <v>0</v>
      </c>
      <c r="T22" s="5">
        <v>0</v>
      </c>
      <c r="U22" s="5">
        <v>0</v>
      </c>
      <c r="V22" s="5" t="s">
        <v>471</v>
      </c>
      <c r="W22" s="5">
        <v>1</v>
      </c>
      <c r="X22" s="5">
        <v>0</v>
      </c>
      <c r="Y22" s="5">
        <v>0</v>
      </c>
      <c r="Z22" s="5">
        <v>1</v>
      </c>
      <c r="AA22" s="33" t="s">
        <v>571</v>
      </c>
      <c r="AB22" s="5" t="s">
        <v>473</v>
      </c>
      <c r="AC22" s="33" t="s">
        <v>616</v>
      </c>
      <c r="AD22" s="5">
        <v>1</v>
      </c>
      <c r="AE22" s="33" t="s">
        <v>615</v>
      </c>
      <c r="AF22" s="5">
        <v>1</v>
      </c>
      <c r="AG22" s="5" t="s">
        <v>536</v>
      </c>
      <c r="AH22" s="5">
        <v>4.2</v>
      </c>
      <c r="AI22" s="5">
        <v>3.1</v>
      </c>
      <c r="AJ22" s="33" t="s">
        <v>574</v>
      </c>
      <c r="AK22" s="5" t="s">
        <v>473</v>
      </c>
      <c r="AL22" s="5" t="s">
        <v>473</v>
      </c>
      <c r="AM22" s="5" t="s">
        <v>473</v>
      </c>
      <c r="AN22" s="33" t="s">
        <v>527</v>
      </c>
      <c r="AO22" s="33" t="s">
        <v>527</v>
      </c>
      <c r="AP22" s="5">
        <v>0</v>
      </c>
      <c r="AQ22" s="33" t="s">
        <v>504</v>
      </c>
      <c r="AR22" s="5">
        <v>46</v>
      </c>
      <c r="AS22" s="33">
        <v>19.13</v>
      </c>
      <c r="AT22" s="5">
        <v>0</v>
      </c>
      <c r="AU22" s="5">
        <v>1</v>
      </c>
      <c r="AV22" s="31" t="s">
        <v>394</v>
      </c>
      <c r="AW22" s="19" t="s">
        <v>26</v>
      </c>
      <c r="AX22" s="19" t="s">
        <v>116</v>
      </c>
      <c r="AY22" s="19">
        <v>2</v>
      </c>
      <c r="AZ22" s="19">
        <v>7</v>
      </c>
      <c r="BA22" s="24">
        <v>0.73</v>
      </c>
      <c r="BB22" s="19" t="s">
        <v>32</v>
      </c>
      <c r="BC22" s="5" t="s">
        <v>117</v>
      </c>
      <c r="BD22" s="5" t="s">
        <v>118</v>
      </c>
      <c r="BE22" s="5">
        <v>5</v>
      </c>
      <c r="BF22" s="5">
        <v>7</v>
      </c>
      <c r="BG22" s="6">
        <v>0.89</v>
      </c>
      <c r="BH22" s="5" t="s">
        <v>32</v>
      </c>
      <c r="BI22" s="5">
        <v>1</v>
      </c>
      <c r="BJ22" s="6">
        <v>0.19</v>
      </c>
      <c r="BK22" s="5">
        <f t="shared" ref="BK22:BK67" si="13">N22</f>
        <v>200</v>
      </c>
      <c r="BL22" s="5">
        <f t="shared" ref="BL22:BL40" si="14">BJ22</f>
        <v>0.19</v>
      </c>
      <c r="BM22" s="5">
        <f t="shared" si="2"/>
        <v>0.22237817967264809</v>
      </c>
      <c r="BN22" s="13">
        <f t="shared" si="3"/>
        <v>0.22615662699058103</v>
      </c>
      <c r="BO22" s="14">
        <f t="shared" ref="BO22:BO40" si="15">((1-(BL22)^2)^2)/(BK22-1)</f>
        <v>4.6688603517587935E-3</v>
      </c>
      <c r="BP22" s="14">
        <f t="shared" si="6"/>
        <v>4.5404090258008003E-3</v>
      </c>
      <c r="BQ22" s="14">
        <f t="shared" ref="BQ22:BQ40" si="16">(1/(BK22-3))</f>
        <v>5.076142131979695E-3</v>
      </c>
      <c r="BR22" s="16" t="s">
        <v>201</v>
      </c>
      <c r="BS22" s="2"/>
      <c r="BT22" s="2"/>
    </row>
    <row r="23" spans="1:72" s="3" customFormat="1" ht="15.75" customHeight="1" x14ac:dyDescent="0.35">
      <c r="A23" s="34">
        <v>12</v>
      </c>
      <c r="B23" s="34" t="s">
        <v>113</v>
      </c>
      <c r="C23" s="34">
        <v>2022</v>
      </c>
      <c r="D23" s="34" t="s">
        <v>114</v>
      </c>
      <c r="E23" s="34" t="s">
        <v>115</v>
      </c>
      <c r="F23" s="36" t="s">
        <v>460</v>
      </c>
      <c r="G23" s="34">
        <v>0</v>
      </c>
      <c r="H23" s="34">
        <v>0</v>
      </c>
      <c r="I23" s="34">
        <v>1</v>
      </c>
      <c r="J23" s="34">
        <v>1</v>
      </c>
      <c r="K23" s="107" t="s">
        <v>469</v>
      </c>
      <c r="L23" s="34">
        <v>0</v>
      </c>
      <c r="M23" s="47" t="s">
        <v>463</v>
      </c>
      <c r="N23" s="34">
        <v>200</v>
      </c>
      <c r="O23" s="34">
        <v>1</v>
      </c>
      <c r="P23" s="34" t="s">
        <v>106</v>
      </c>
      <c r="Q23" s="34" t="s">
        <v>17</v>
      </c>
      <c r="R23" s="34">
        <v>1</v>
      </c>
      <c r="S23" s="34">
        <v>0</v>
      </c>
      <c r="T23" s="34">
        <v>0</v>
      </c>
      <c r="U23" s="34">
        <v>0</v>
      </c>
      <c r="V23" s="34" t="s">
        <v>471</v>
      </c>
      <c r="W23" s="34">
        <v>1</v>
      </c>
      <c r="X23" s="34">
        <v>0</v>
      </c>
      <c r="Y23" s="34">
        <v>0</v>
      </c>
      <c r="Z23" s="34">
        <v>1</v>
      </c>
      <c r="AA23" s="36" t="s">
        <v>571</v>
      </c>
      <c r="AB23" s="34" t="s">
        <v>473</v>
      </c>
      <c r="AC23" s="36" t="s">
        <v>616</v>
      </c>
      <c r="AD23" s="34">
        <v>1</v>
      </c>
      <c r="AE23" s="36" t="s">
        <v>615</v>
      </c>
      <c r="AF23" s="34">
        <v>1</v>
      </c>
      <c r="AG23" s="34" t="s">
        <v>536</v>
      </c>
      <c r="AH23" s="34">
        <v>4.2</v>
      </c>
      <c r="AI23" s="34">
        <v>3.1</v>
      </c>
      <c r="AJ23" s="36" t="s">
        <v>574</v>
      </c>
      <c r="AK23" s="34" t="s">
        <v>473</v>
      </c>
      <c r="AL23" s="34" t="s">
        <v>473</v>
      </c>
      <c r="AM23" s="34" t="s">
        <v>473</v>
      </c>
      <c r="AN23" s="36" t="s">
        <v>527</v>
      </c>
      <c r="AO23" s="36" t="s">
        <v>527</v>
      </c>
      <c r="AP23" s="34">
        <v>0</v>
      </c>
      <c r="AQ23" s="36" t="s">
        <v>504</v>
      </c>
      <c r="AR23" s="34">
        <v>46</v>
      </c>
      <c r="AS23" s="36">
        <v>19.13</v>
      </c>
      <c r="AT23" s="34">
        <v>0</v>
      </c>
      <c r="AU23" s="34">
        <v>1</v>
      </c>
      <c r="AV23" s="31" t="s">
        <v>396</v>
      </c>
      <c r="AW23" s="19" t="s">
        <v>26</v>
      </c>
      <c r="AX23" s="19" t="s">
        <v>116</v>
      </c>
      <c r="AY23" s="19">
        <v>2</v>
      </c>
      <c r="AZ23" s="19">
        <v>7</v>
      </c>
      <c r="BA23" s="24">
        <v>0.73</v>
      </c>
      <c r="BB23" s="19" t="s">
        <v>32</v>
      </c>
      <c r="BC23" s="5" t="s">
        <v>49</v>
      </c>
      <c r="BD23" s="5" t="s">
        <v>119</v>
      </c>
      <c r="BE23" s="5">
        <v>4</v>
      </c>
      <c r="BF23" s="5">
        <v>7</v>
      </c>
      <c r="BG23" s="6">
        <v>0.76</v>
      </c>
      <c r="BH23" s="5" t="s">
        <v>32</v>
      </c>
      <c r="BI23" s="5">
        <v>0</v>
      </c>
      <c r="BJ23" s="6">
        <v>0.06</v>
      </c>
      <c r="BK23" s="5">
        <f t="shared" si="13"/>
        <v>200</v>
      </c>
      <c r="BL23" s="5">
        <f t="shared" si="14"/>
        <v>0.06</v>
      </c>
      <c r="BM23" s="5">
        <f t="shared" si="2"/>
        <v>7.0224688317678335E-2</v>
      </c>
      <c r="BN23" s="13">
        <f t="shared" si="3"/>
        <v>7.0340468938812517E-2</v>
      </c>
      <c r="BO23" s="14">
        <f t="shared" si="15"/>
        <v>4.9890098492462306E-3</v>
      </c>
      <c r="BP23" s="14">
        <f t="shared" si="6"/>
        <v>4.9756849550812799E-3</v>
      </c>
      <c r="BQ23" s="14">
        <f t="shared" si="16"/>
        <v>5.076142131979695E-3</v>
      </c>
      <c r="BR23" s="16" t="s">
        <v>201</v>
      </c>
      <c r="BS23" s="2"/>
      <c r="BT23" s="2"/>
    </row>
    <row r="24" spans="1:72" s="3" customFormat="1" ht="15.75" customHeight="1" x14ac:dyDescent="0.35">
      <c r="A24" s="5">
        <v>13</v>
      </c>
      <c r="B24" s="5" t="s">
        <v>120</v>
      </c>
      <c r="C24" s="5">
        <v>2004</v>
      </c>
      <c r="D24" s="5" t="s">
        <v>121</v>
      </c>
      <c r="E24" s="16" t="s">
        <v>199</v>
      </c>
      <c r="F24" s="33" t="s">
        <v>461</v>
      </c>
      <c r="G24" s="5">
        <v>0</v>
      </c>
      <c r="H24" s="5">
        <v>0</v>
      </c>
      <c r="I24" s="5">
        <v>0</v>
      </c>
      <c r="J24" s="5">
        <v>1</v>
      </c>
      <c r="K24" s="106" t="s">
        <v>469</v>
      </c>
      <c r="L24" s="5">
        <v>0</v>
      </c>
      <c r="M24" s="31" t="s">
        <v>353</v>
      </c>
      <c r="N24" s="5">
        <v>177</v>
      </c>
      <c r="O24" s="5">
        <v>1</v>
      </c>
      <c r="P24" s="5" t="s">
        <v>106</v>
      </c>
      <c r="Q24" s="16" t="s">
        <v>130</v>
      </c>
      <c r="R24" s="16">
        <v>0</v>
      </c>
      <c r="S24" s="16">
        <v>0</v>
      </c>
      <c r="T24" s="16">
        <v>0</v>
      </c>
      <c r="U24" s="16">
        <v>1</v>
      </c>
      <c r="V24" s="16" t="s">
        <v>442</v>
      </c>
      <c r="W24" s="16">
        <v>0</v>
      </c>
      <c r="X24" s="16">
        <v>0</v>
      </c>
      <c r="Y24" s="16">
        <v>1</v>
      </c>
      <c r="Z24" s="16">
        <v>0</v>
      </c>
      <c r="AA24" s="33" t="s">
        <v>472</v>
      </c>
      <c r="AB24" s="16" t="s">
        <v>473</v>
      </c>
      <c r="AC24" s="16" t="s">
        <v>473</v>
      </c>
      <c r="AD24" s="16">
        <v>1</v>
      </c>
      <c r="AE24" s="16" t="s">
        <v>539</v>
      </c>
      <c r="AF24" s="16">
        <v>1</v>
      </c>
      <c r="AG24" s="33" t="s">
        <v>575</v>
      </c>
      <c r="AH24" s="33">
        <v>3.1</v>
      </c>
      <c r="AI24" s="33">
        <v>2.7</v>
      </c>
      <c r="AJ24" s="33" t="s">
        <v>576</v>
      </c>
      <c r="AK24" s="16" t="s">
        <v>473</v>
      </c>
      <c r="AL24" s="16" t="s">
        <v>473</v>
      </c>
      <c r="AM24" s="33" t="s">
        <v>473</v>
      </c>
      <c r="AN24" s="16" t="s">
        <v>473</v>
      </c>
      <c r="AO24" s="16" t="s">
        <v>577</v>
      </c>
      <c r="AP24" s="16">
        <v>0</v>
      </c>
      <c r="AQ24" s="16" t="s">
        <v>541</v>
      </c>
      <c r="AR24" s="16">
        <v>48</v>
      </c>
      <c r="AS24" s="16">
        <v>21.6</v>
      </c>
      <c r="AT24" s="16">
        <v>1</v>
      </c>
      <c r="AU24" s="16">
        <v>0</v>
      </c>
      <c r="AV24" s="31" t="s">
        <v>397</v>
      </c>
      <c r="AW24" s="5" t="s">
        <v>57</v>
      </c>
      <c r="AX24" s="5" t="s">
        <v>122</v>
      </c>
      <c r="AY24" s="5">
        <v>4</v>
      </c>
      <c r="AZ24" s="5">
        <v>7</v>
      </c>
      <c r="BA24" s="6">
        <v>0.9</v>
      </c>
      <c r="BB24" s="5" t="s">
        <v>20</v>
      </c>
      <c r="BC24" s="5" t="s">
        <v>123</v>
      </c>
      <c r="BD24" s="5" t="s">
        <v>124</v>
      </c>
      <c r="BE24" s="5">
        <v>4</v>
      </c>
      <c r="BF24" s="5">
        <v>7</v>
      </c>
      <c r="BG24" s="6">
        <v>0.94</v>
      </c>
      <c r="BH24" s="5" t="s">
        <v>20</v>
      </c>
      <c r="BI24" s="5">
        <v>1</v>
      </c>
      <c r="BJ24" s="6">
        <v>0.39</v>
      </c>
      <c r="BK24" s="5">
        <f t="shared" si="13"/>
        <v>177</v>
      </c>
      <c r="BL24" s="5">
        <f t="shared" si="14"/>
        <v>0.39</v>
      </c>
      <c r="BM24" s="5">
        <f t="shared" si="2"/>
        <v>0.41109609582188933</v>
      </c>
      <c r="BN24" s="13">
        <f t="shared" si="3"/>
        <v>0.43692951737891594</v>
      </c>
      <c r="BO24" s="14">
        <f t="shared" si="15"/>
        <v>4.0848546022727271E-3</v>
      </c>
      <c r="BP24" s="14">
        <f t="shared" si="6"/>
        <v>3.9236420454545453E-3</v>
      </c>
      <c r="BQ24" s="14">
        <f t="shared" si="16"/>
        <v>5.7471264367816091E-3</v>
      </c>
      <c r="BR24" s="16" t="s">
        <v>202</v>
      </c>
      <c r="BS24" s="2"/>
      <c r="BT24" s="2"/>
    </row>
    <row r="25" spans="1:72" s="3" customFormat="1" ht="15.75" customHeight="1" x14ac:dyDescent="0.35">
      <c r="A25" s="5">
        <v>13</v>
      </c>
      <c r="B25" s="5" t="s">
        <v>120</v>
      </c>
      <c r="C25" s="5">
        <v>2004</v>
      </c>
      <c r="D25" s="5" t="s">
        <v>121</v>
      </c>
      <c r="E25" s="16" t="s">
        <v>199</v>
      </c>
      <c r="F25" s="33" t="s">
        <v>461</v>
      </c>
      <c r="G25" s="5">
        <v>0</v>
      </c>
      <c r="H25" s="5">
        <v>0</v>
      </c>
      <c r="I25" s="5">
        <v>0</v>
      </c>
      <c r="J25" s="5">
        <v>1</v>
      </c>
      <c r="K25" s="106" t="s">
        <v>469</v>
      </c>
      <c r="L25" s="5">
        <v>0</v>
      </c>
      <c r="M25" s="31" t="s">
        <v>353</v>
      </c>
      <c r="N25" s="5">
        <v>177</v>
      </c>
      <c r="O25" s="5">
        <v>1</v>
      </c>
      <c r="P25" s="5" t="s">
        <v>106</v>
      </c>
      <c r="Q25" s="16" t="s">
        <v>130</v>
      </c>
      <c r="R25" s="16">
        <v>0</v>
      </c>
      <c r="S25" s="16">
        <v>0</v>
      </c>
      <c r="T25" s="16">
        <v>0</v>
      </c>
      <c r="U25" s="16">
        <v>1</v>
      </c>
      <c r="V25" s="16" t="s">
        <v>442</v>
      </c>
      <c r="W25" s="16">
        <v>0</v>
      </c>
      <c r="X25" s="16">
        <v>0</v>
      </c>
      <c r="Y25" s="16">
        <v>1</v>
      </c>
      <c r="Z25" s="16">
        <v>0</v>
      </c>
      <c r="AA25" s="33" t="s">
        <v>472</v>
      </c>
      <c r="AB25" s="16" t="s">
        <v>473</v>
      </c>
      <c r="AC25" s="16" t="s">
        <v>473</v>
      </c>
      <c r="AD25" s="16">
        <v>1</v>
      </c>
      <c r="AE25" s="16" t="s">
        <v>539</v>
      </c>
      <c r="AF25" s="16">
        <v>1</v>
      </c>
      <c r="AG25" s="16" t="s">
        <v>575</v>
      </c>
      <c r="AH25" s="16">
        <v>3.1</v>
      </c>
      <c r="AI25" s="16">
        <v>2.7</v>
      </c>
      <c r="AJ25" s="16" t="s">
        <v>576</v>
      </c>
      <c r="AK25" s="16" t="s">
        <v>473</v>
      </c>
      <c r="AL25" s="16" t="s">
        <v>473</v>
      </c>
      <c r="AM25" s="16" t="s">
        <v>473</v>
      </c>
      <c r="AN25" s="16" t="s">
        <v>473</v>
      </c>
      <c r="AO25" s="16" t="s">
        <v>577</v>
      </c>
      <c r="AP25" s="16">
        <v>0</v>
      </c>
      <c r="AQ25" s="16" t="s">
        <v>541</v>
      </c>
      <c r="AR25" s="16">
        <v>48</v>
      </c>
      <c r="AS25" s="16">
        <v>21.6</v>
      </c>
      <c r="AT25" s="16">
        <v>1</v>
      </c>
      <c r="AU25" s="16">
        <v>0</v>
      </c>
      <c r="AV25" s="31" t="s">
        <v>398</v>
      </c>
      <c r="AW25" s="5" t="s">
        <v>57</v>
      </c>
      <c r="AX25" s="5" t="s">
        <v>122</v>
      </c>
      <c r="AY25" s="5">
        <v>4</v>
      </c>
      <c r="AZ25" s="5">
        <v>7</v>
      </c>
      <c r="BA25" s="6">
        <v>0.9</v>
      </c>
      <c r="BB25" s="5" t="s">
        <v>20</v>
      </c>
      <c r="BC25" s="5" t="s">
        <v>125</v>
      </c>
      <c r="BD25" s="5" t="s">
        <v>126</v>
      </c>
      <c r="BE25" s="5">
        <v>3</v>
      </c>
      <c r="BF25" s="5">
        <v>7</v>
      </c>
      <c r="BG25" s="6">
        <v>0.93</v>
      </c>
      <c r="BH25" s="5" t="s">
        <v>20</v>
      </c>
      <c r="BI25" s="5">
        <v>1</v>
      </c>
      <c r="BJ25" s="6">
        <v>0.24</v>
      </c>
      <c r="BK25" s="5">
        <f t="shared" si="13"/>
        <v>177</v>
      </c>
      <c r="BL25" s="5">
        <f t="shared" si="14"/>
        <v>0.24</v>
      </c>
      <c r="BM25" s="5">
        <f t="shared" si="2"/>
        <v>0.25298221281347033</v>
      </c>
      <c r="BN25" s="13">
        <f t="shared" si="3"/>
        <v>0.25859638138585134</v>
      </c>
      <c r="BO25" s="14">
        <f t="shared" si="15"/>
        <v>5.0461236363636358E-3</v>
      </c>
      <c r="BP25" s="14">
        <f t="shared" si="6"/>
        <v>4.9778181818181822E-3</v>
      </c>
      <c r="BQ25" s="14">
        <f t="shared" si="16"/>
        <v>5.7471264367816091E-3</v>
      </c>
      <c r="BR25" s="16" t="s">
        <v>202</v>
      </c>
      <c r="BS25" s="2"/>
      <c r="BT25" s="2"/>
    </row>
    <row r="26" spans="1:72" s="3" customFormat="1" ht="15.75" customHeight="1" x14ac:dyDescent="0.35">
      <c r="A26" s="5">
        <v>13</v>
      </c>
      <c r="B26" s="5" t="s">
        <v>120</v>
      </c>
      <c r="C26" s="5">
        <v>2004</v>
      </c>
      <c r="D26" s="5" t="s">
        <v>121</v>
      </c>
      <c r="E26" s="16" t="s">
        <v>199</v>
      </c>
      <c r="F26" s="33" t="s">
        <v>461</v>
      </c>
      <c r="G26" s="5">
        <v>0</v>
      </c>
      <c r="H26" s="5">
        <v>0</v>
      </c>
      <c r="I26" s="5">
        <v>0</v>
      </c>
      <c r="J26" s="5">
        <v>1</v>
      </c>
      <c r="K26" s="106" t="s">
        <v>469</v>
      </c>
      <c r="L26" s="5">
        <v>0</v>
      </c>
      <c r="M26" s="31" t="s">
        <v>353</v>
      </c>
      <c r="N26" s="5">
        <v>177</v>
      </c>
      <c r="O26" s="5">
        <v>1</v>
      </c>
      <c r="P26" s="5" t="s">
        <v>106</v>
      </c>
      <c r="Q26" s="16" t="s">
        <v>130</v>
      </c>
      <c r="R26" s="16">
        <v>0</v>
      </c>
      <c r="S26" s="16">
        <v>0</v>
      </c>
      <c r="T26" s="16">
        <v>0</v>
      </c>
      <c r="U26" s="16">
        <v>1</v>
      </c>
      <c r="V26" s="16" t="s">
        <v>442</v>
      </c>
      <c r="W26" s="16">
        <v>0</v>
      </c>
      <c r="X26" s="16">
        <v>0</v>
      </c>
      <c r="Y26" s="16">
        <v>1</v>
      </c>
      <c r="Z26" s="16">
        <v>0</v>
      </c>
      <c r="AA26" s="33" t="s">
        <v>472</v>
      </c>
      <c r="AB26" s="16" t="s">
        <v>473</v>
      </c>
      <c r="AC26" s="16" t="s">
        <v>473</v>
      </c>
      <c r="AD26" s="16">
        <v>1</v>
      </c>
      <c r="AE26" s="16" t="s">
        <v>539</v>
      </c>
      <c r="AF26" s="16">
        <v>1</v>
      </c>
      <c r="AG26" s="16" t="s">
        <v>575</v>
      </c>
      <c r="AH26" s="16">
        <v>3.1</v>
      </c>
      <c r="AI26" s="16">
        <v>2.7</v>
      </c>
      <c r="AJ26" s="16" t="s">
        <v>576</v>
      </c>
      <c r="AK26" s="16" t="s">
        <v>473</v>
      </c>
      <c r="AL26" s="16" t="s">
        <v>473</v>
      </c>
      <c r="AM26" s="16" t="s">
        <v>473</v>
      </c>
      <c r="AN26" s="16" t="s">
        <v>473</v>
      </c>
      <c r="AO26" s="16" t="s">
        <v>577</v>
      </c>
      <c r="AP26" s="16">
        <v>0</v>
      </c>
      <c r="AQ26" s="16" t="s">
        <v>541</v>
      </c>
      <c r="AR26" s="16">
        <v>48</v>
      </c>
      <c r="AS26" s="16">
        <v>21.6</v>
      </c>
      <c r="AT26" s="16">
        <v>1</v>
      </c>
      <c r="AU26" s="16">
        <v>0</v>
      </c>
      <c r="AV26" s="31" t="s">
        <v>399</v>
      </c>
      <c r="AW26" s="5" t="s">
        <v>57</v>
      </c>
      <c r="AX26" s="5" t="s">
        <v>122</v>
      </c>
      <c r="AY26" s="5">
        <v>4</v>
      </c>
      <c r="AZ26" s="5">
        <v>7</v>
      </c>
      <c r="BA26" s="6">
        <v>0.9</v>
      </c>
      <c r="BB26" s="5" t="s">
        <v>20</v>
      </c>
      <c r="BC26" s="5" t="s">
        <v>127</v>
      </c>
      <c r="BD26" s="5" t="s">
        <v>128</v>
      </c>
      <c r="BE26" s="5">
        <v>4</v>
      </c>
      <c r="BF26" s="5">
        <v>7</v>
      </c>
      <c r="BG26" s="6">
        <v>0.9</v>
      </c>
      <c r="BH26" s="5" t="s">
        <v>20</v>
      </c>
      <c r="BI26" s="5">
        <v>0</v>
      </c>
      <c r="BJ26" s="6">
        <v>0.46</v>
      </c>
      <c r="BK26" s="5">
        <f t="shared" si="13"/>
        <v>177</v>
      </c>
      <c r="BL26" s="5">
        <f t="shared" si="14"/>
        <v>0.46</v>
      </c>
      <c r="BM26" s="5">
        <f t="shared" si="2"/>
        <v>0.48488257455915151</v>
      </c>
      <c r="BN26" s="13">
        <f t="shared" si="3"/>
        <v>0.52934804425064153</v>
      </c>
      <c r="BO26" s="14">
        <f t="shared" si="15"/>
        <v>3.5316736363636362E-3</v>
      </c>
      <c r="BP26" s="14">
        <f t="shared" si="6"/>
        <v>3.3241762065095394E-3</v>
      </c>
      <c r="BQ26" s="14">
        <f t="shared" si="16"/>
        <v>5.7471264367816091E-3</v>
      </c>
      <c r="BR26" s="16" t="s">
        <v>202</v>
      </c>
      <c r="BS26" s="2"/>
      <c r="BT26" s="2"/>
    </row>
    <row r="27" spans="1:72" s="3" customFormat="1" ht="15.75" customHeight="1" x14ac:dyDescent="0.35">
      <c r="A27" s="34">
        <v>13</v>
      </c>
      <c r="B27" s="34" t="s">
        <v>120</v>
      </c>
      <c r="C27" s="34">
        <v>2004</v>
      </c>
      <c r="D27" s="34" t="s">
        <v>121</v>
      </c>
      <c r="E27" s="37" t="s">
        <v>199</v>
      </c>
      <c r="F27" s="36" t="s">
        <v>461</v>
      </c>
      <c r="G27" s="34">
        <v>0</v>
      </c>
      <c r="H27" s="34">
        <v>0</v>
      </c>
      <c r="I27" s="34">
        <v>0</v>
      </c>
      <c r="J27" s="34">
        <v>1</v>
      </c>
      <c r="K27" s="107" t="s">
        <v>469</v>
      </c>
      <c r="L27" s="34">
        <v>0</v>
      </c>
      <c r="M27" s="43" t="s">
        <v>353</v>
      </c>
      <c r="N27" s="34">
        <v>177</v>
      </c>
      <c r="O27" s="34">
        <v>1</v>
      </c>
      <c r="P27" s="34" t="s">
        <v>106</v>
      </c>
      <c r="Q27" s="37" t="s">
        <v>130</v>
      </c>
      <c r="R27" s="37">
        <v>0</v>
      </c>
      <c r="S27" s="37">
        <v>0</v>
      </c>
      <c r="T27" s="37">
        <v>0</v>
      </c>
      <c r="U27" s="37">
        <v>1</v>
      </c>
      <c r="V27" s="37" t="s">
        <v>442</v>
      </c>
      <c r="W27" s="37">
        <v>0</v>
      </c>
      <c r="X27" s="37">
        <v>0</v>
      </c>
      <c r="Y27" s="37">
        <v>1</v>
      </c>
      <c r="Z27" s="37">
        <v>0</v>
      </c>
      <c r="AA27" s="36" t="s">
        <v>472</v>
      </c>
      <c r="AB27" s="37" t="s">
        <v>473</v>
      </c>
      <c r="AC27" s="37" t="s">
        <v>473</v>
      </c>
      <c r="AD27" s="37">
        <v>1</v>
      </c>
      <c r="AE27" s="37" t="s">
        <v>539</v>
      </c>
      <c r="AF27" s="37">
        <v>1</v>
      </c>
      <c r="AG27" s="37" t="s">
        <v>575</v>
      </c>
      <c r="AH27" s="37">
        <v>3.1</v>
      </c>
      <c r="AI27" s="37">
        <v>2.7</v>
      </c>
      <c r="AJ27" s="37" t="s">
        <v>576</v>
      </c>
      <c r="AK27" s="37" t="s">
        <v>473</v>
      </c>
      <c r="AL27" s="37" t="s">
        <v>473</v>
      </c>
      <c r="AM27" s="37" t="s">
        <v>473</v>
      </c>
      <c r="AN27" s="37" t="s">
        <v>473</v>
      </c>
      <c r="AO27" s="37" t="s">
        <v>577</v>
      </c>
      <c r="AP27" s="37">
        <v>0</v>
      </c>
      <c r="AQ27" s="37" t="s">
        <v>541</v>
      </c>
      <c r="AR27" s="37">
        <v>48</v>
      </c>
      <c r="AS27" s="37">
        <v>21.6</v>
      </c>
      <c r="AT27" s="37">
        <v>1</v>
      </c>
      <c r="AU27" s="37">
        <v>0</v>
      </c>
      <c r="AV27" s="31" t="s">
        <v>400</v>
      </c>
      <c r="AW27" s="5" t="s">
        <v>57</v>
      </c>
      <c r="AX27" s="5" t="s">
        <v>122</v>
      </c>
      <c r="AY27" s="5">
        <v>4</v>
      </c>
      <c r="AZ27" s="5">
        <v>7</v>
      </c>
      <c r="BA27" s="6">
        <v>0.9</v>
      </c>
      <c r="BB27" s="5" t="s">
        <v>20</v>
      </c>
      <c r="BC27" s="5" t="s">
        <v>107</v>
      </c>
      <c r="BD27" s="5" t="s">
        <v>129</v>
      </c>
      <c r="BE27" s="5">
        <v>4</v>
      </c>
      <c r="BF27" s="5">
        <v>7</v>
      </c>
      <c r="BG27" s="6">
        <v>0.88</v>
      </c>
      <c r="BH27" s="5" t="s">
        <v>20</v>
      </c>
      <c r="BI27" s="5">
        <v>0</v>
      </c>
      <c r="BJ27" s="6">
        <v>0.33</v>
      </c>
      <c r="BK27" s="5">
        <f t="shared" si="13"/>
        <v>177</v>
      </c>
      <c r="BL27" s="5">
        <f t="shared" si="14"/>
        <v>0.33</v>
      </c>
      <c r="BM27" s="5">
        <f t="shared" si="2"/>
        <v>0.34785054261852177</v>
      </c>
      <c r="BN27" s="13">
        <f t="shared" si="3"/>
        <v>0.36299632356328615</v>
      </c>
      <c r="BO27" s="14">
        <f t="shared" si="15"/>
        <v>4.5117000568181817E-3</v>
      </c>
      <c r="BP27" s="14">
        <f t="shared" si="6"/>
        <v>4.3900056818181816E-3</v>
      </c>
      <c r="BQ27" s="14">
        <f t="shared" si="16"/>
        <v>5.7471264367816091E-3</v>
      </c>
      <c r="BR27" s="16" t="s">
        <v>202</v>
      </c>
      <c r="BS27" s="2"/>
      <c r="BT27" s="2"/>
    </row>
    <row r="28" spans="1:72" s="3" customFormat="1" ht="15.75" customHeight="1" x14ac:dyDescent="0.35">
      <c r="A28" s="5">
        <v>14</v>
      </c>
      <c r="B28" s="5" t="s">
        <v>131</v>
      </c>
      <c r="C28" s="5">
        <v>2007</v>
      </c>
      <c r="D28" s="5" t="s">
        <v>132</v>
      </c>
      <c r="E28" s="5" t="s">
        <v>133</v>
      </c>
      <c r="F28" s="33" t="s">
        <v>460</v>
      </c>
      <c r="G28" s="27" t="s">
        <v>342</v>
      </c>
      <c r="H28" s="5">
        <v>1</v>
      </c>
      <c r="I28" s="5">
        <v>1</v>
      </c>
      <c r="J28" s="5">
        <v>1</v>
      </c>
      <c r="K28" s="106" t="s">
        <v>469</v>
      </c>
      <c r="L28" s="5">
        <v>0</v>
      </c>
      <c r="M28" s="31" t="s">
        <v>354</v>
      </c>
      <c r="N28" s="5">
        <v>176</v>
      </c>
      <c r="O28" s="5">
        <v>1</v>
      </c>
      <c r="P28" s="5" t="s">
        <v>85</v>
      </c>
      <c r="Q28" s="16" t="s">
        <v>130</v>
      </c>
      <c r="R28" s="16">
        <v>0</v>
      </c>
      <c r="S28" s="16">
        <v>0</v>
      </c>
      <c r="T28" s="16">
        <v>0</v>
      </c>
      <c r="U28" s="16">
        <v>1</v>
      </c>
      <c r="V28" s="16" t="s">
        <v>442</v>
      </c>
      <c r="W28" s="16">
        <v>0</v>
      </c>
      <c r="X28" s="16">
        <v>0</v>
      </c>
      <c r="Y28" s="16">
        <v>1</v>
      </c>
      <c r="Z28" s="16">
        <v>0</v>
      </c>
      <c r="AA28" s="16" t="s">
        <v>538</v>
      </c>
      <c r="AB28" s="16" t="s">
        <v>473</v>
      </c>
      <c r="AC28" s="16" t="s">
        <v>473</v>
      </c>
      <c r="AD28" s="16">
        <v>1</v>
      </c>
      <c r="AE28" s="16" t="s">
        <v>539</v>
      </c>
      <c r="AF28" s="16">
        <v>1</v>
      </c>
      <c r="AG28" s="33" t="s">
        <v>540</v>
      </c>
      <c r="AH28" s="33">
        <v>3.7</v>
      </c>
      <c r="AI28" s="33">
        <v>2.6</v>
      </c>
      <c r="AJ28" s="33" t="s">
        <v>576</v>
      </c>
      <c r="AK28" s="16" t="s">
        <v>473</v>
      </c>
      <c r="AL28" s="16" t="s">
        <v>473</v>
      </c>
      <c r="AM28" s="33" t="s">
        <v>473</v>
      </c>
      <c r="AN28" s="16" t="s">
        <v>473</v>
      </c>
      <c r="AO28" s="16" t="s">
        <v>577</v>
      </c>
      <c r="AP28" s="16">
        <v>0</v>
      </c>
      <c r="AQ28" s="16" t="s">
        <v>541</v>
      </c>
      <c r="AR28" s="16">
        <v>48</v>
      </c>
      <c r="AS28" s="16">
        <v>21.6</v>
      </c>
      <c r="AT28" s="16">
        <v>1</v>
      </c>
      <c r="AU28" s="16">
        <v>0</v>
      </c>
      <c r="AV28" s="31" t="s">
        <v>401</v>
      </c>
      <c r="AW28" s="5" t="s">
        <v>57</v>
      </c>
      <c r="AX28" s="5" t="s">
        <v>134</v>
      </c>
      <c r="AY28" s="5">
        <v>2</v>
      </c>
      <c r="AZ28" s="5">
        <v>7</v>
      </c>
      <c r="BA28" s="6">
        <v>0.85</v>
      </c>
      <c r="BB28" s="5" t="s">
        <v>20</v>
      </c>
      <c r="BC28" s="16" t="s">
        <v>207</v>
      </c>
      <c r="BD28" s="15" t="s">
        <v>208</v>
      </c>
      <c r="BE28" s="5">
        <v>3</v>
      </c>
      <c r="BF28" s="5">
        <v>7</v>
      </c>
      <c r="BG28" s="6">
        <v>0.87</v>
      </c>
      <c r="BH28" s="5" t="s">
        <v>20</v>
      </c>
      <c r="BI28" s="5">
        <v>0</v>
      </c>
      <c r="BJ28" s="6">
        <v>0.34</v>
      </c>
      <c r="BK28" s="5">
        <f t="shared" si="13"/>
        <v>176</v>
      </c>
      <c r="BL28" s="5">
        <f t="shared" si="14"/>
        <v>0.34</v>
      </c>
      <c r="BM28" s="5">
        <f t="shared" si="2"/>
        <v>0.36878177829171549</v>
      </c>
      <c r="BN28" s="13">
        <f t="shared" si="3"/>
        <v>0.38701238641898233</v>
      </c>
      <c r="BO28" s="14">
        <f t="shared" si="15"/>
        <v>4.469504914285714E-3</v>
      </c>
      <c r="BP28" s="14">
        <f t="shared" si="6"/>
        <v>4.2656914285714286E-3</v>
      </c>
      <c r="BQ28" s="14">
        <f t="shared" si="16"/>
        <v>5.7803468208092483E-3</v>
      </c>
      <c r="BR28" s="16" t="s">
        <v>209</v>
      </c>
      <c r="BS28" s="2"/>
      <c r="BT28" s="2"/>
    </row>
    <row r="29" spans="1:72" s="3" customFormat="1" ht="15.75" customHeight="1" x14ac:dyDescent="0.35">
      <c r="A29" s="5">
        <v>14</v>
      </c>
      <c r="B29" s="5" t="s">
        <v>131</v>
      </c>
      <c r="C29" s="5">
        <v>2007</v>
      </c>
      <c r="D29" s="5" t="s">
        <v>132</v>
      </c>
      <c r="E29" s="5" t="s">
        <v>133</v>
      </c>
      <c r="F29" s="33" t="s">
        <v>460</v>
      </c>
      <c r="G29" s="27" t="s">
        <v>342</v>
      </c>
      <c r="H29" s="5">
        <v>1</v>
      </c>
      <c r="I29" s="5">
        <v>1</v>
      </c>
      <c r="J29" s="5">
        <v>1</v>
      </c>
      <c r="K29" s="106" t="s">
        <v>469</v>
      </c>
      <c r="L29" s="5">
        <v>0</v>
      </c>
      <c r="M29" s="31" t="s">
        <v>354</v>
      </c>
      <c r="N29" s="5">
        <v>176</v>
      </c>
      <c r="O29" s="5">
        <v>1</v>
      </c>
      <c r="P29" s="5" t="s">
        <v>85</v>
      </c>
      <c r="Q29" s="16" t="s">
        <v>130</v>
      </c>
      <c r="R29" s="16">
        <v>0</v>
      </c>
      <c r="S29" s="16">
        <v>0</v>
      </c>
      <c r="T29" s="16">
        <v>0</v>
      </c>
      <c r="U29" s="16">
        <v>1</v>
      </c>
      <c r="V29" s="16" t="s">
        <v>442</v>
      </c>
      <c r="W29" s="16">
        <v>0</v>
      </c>
      <c r="X29" s="16">
        <v>0</v>
      </c>
      <c r="Y29" s="16">
        <v>1</v>
      </c>
      <c r="Z29" s="16">
        <v>0</v>
      </c>
      <c r="AA29" s="16" t="s">
        <v>538</v>
      </c>
      <c r="AB29" s="16" t="s">
        <v>473</v>
      </c>
      <c r="AC29" s="16" t="s">
        <v>473</v>
      </c>
      <c r="AD29" s="16">
        <v>1</v>
      </c>
      <c r="AE29" s="16" t="s">
        <v>539</v>
      </c>
      <c r="AF29" s="16">
        <v>1</v>
      </c>
      <c r="AG29" s="33" t="s">
        <v>540</v>
      </c>
      <c r="AH29" s="33">
        <v>3.7</v>
      </c>
      <c r="AI29" s="33">
        <v>2.6</v>
      </c>
      <c r="AJ29" s="33" t="s">
        <v>576</v>
      </c>
      <c r="AK29" s="16" t="s">
        <v>473</v>
      </c>
      <c r="AL29" s="16" t="s">
        <v>473</v>
      </c>
      <c r="AM29" s="33" t="s">
        <v>473</v>
      </c>
      <c r="AN29" s="16" t="s">
        <v>473</v>
      </c>
      <c r="AO29" s="16" t="s">
        <v>577</v>
      </c>
      <c r="AP29" s="16">
        <v>0</v>
      </c>
      <c r="AQ29" s="16" t="s">
        <v>541</v>
      </c>
      <c r="AR29" s="16">
        <v>48</v>
      </c>
      <c r="AS29" s="16">
        <v>21.6</v>
      </c>
      <c r="AT29" s="16">
        <v>1</v>
      </c>
      <c r="AU29" s="16">
        <v>0</v>
      </c>
      <c r="AV29" s="31" t="s">
        <v>402</v>
      </c>
      <c r="AW29" s="5" t="s">
        <v>57</v>
      </c>
      <c r="AX29" s="5" t="s">
        <v>134</v>
      </c>
      <c r="AY29" s="5">
        <v>2</v>
      </c>
      <c r="AZ29" s="5">
        <v>7</v>
      </c>
      <c r="BA29" s="6">
        <v>0.85</v>
      </c>
      <c r="BB29" s="5" t="s">
        <v>20</v>
      </c>
      <c r="BC29" s="16" t="s">
        <v>205</v>
      </c>
      <c r="BD29" s="15" t="s">
        <v>206</v>
      </c>
      <c r="BE29" s="5">
        <v>3</v>
      </c>
      <c r="BF29" s="5">
        <v>7</v>
      </c>
      <c r="BG29" s="6">
        <v>0.87</v>
      </c>
      <c r="BH29" s="5" t="s">
        <v>20</v>
      </c>
      <c r="BI29" s="5">
        <v>0</v>
      </c>
      <c r="BJ29" s="6">
        <v>0.43</v>
      </c>
      <c r="BK29" s="5">
        <f t="shared" si="13"/>
        <v>176</v>
      </c>
      <c r="BL29" s="5">
        <f t="shared" si="14"/>
        <v>0.43</v>
      </c>
      <c r="BM29" s="5">
        <f t="shared" si="2"/>
        <v>0.46640048431011077</v>
      </c>
      <c r="BN29" s="13">
        <f t="shared" si="3"/>
        <v>0.50546021991178558</v>
      </c>
      <c r="BO29" s="14">
        <f t="shared" si="15"/>
        <v>3.7965029142857146E-3</v>
      </c>
      <c r="BP29" s="14">
        <f t="shared" si="6"/>
        <v>3.4986298368759267E-3</v>
      </c>
      <c r="BQ29" s="14">
        <f t="shared" si="16"/>
        <v>5.7803468208092483E-3</v>
      </c>
      <c r="BR29" s="16" t="s">
        <v>209</v>
      </c>
      <c r="BS29" s="2"/>
      <c r="BT29" s="2"/>
    </row>
    <row r="30" spans="1:72" s="3" customFormat="1" ht="15.75" customHeight="1" x14ac:dyDescent="0.35">
      <c r="A30" s="5">
        <v>14</v>
      </c>
      <c r="B30" s="5" t="s">
        <v>131</v>
      </c>
      <c r="C30" s="5">
        <v>2007</v>
      </c>
      <c r="D30" s="5" t="s">
        <v>132</v>
      </c>
      <c r="E30" s="5" t="s">
        <v>133</v>
      </c>
      <c r="F30" s="33" t="s">
        <v>460</v>
      </c>
      <c r="G30" s="27" t="s">
        <v>342</v>
      </c>
      <c r="H30" s="5">
        <v>1</v>
      </c>
      <c r="I30" s="5">
        <v>1</v>
      </c>
      <c r="J30" s="5">
        <v>1</v>
      </c>
      <c r="K30" s="106" t="s">
        <v>469</v>
      </c>
      <c r="L30" s="5">
        <v>0</v>
      </c>
      <c r="M30" s="31" t="s">
        <v>354</v>
      </c>
      <c r="N30" s="5">
        <v>176</v>
      </c>
      <c r="O30" s="5">
        <v>1</v>
      </c>
      <c r="P30" s="5" t="s">
        <v>85</v>
      </c>
      <c r="Q30" s="16" t="s">
        <v>130</v>
      </c>
      <c r="R30" s="16">
        <v>0</v>
      </c>
      <c r="S30" s="16">
        <v>0</v>
      </c>
      <c r="T30" s="16">
        <v>0</v>
      </c>
      <c r="U30" s="16">
        <v>1</v>
      </c>
      <c r="V30" s="16" t="s">
        <v>442</v>
      </c>
      <c r="W30" s="16">
        <v>0</v>
      </c>
      <c r="X30" s="16">
        <v>0</v>
      </c>
      <c r="Y30" s="16">
        <v>1</v>
      </c>
      <c r="Z30" s="16">
        <v>0</v>
      </c>
      <c r="AA30" s="16" t="s">
        <v>538</v>
      </c>
      <c r="AB30" s="16" t="s">
        <v>473</v>
      </c>
      <c r="AC30" s="16" t="s">
        <v>473</v>
      </c>
      <c r="AD30" s="16">
        <v>1</v>
      </c>
      <c r="AE30" s="16" t="s">
        <v>539</v>
      </c>
      <c r="AF30" s="16">
        <v>1</v>
      </c>
      <c r="AG30" s="33" t="s">
        <v>540</v>
      </c>
      <c r="AH30" s="33">
        <v>3.7</v>
      </c>
      <c r="AI30" s="33">
        <v>2.6</v>
      </c>
      <c r="AJ30" s="33" t="s">
        <v>576</v>
      </c>
      <c r="AK30" s="16" t="s">
        <v>473</v>
      </c>
      <c r="AL30" s="16" t="s">
        <v>473</v>
      </c>
      <c r="AM30" s="33" t="s">
        <v>473</v>
      </c>
      <c r="AN30" s="16" t="s">
        <v>473</v>
      </c>
      <c r="AO30" s="16" t="s">
        <v>577</v>
      </c>
      <c r="AP30" s="16">
        <v>0</v>
      </c>
      <c r="AQ30" s="16" t="s">
        <v>541</v>
      </c>
      <c r="AR30" s="16">
        <v>48</v>
      </c>
      <c r="AS30" s="16">
        <v>21.6</v>
      </c>
      <c r="AT30" s="16">
        <v>1</v>
      </c>
      <c r="AU30" s="16">
        <v>0</v>
      </c>
      <c r="AV30" s="31" t="s">
        <v>403</v>
      </c>
      <c r="AW30" s="5" t="s">
        <v>57</v>
      </c>
      <c r="AX30" s="5" t="s">
        <v>134</v>
      </c>
      <c r="AY30" s="5">
        <v>2</v>
      </c>
      <c r="AZ30" s="5">
        <v>7</v>
      </c>
      <c r="BA30" s="6">
        <v>0.85</v>
      </c>
      <c r="BB30" s="5" t="s">
        <v>20</v>
      </c>
      <c r="BC30" s="16" t="s">
        <v>203</v>
      </c>
      <c r="BD30" s="15" t="s">
        <v>204</v>
      </c>
      <c r="BE30" s="5">
        <v>3</v>
      </c>
      <c r="BF30" s="5">
        <v>7</v>
      </c>
      <c r="BG30" s="6">
        <v>0.93</v>
      </c>
      <c r="BH30" s="5" t="s">
        <v>20</v>
      </c>
      <c r="BI30" s="5">
        <v>1</v>
      </c>
      <c r="BJ30" s="6">
        <v>0.28000000000000003</v>
      </c>
      <c r="BK30" s="5">
        <f t="shared" si="13"/>
        <v>176</v>
      </c>
      <c r="BL30" s="5">
        <f t="shared" si="14"/>
        <v>0.28000000000000003</v>
      </c>
      <c r="BM30" s="5">
        <f t="shared" si="2"/>
        <v>0.30370264094611865</v>
      </c>
      <c r="BN30" s="13">
        <f t="shared" si="3"/>
        <v>0.31359343564240927</v>
      </c>
      <c r="BO30" s="14">
        <f t="shared" si="15"/>
        <v>4.853408914285714E-3</v>
      </c>
      <c r="BP30" s="14">
        <f t="shared" si="6"/>
        <v>4.7087814928324272E-3</v>
      </c>
      <c r="BQ30" s="14">
        <f t="shared" si="16"/>
        <v>5.7803468208092483E-3</v>
      </c>
      <c r="BR30" s="16" t="s">
        <v>209</v>
      </c>
      <c r="BS30" s="2"/>
      <c r="BT30" s="2"/>
    </row>
    <row r="31" spans="1:72" s="3" customFormat="1" ht="15.75" customHeight="1" x14ac:dyDescent="0.35">
      <c r="A31" s="34">
        <v>14</v>
      </c>
      <c r="B31" s="34" t="s">
        <v>131</v>
      </c>
      <c r="C31" s="34">
        <v>2007</v>
      </c>
      <c r="D31" s="34" t="s">
        <v>132</v>
      </c>
      <c r="E31" s="34" t="s">
        <v>133</v>
      </c>
      <c r="F31" s="36" t="s">
        <v>460</v>
      </c>
      <c r="G31" s="35" t="s">
        <v>342</v>
      </c>
      <c r="H31" s="34">
        <v>1</v>
      </c>
      <c r="I31" s="34">
        <v>1</v>
      </c>
      <c r="J31" s="34">
        <v>1</v>
      </c>
      <c r="K31" s="107" t="s">
        <v>469</v>
      </c>
      <c r="L31" s="34">
        <v>0</v>
      </c>
      <c r="M31" s="43" t="s">
        <v>354</v>
      </c>
      <c r="N31" s="34">
        <v>176</v>
      </c>
      <c r="O31" s="34">
        <v>1</v>
      </c>
      <c r="P31" s="34" t="s">
        <v>85</v>
      </c>
      <c r="Q31" s="37" t="s">
        <v>130</v>
      </c>
      <c r="R31" s="37">
        <v>0</v>
      </c>
      <c r="S31" s="37">
        <v>0</v>
      </c>
      <c r="T31" s="37">
        <v>0</v>
      </c>
      <c r="U31" s="37">
        <v>1</v>
      </c>
      <c r="V31" s="37" t="s">
        <v>442</v>
      </c>
      <c r="W31" s="37">
        <v>0</v>
      </c>
      <c r="X31" s="37">
        <v>0</v>
      </c>
      <c r="Y31" s="37">
        <v>1</v>
      </c>
      <c r="Z31" s="37">
        <v>0</v>
      </c>
      <c r="AA31" s="37" t="s">
        <v>538</v>
      </c>
      <c r="AB31" s="37" t="s">
        <v>473</v>
      </c>
      <c r="AC31" s="37" t="s">
        <v>473</v>
      </c>
      <c r="AD31" s="37">
        <v>1</v>
      </c>
      <c r="AE31" s="37" t="s">
        <v>539</v>
      </c>
      <c r="AF31" s="37">
        <v>1</v>
      </c>
      <c r="AG31" s="33" t="s">
        <v>540</v>
      </c>
      <c r="AH31" s="33">
        <v>3.7</v>
      </c>
      <c r="AI31" s="33">
        <v>2.6</v>
      </c>
      <c r="AJ31" s="36" t="s">
        <v>576</v>
      </c>
      <c r="AK31" s="37" t="s">
        <v>473</v>
      </c>
      <c r="AL31" s="37" t="s">
        <v>473</v>
      </c>
      <c r="AM31" s="36" t="s">
        <v>473</v>
      </c>
      <c r="AN31" s="37" t="s">
        <v>473</v>
      </c>
      <c r="AO31" s="37" t="s">
        <v>577</v>
      </c>
      <c r="AP31" s="37">
        <v>0</v>
      </c>
      <c r="AQ31" s="37" t="s">
        <v>541</v>
      </c>
      <c r="AR31" s="37">
        <v>48</v>
      </c>
      <c r="AS31" s="37">
        <v>21.6</v>
      </c>
      <c r="AT31" s="37">
        <v>1</v>
      </c>
      <c r="AU31" s="37">
        <v>0</v>
      </c>
      <c r="AV31" s="31" t="s">
        <v>404</v>
      </c>
      <c r="AW31" s="5" t="s">
        <v>57</v>
      </c>
      <c r="AX31" s="5" t="s">
        <v>134</v>
      </c>
      <c r="AY31" s="5">
        <v>2</v>
      </c>
      <c r="AZ31" s="5">
        <v>7</v>
      </c>
      <c r="BA31" s="6">
        <v>0.85</v>
      </c>
      <c r="BB31" s="5" t="s">
        <v>20</v>
      </c>
      <c r="BC31" s="5" t="s">
        <v>135</v>
      </c>
      <c r="BD31" s="5" t="s">
        <v>136</v>
      </c>
      <c r="BE31" s="5">
        <v>3</v>
      </c>
      <c r="BF31" s="5">
        <v>7</v>
      </c>
      <c r="BG31" s="6">
        <v>0.93</v>
      </c>
      <c r="BH31" s="5" t="s">
        <v>20</v>
      </c>
      <c r="BI31" s="5">
        <v>1</v>
      </c>
      <c r="BJ31" s="6">
        <v>0.39</v>
      </c>
      <c r="BK31" s="5">
        <f t="shared" si="13"/>
        <v>176</v>
      </c>
      <c r="BL31" s="5">
        <f t="shared" si="14"/>
        <v>0.39</v>
      </c>
      <c r="BM31" s="5">
        <f t="shared" si="2"/>
        <v>0.42301439274637953</v>
      </c>
      <c r="BN31" s="13">
        <f t="shared" si="3"/>
        <v>0.4513576951556964</v>
      </c>
      <c r="BO31" s="14">
        <f t="shared" si="15"/>
        <v>4.108196628571429E-3</v>
      </c>
      <c r="BP31" s="14">
        <f t="shared" si="6"/>
        <v>3.852214809688581E-3</v>
      </c>
      <c r="BQ31" s="14">
        <f t="shared" si="16"/>
        <v>5.7803468208092483E-3</v>
      </c>
      <c r="BR31" s="16" t="s">
        <v>209</v>
      </c>
      <c r="BS31" s="2"/>
      <c r="BT31" s="2"/>
    </row>
    <row r="32" spans="1:72" s="3" customFormat="1" ht="15.75" customHeight="1" x14ac:dyDescent="0.35">
      <c r="A32" s="38">
        <v>15</v>
      </c>
      <c r="B32" s="38" t="s">
        <v>137</v>
      </c>
      <c r="C32" s="38">
        <v>2019</v>
      </c>
      <c r="D32" s="38" t="s">
        <v>138</v>
      </c>
      <c r="E32" s="38" t="s">
        <v>139</v>
      </c>
      <c r="F32" s="39" t="s">
        <v>460</v>
      </c>
      <c r="G32" s="38">
        <v>2</v>
      </c>
      <c r="H32" s="38">
        <v>0</v>
      </c>
      <c r="I32" s="38">
        <v>1</v>
      </c>
      <c r="J32" s="38">
        <v>1</v>
      </c>
      <c r="K32" s="108" t="s">
        <v>469</v>
      </c>
      <c r="L32" s="38">
        <v>0</v>
      </c>
      <c r="M32" s="42" t="s">
        <v>355</v>
      </c>
      <c r="N32" s="38">
        <v>441</v>
      </c>
      <c r="O32" s="38">
        <v>1</v>
      </c>
      <c r="P32" s="38" t="s">
        <v>56</v>
      </c>
      <c r="Q32" s="38" t="s">
        <v>17</v>
      </c>
      <c r="R32" s="38">
        <v>1</v>
      </c>
      <c r="S32" s="38">
        <v>0</v>
      </c>
      <c r="T32" s="38">
        <v>0</v>
      </c>
      <c r="U32" s="38">
        <v>0</v>
      </c>
      <c r="V32" s="38" t="s">
        <v>471</v>
      </c>
      <c r="W32" s="38">
        <v>1</v>
      </c>
      <c r="X32" s="38">
        <v>0</v>
      </c>
      <c r="Y32" s="38">
        <v>0</v>
      </c>
      <c r="Z32" s="38">
        <v>1</v>
      </c>
      <c r="AA32" s="108" t="s">
        <v>620</v>
      </c>
      <c r="AB32" s="38" t="s">
        <v>542</v>
      </c>
      <c r="AC32" s="38" t="s">
        <v>473</v>
      </c>
      <c r="AD32" s="38">
        <v>0</v>
      </c>
      <c r="AE32" s="38" t="s">
        <v>543</v>
      </c>
      <c r="AF32" s="38">
        <v>1</v>
      </c>
      <c r="AG32" s="38" t="s">
        <v>544</v>
      </c>
      <c r="AH32" s="38">
        <v>3.1</v>
      </c>
      <c r="AI32" s="38">
        <v>3</v>
      </c>
      <c r="AJ32" s="38" t="s">
        <v>545</v>
      </c>
      <c r="AK32" s="38" t="s">
        <v>473</v>
      </c>
      <c r="AL32" s="38" t="s">
        <v>473</v>
      </c>
      <c r="AM32" s="38" t="s">
        <v>473</v>
      </c>
      <c r="AN32" s="38" t="s">
        <v>477</v>
      </c>
      <c r="AO32" s="38" t="s">
        <v>535</v>
      </c>
      <c r="AP32" s="38">
        <v>1</v>
      </c>
      <c r="AQ32" s="38" t="s">
        <v>546</v>
      </c>
      <c r="AR32" s="38">
        <v>35</v>
      </c>
      <c r="AS32" s="38"/>
      <c r="AT32" s="38">
        <v>1</v>
      </c>
      <c r="AU32" s="38">
        <v>0</v>
      </c>
      <c r="AV32" s="31" t="s">
        <v>395</v>
      </c>
      <c r="AW32" s="5" t="s">
        <v>140</v>
      </c>
      <c r="AX32" s="5" t="s">
        <v>141</v>
      </c>
      <c r="AY32" s="5">
        <v>3</v>
      </c>
      <c r="AZ32" s="5">
        <v>7</v>
      </c>
      <c r="BA32" s="6">
        <v>0.84099999999999997</v>
      </c>
      <c r="BB32" s="5" t="s">
        <v>20</v>
      </c>
      <c r="BC32" s="5" t="s">
        <v>142</v>
      </c>
      <c r="BD32" s="5" t="s">
        <v>143</v>
      </c>
      <c r="BE32" s="5">
        <v>4</v>
      </c>
      <c r="BF32" s="5">
        <v>7</v>
      </c>
      <c r="BG32" s="6">
        <v>0.78100000000000003</v>
      </c>
      <c r="BH32" s="5" t="s">
        <v>20</v>
      </c>
      <c r="BI32" s="5">
        <v>0</v>
      </c>
      <c r="BJ32" s="6">
        <v>0.17899999999999999</v>
      </c>
      <c r="BK32" s="5">
        <f t="shared" si="13"/>
        <v>441</v>
      </c>
      <c r="BL32" s="5">
        <f t="shared" si="14"/>
        <v>0.17899999999999999</v>
      </c>
      <c r="BM32" s="5">
        <f t="shared" si="2"/>
        <v>0.19518886247246203</v>
      </c>
      <c r="BN32" s="13">
        <f t="shared" si="3"/>
        <v>0.19772592883105711</v>
      </c>
      <c r="BO32" s="14">
        <f t="shared" si="15"/>
        <v>2.1294196038204546E-3</v>
      </c>
      <c r="BP32" s="14">
        <f t="shared" si="6"/>
        <v>2.1028502869728642E-3</v>
      </c>
      <c r="BQ32" s="14">
        <f t="shared" si="16"/>
        <v>2.2831050228310501E-3</v>
      </c>
      <c r="BR32" s="16" t="s">
        <v>210</v>
      </c>
      <c r="BS32" s="2"/>
      <c r="BT32" s="2"/>
    </row>
    <row r="33" spans="1:72" s="3" customFormat="1" ht="15.75" customHeight="1" x14ac:dyDescent="0.35">
      <c r="A33" s="5">
        <v>16</v>
      </c>
      <c r="B33" s="5" t="s">
        <v>144</v>
      </c>
      <c r="C33" s="5">
        <v>2018</v>
      </c>
      <c r="D33" s="5" t="s">
        <v>145</v>
      </c>
      <c r="E33" s="5" t="s">
        <v>24</v>
      </c>
      <c r="F33" s="33" t="s">
        <v>460</v>
      </c>
      <c r="G33" s="5">
        <v>4</v>
      </c>
      <c r="H33" s="5">
        <v>1</v>
      </c>
      <c r="I33" s="5">
        <v>1</v>
      </c>
      <c r="J33" s="5">
        <v>2</v>
      </c>
      <c r="K33" s="106" t="s">
        <v>468</v>
      </c>
      <c r="L33" s="5">
        <v>0</v>
      </c>
      <c r="M33" s="31" t="s">
        <v>356</v>
      </c>
      <c r="N33" s="5">
        <v>202</v>
      </c>
      <c r="O33" s="5">
        <v>1</v>
      </c>
      <c r="P33" s="5" t="s">
        <v>85</v>
      </c>
      <c r="Q33" s="5" t="s">
        <v>25</v>
      </c>
      <c r="R33" s="5">
        <v>0</v>
      </c>
      <c r="S33" s="5">
        <v>1</v>
      </c>
      <c r="T33" s="5">
        <v>0</v>
      </c>
      <c r="U33" s="5">
        <v>0</v>
      </c>
      <c r="V33" s="5" t="s">
        <v>441</v>
      </c>
      <c r="W33" s="5">
        <v>0</v>
      </c>
      <c r="X33" s="5">
        <v>1</v>
      </c>
      <c r="Y33" s="5">
        <v>0</v>
      </c>
      <c r="Z33" s="5">
        <v>0</v>
      </c>
      <c r="AA33" s="5" t="s">
        <v>547</v>
      </c>
      <c r="AB33" s="56">
        <v>0</v>
      </c>
      <c r="AC33" s="5" t="s">
        <v>473</v>
      </c>
      <c r="AD33" s="5">
        <v>1</v>
      </c>
      <c r="AE33" s="33" t="s">
        <v>579</v>
      </c>
      <c r="AF33" s="5">
        <v>1</v>
      </c>
      <c r="AG33" s="5" t="s">
        <v>529</v>
      </c>
      <c r="AH33" s="5">
        <v>4.3</v>
      </c>
      <c r="AI33" s="5">
        <v>2.9</v>
      </c>
      <c r="AJ33" s="33" t="s">
        <v>582</v>
      </c>
      <c r="AK33" s="60">
        <v>0.28699999999999998</v>
      </c>
      <c r="AL33" s="5" t="s">
        <v>527</v>
      </c>
      <c r="AM33" s="5" t="s">
        <v>527</v>
      </c>
      <c r="AN33" s="5" t="s">
        <v>527</v>
      </c>
      <c r="AO33" s="5" t="s">
        <v>527</v>
      </c>
      <c r="AP33" s="5">
        <v>0</v>
      </c>
      <c r="AQ33" s="33" t="s">
        <v>485</v>
      </c>
      <c r="AR33" s="5">
        <v>30</v>
      </c>
      <c r="AS33" s="33"/>
      <c r="AT33" s="5">
        <v>0</v>
      </c>
      <c r="AU33" s="5">
        <v>1</v>
      </c>
      <c r="AV33" s="31" t="s">
        <v>405</v>
      </c>
      <c r="AW33" s="16" t="s">
        <v>211</v>
      </c>
      <c r="AX33" s="15" t="s">
        <v>212</v>
      </c>
      <c r="AY33" s="5">
        <v>4</v>
      </c>
      <c r="AZ33" s="5">
        <v>5</v>
      </c>
      <c r="BA33" s="6">
        <v>0.88400000000000001</v>
      </c>
      <c r="BB33" s="5" t="s">
        <v>32</v>
      </c>
      <c r="BC33" s="5" t="s">
        <v>81</v>
      </c>
      <c r="BD33" s="5" t="s">
        <v>146</v>
      </c>
      <c r="BE33" s="5">
        <v>3</v>
      </c>
      <c r="BF33" s="5">
        <v>5</v>
      </c>
      <c r="BG33" s="6">
        <v>0.88500000000000001</v>
      </c>
      <c r="BH33" s="5" t="s">
        <v>32</v>
      </c>
      <c r="BI33" s="5">
        <v>0</v>
      </c>
      <c r="BJ33" s="6">
        <v>0.112</v>
      </c>
      <c r="BK33" s="5">
        <f t="shared" si="13"/>
        <v>202</v>
      </c>
      <c r="BL33" s="5">
        <f t="shared" si="14"/>
        <v>0.112</v>
      </c>
      <c r="BM33" s="5">
        <f t="shared" si="2"/>
        <v>0.11912197634722477</v>
      </c>
      <c r="BN33" s="13">
        <f t="shared" si="3"/>
        <v>0.1196902714763026</v>
      </c>
      <c r="BO33" s="14">
        <f t="shared" si="15"/>
        <v>4.8510913031641787E-3</v>
      </c>
      <c r="BP33" s="14">
        <f t="shared" si="6"/>
        <v>4.8349316760518775E-3</v>
      </c>
      <c r="BQ33" s="14">
        <f t="shared" si="16"/>
        <v>5.0251256281407036E-3</v>
      </c>
      <c r="BR33" s="16" t="s">
        <v>215</v>
      </c>
      <c r="BS33" s="2"/>
      <c r="BT33" s="2"/>
    </row>
    <row r="34" spans="1:72" s="3" customFormat="1" ht="15.75" customHeight="1" x14ac:dyDescent="0.35">
      <c r="A34" s="5">
        <v>16</v>
      </c>
      <c r="B34" s="5" t="s">
        <v>144</v>
      </c>
      <c r="C34" s="5">
        <v>2018</v>
      </c>
      <c r="D34" s="5" t="s">
        <v>145</v>
      </c>
      <c r="E34" s="5" t="s">
        <v>24</v>
      </c>
      <c r="F34" s="33" t="s">
        <v>460</v>
      </c>
      <c r="G34" s="5">
        <v>4</v>
      </c>
      <c r="H34" s="5">
        <v>1</v>
      </c>
      <c r="I34" s="5">
        <v>1</v>
      </c>
      <c r="J34" s="5">
        <v>2</v>
      </c>
      <c r="K34" s="106" t="s">
        <v>468</v>
      </c>
      <c r="L34" s="5">
        <v>0</v>
      </c>
      <c r="M34" s="43" t="s">
        <v>356</v>
      </c>
      <c r="N34" s="34">
        <v>202</v>
      </c>
      <c r="O34" s="34">
        <v>1</v>
      </c>
      <c r="P34" s="34" t="s">
        <v>85</v>
      </c>
      <c r="Q34" s="34" t="s">
        <v>25</v>
      </c>
      <c r="R34" s="34">
        <v>0</v>
      </c>
      <c r="S34" s="34">
        <v>1</v>
      </c>
      <c r="T34" s="34">
        <v>0</v>
      </c>
      <c r="U34" s="34">
        <v>0</v>
      </c>
      <c r="V34" s="34" t="s">
        <v>441</v>
      </c>
      <c r="W34" s="34">
        <v>0</v>
      </c>
      <c r="X34" s="34">
        <v>1</v>
      </c>
      <c r="Y34" s="34">
        <v>0</v>
      </c>
      <c r="Z34" s="34">
        <v>0</v>
      </c>
      <c r="AA34" s="34" t="s">
        <v>547</v>
      </c>
      <c r="AB34" s="57">
        <v>0</v>
      </c>
      <c r="AC34" s="34" t="s">
        <v>473</v>
      </c>
      <c r="AD34" s="34">
        <v>1</v>
      </c>
      <c r="AE34" s="34" t="s">
        <v>579</v>
      </c>
      <c r="AF34" s="34">
        <v>1</v>
      </c>
      <c r="AG34" s="34" t="s">
        <v>529</v>
      </c>
      <c r="AH34" s="34">
        <v>4.3</v>
      </c>
      <c r="AI34" s="34">
        <v>2.9</v>
      </c>
      <c r="AJ34" s="36" t="s">
        <v>582</v>
      </c>
      <c r="AK34" s="61">
        <v>0.28699999999999998</v>
      </c>
      <c r="AL34" s="34" t="s">
        <v>527</v>
      </c>
      <c r="AM34" s="34" t="s">
        <v>527</v>
      </c>
      <c r="AN34" s="34" t="s">
        <v>527</v>
      </c>
      <c r="AO34" s="34" t="s">
        <v>527</v>
      </c>
      <c r="AP34" s="34">
        <v>0</v>
      </c>
      <c r="AQ34" s="36" t="s">
        <v>485</v>
      </c>
      <c r="AR34" s="34">
        <v>30</v>
      </c>
      <c r="AS34" s="36"/>
      <c r="AT34" s="34">
        <v>0</v>
      </c>
      <c r="AU34" s="34">
        <v>1</v>
      </c>
      <c r="AV34" s="31" t="s">
        <v>407</v>
      </c>
      <c r="AW34" s="16" t="s">
        <v>211</v>
      </c>
      <c r="AX34" s="15" t="s">
        <v>212</v>
      </c>
      <c r="AY34" s="5">
        <v>4</v>
      </c>
      <c r="AZ34" s="5">
        <v>5</v>
      </c>
      <c r="BA34" s="6">
        <v>0.88400000000000001</v>
      </c>
      <c r="BB34" s="5" t="s">
        <v>32</v>
      </c>
      <c r="BC34" s="16" t="s">
        <v>213</v>
      </c>
      <c r="BD34" s="15" t="s">
        <v>214</v>
      </c>
      <c r="BE34" s="5">
        <v>3</v>
      </c>
      <c r="BF34" s="5">
        <v>5</v>
      </c>
      <c r="BG34" s="6">
        <v>0.89900000000000002</v>
      </c>
      <c r="BH34" s="5" t="s">
        <v>32</v>
      </c>
      <c r="BI34" s="5">
        <v>1</v>
      </c>
      <c r="BJ34" s="6">
        <v>0.33700000000000002</v>
      </c>
      <c r="BK34" s="5">
        <f t="shared" si="13"/>
        <v>202</v>
      </c>
      <c r="BL34" s="5">
        <f t="shared" si="14"/>
        <v>0.33700000000000002</v>
      </c>
      <c r="BM34" s="5">
        <f t="shared" si="2"/>
        <v>0.35842951811620311</v>
      </c>
      <c r="BN34" s="13">
        <f t="shared" si="3"/>
        <v>0.37508274846399858</v>
      </c>
      <c r="BO34" s="14">
        <f t="shared" si="15"/>
        <v>3.9092533221940298E-3</v>
      </c>
      <c r="BP34" s="14">
        <f t="shared" si="6"/>
        <v>3.7789131531652466E-3</v>
      </c>
      <c r="BQ34" s="14">
        <f t="shared" si="16"/>
        <v>5.0251256281407036E-3</v>
      </c>
      <c r="BR34" s="16" t="s">
        <v>215</v>
      </c>
      <c r="BS34" s="2"/>
      <c r="BT34" s="2"/>
    </row>
    <row r="35" spans="1:72" s="3" customFormat="1" ht="15.75" customHeight="1" x14ac:dyDescent="0.35">
      <c r="A35" s="5">
        <v>16</v>
      </c>
      <c r="B35" s="5" t="s">
        <v>144</v>
      </c>
      <c r="C35" s="5">
        <v>2018</v>
      </c>
      <c r="D35" s="5" t="s">
        <v>145</v>
      </c>
      <c r="E35" s="5" t="s">
        <v>24</v>
      </c>
      <c r="F35" s="33" t="s">
        <v>460</v>
      </c>
      <c r="G35" s="5">
        <v>4</v>
      </c>
      <c r="H35" s="5">
        <v>1</v>
      </c>
      <c r="I35" s="5">
        <v>1</v>
      </c>
      <c r="J35" s="5">
        <v>2</v>
      </c>
      <c r="K35" s="106" t="s">
        <v>468</v>
      </c>
      <c r="L35" s="5">
        <v>0</v>
      </c>
      <c r="M35" s="31" t="s">
        <v>357</v>
      </c>
      <c r="N35" s="5">
        <v>724</v>
      </c>
      <c r="O35" s="5">
        <v>2</v>
      </c>
      <c r="P35" s="5" t="s">
        <v>85</v>
      </c>
      <c r="Q35" s="5" t="s">
        <v>25</v>
      </c>
      <c r="R35" s="5">
        <v>0</v>
      </c>
      <c r="S35" s="5">
        <v>1</v>
      </c>
      <c r="T35" s="5">
        <v>0</v>
      </c>
      <c r="U35" s="5">
        <v>0</v>
      </c>
      <c r="V35" s="5" t="s">
        <v>441</v>
      </c>
      <c r="W35" s="5">
        <v>0</v>
      </c>
      <c r="X35" s="5">
        <v>1</v>
      </c>
      <c r="Y35" s="5">
        <v>0</v>
      </c>
      <c r="Z35" s="5">
        <v>0</v>
      </c>
      <c r="AA35" s="5" t="s">
        <v>547</v>
      </c>
      <c r="AB35" s="56">
        <v>0.25</v>
      </c>
      <c r="AC35" s="5" t="s">
        <v>473</v>
      </c>
      <c r="AD35" s="5">
        <v>1</v>
      </c>
      <c r="AE35" s="33" t="s">
        <v>580</v>
      </c>
      <c r="AF35" s="5">
        <v>1</v>
      </c>
      <c r="AG35" s="5" t="s">
        <v>529</v>
      </c>
      <c r="AH35" s="5">
        <v>4.3</v>
      </c>
      <c r="AI35" s="5">
        <v>2.9</v>
      </c>
      <c r="AJ35" s="33" t="s">
        <v>581</v>
      </c>
      <c r="AK35" s="60">
        <v>0.88700000000000001</v>
      </c>
      <c r="AL35" s="5" t="s">
        <v>527</v>
      </c>
      <c r="AM35" s="5" t="s">
        <v>527</v>
      </c>
      <c r="AN35" s="5" t="s">
        <v>527</v>
      </c>
      <c r="AO35" s="5" t="s">
        <v>527</v>
      </c>
      <c r="AP35" s="5">
        <v>1</v>
      </c>
      <c r="AQ35" s="33" t="s">
        <v>546</v>
      </c>
      <c r="AR35" s="33">
        <v>35</v>
      </c>
      <c r="AS35" s="33"/>
      <c r="AT35" s="5">
        <v>0</v>
      </c>
      <c r="AU35" s="5">
        <v>1</v>
      </c>
      <c r="AV35" s="31" t="s">
        <v>406</v>
      </c>
      <c r="AW35" s="16" t="s">
        <v>211</v>
      </c>
      <c r="AX35" s="15" t="s">
        <v>212</v>
      </c>
      <c r="AY35" s="5">
        <v>4</v>
      </c>
      <c r="AZ35" s="5">
        <v>5</v>
      </c>
      <c r="BA35" s="6">
        <v>0.70599999999999996</v>
      </c>
      <c r="BB35" s="5" t="s">
        <v>32</v>
      </c>
      <c r="BC35" s="5" t="s">
        <v>81</v>
      </c>
      <c r="BD35" s="5" t="s">
        <v>146</v>
      </c>
      <c r="BE35" s="5">
        <v>3</v>
      </c>
      <c r="BF35" s="5">
        <v>5</v>
      </c>
      <c r="BG35" s="6">
        <v>0.94399999999999995</v>
      </c>
      <c r="BH35" s="5" t="s">
        <v>32</v>
      </c>
      <c r="BI35" s="5">
        <v>0</v>
      </c>
      <c r="BJ35" s="6">
        <v>0.16</v>
      </c>
      <c r="BK35" s="5">
        <f t="shared" si="13"/>
        <v>724</v>
      </c>
      <c r="BL35" s="5">
        <f t="shared" si="14"/>
        <v>0.16</v>
      </c>
      <c r="BM35" s="5">
        <f t="shared" si="2"/>
        <v>0.19042222357031166</v>
      </c>
      <c r="BN35" s="13">
        <f t="shared" si="3"/>
        <v>0.192775242402072</v>
      </c>
      <c r="BO35" s="14">
        <f t="shared" si="15"/>
        <v>1.3132162655601662E-3</v>
      </c>
      <c r="BP35" s="14">
        <f t="shared" si="6"/>
        <v>1.2846384320028567E-3</v>
      </c>
      <c r="BQ35" s="14">
        <f t="shared" si="16"/>
        <v>1.3869625520110957E-3</v>
      </c>
      <c r="BR35" s="16" t="s">
        <v>215</v>
      </c>
      <c r="BS35" s="58"/>
      <c r="BT35" s="58"/>
    </row>
    <row r="36" spans="1:72" s="3" customFormat="1" ht="15.75" customHeight="1" x14ac:dyDescent="0.35">
      <c r="A36" s="34">
        <v>16</v>
      </c>
      <c r="B36" s="34" t="s">
        <v>144</v>
      </c>
      <c r="C36" s="34">
        <v>2018</v>
      </c>
      <c r="D36" s="34" t="s">
        <v>145</v>
      </c>
      <c r="E36" s="34" t="s">
        <v>24</v>
      </c>
      <c r="F36" s="36" t="s">
        <v>460</v>
      </c>
      <c r="G36" s="34">
        <v>4</v>
      </c>
      <c r="H36" s="34">
        <v>1</v>
      </c>
      <c r="I36" s="34">
        <v>1</v>
      </c>
      <c r="J36" s="34">
        <v>2</v>
      </c>
      <c r="K36" s="107" t="s">
        <v>468</v>
      </c>
      <c r="L36" s="34">
        <v>0</v>
      </c>
      <c r="M36" s="43" t="s">
        <v>357</v>
      </c>
      <c r="N36" s="34">
        <v>724</v>
      </c>
      <c r="O36" s="34">
        <v>2</v>
      </c>
      <c r="P36" s="37" t="s">
        <v>85</v>
      </c>
      <c r="Q36" s="37" t="s">
        <v>25</v>
      </c>
      <c r="R36" s="37">
        <v>0</v>
      </c>
      <c r="S36" s="37">
        <v>1</v>
      </c>
      <c r="T36" s="37">
        <v>0</v>
      </c>
      <c r="U36" s="37">
        <v>0</v>
      </c>
      <c r="V36" s="37" t="s">
        <v>441</v>
      </c>
      <c r="W36" s="37">
        <v>0</v>
      </c>
      <c r="X36" s="37">
        <v>1</v>
      </c>
      <c r="Y36" s="37">
        <v>0</v>
      </c>
      <c r="Z36" s="37">
        <v>0</v>
      </c>
      <c r="AA36" s="37" t="s">
        <v>547</v>
      </c>
      <c r="AB36" s="59">
        <v>0.25</v>
      </c>
      <c r="AC36" s="37" t="s">
        <v>473</v>
      </c>
      <c r="AD36" s="37">
        <v>1</v>
      </c>
      <c r="AE36" s="37" t="s">
        <v>580</v>
      </c>
      <c r="AF36" s="37">
        <v>1</v>
      </c>
      <c r="AG36" s="37" t="s">
        <v>529</v>
      </c>
      <c r="AH36" s="37">
        <v>4.3</v>
      </c>
      <c r="AI36" s="37">
        <v>2.9</v>
      </c>
      <c r="AJ36" s="37" t="s">
        <v>581</v>
      </c>
      <c r="AK36" s="62">
        <v>0.88700000000000001</v>
      </c>
      <c r="AL36" s="37" t="s">
        <v>527</v>
      </c>
      <c r="AM36" s="37" t="s">
        <v>527</v>
      </c>
      <c r="AN36" s="37" t="s">
        <v>527</v>
      </c>
      <c r="AO36" s="37" t="s">
        <v>527</v>
      </c>
      <c r="AP36" s="37">
        <v>1</v>
      </c>
      <c r="AQ36" s="36" t="s">
        <v>546</v>
      </c>
      <c r="AR36" s="36">
        <v>35</v>
      </c>
      <c r="AS36" s="36"/>
      <c r="AT36" s="37">
        <v>0</v>
      </c>
      <c r="AU36" s="37">
        <v>1</v>
      </c>
      <c r="AV36" s="31" t="s">
        <v>408</v>
      </c>
      <c r="AW36" s="16" t="s">
        <v>211</v>
      </c>
      <c r="AX36" s="15" t="s">
        <v>212</v>
      </c>
      <c r="AY36" s="5">
        <v>4</v>
      </c>
      <c r="AZ36" s="5">
        <v>5</v>
      </c>
      <c r="BA36" s="6">
        <v>0.70599999999999996</v>
      </c>
      <c r="BB36" s="5" t="s">
        <v>32</v>
      </c>
      <c r="BC36" s="16" t="s">
        <v>213</v>
      </c>
      <c r="BD36" s="15" t="s">
        <v>214</v>
      </c>
      <c r="BE36" s="5">
        <v>3</v>
      </c>
      <c r="BF36" s="5">
        <v>5</v>
      </c>
      <c r="BG36" s="6">
        <v>0.85</v>
      </c>
      <c r="BH36" s="5" t="s">
        <v>32</v>
      </c>
      <c r="BI36" s="5">
        <v>1</v>
      </c>
      <c r="BJ36" s="6">
        <v>0.52500000000000002</v>
      </c>
      <c r="BK36" s="5">
        <f t="shared" si="13"/>
        <v>724</v>
      </c>
      <c r="BL36" s="5">
        <f t="shared" si="14"/>
        <v>0.52500000000000002</v>
      </c>
      <c r="BM36" s="5">
        <f t="shared" si="2"/>
        <v>0.62482292109008519</v>
      </c>
      <c r="BN36" s="13">
        <f t="shared" si="3"/>
        <v>0.73287799612426718</v>
      </c>
      <c r="BO36" s="14">
        <f t="shared" si="15"/>
        <v>7.2575261497233757E-4</v>
      </c>
      <c r="BP36" s="14">
        <f t="shared" si="6"/>
        <v>5.1398017986430285E-4</v>
      </c>
      <c r="BQ36" s="14">
        <f t="shared" si="16"/>
        <v>1.3869625520110957E-3</v>
      </c>
      <c r="BR36" s="16" t="s">
        <v>215</v>
      </c>
      <c r="BS36" s="58"/>
      <c r="BT36" s="58"/>
    </row>
    <row r="37" spans="1:72" s="3" customFormat="1" ht="15.75" customHeight="1" x14ac:dyDescent="0.35">
      <c r="A37" s="5">
        <v>17</v>
      </c>
      <c r="B37" s="5" t="s">
        <v>147</v>
      </c>
      <c r="C37" s="5">
        <v>2017</v>
      </c>
      <c r="D37" s="5" t="s">
        <v>148</v>
      </c>
      <c r="E37" s="5" t="s">
        <v>149</v>
      </c>
      <c r="F37" s="33" t="s">
        <v>460</v>
      </c>
      <c r="G37" s="5">
        <v>3</v>
      </c>
      <c r="H37" s="5">
        <v>0</v>
      </c>
      <c r="I37" s="5">
        <v>1</v>
      </c>
      <c r="J37" s="5">
        <v>1</v>
      </c>
      <c r="K37" s="106" t="s">
        <v>469</v>
      </c>
      <c r="L37" s="5">
        <v>0</v>
      </c>
      <c r="M37" s="31" t="s">
        <v>358</v>
      </c>
      <c r="N37" s="5">
        <v>212</v>
      </c>
      <c r="O37" s="5">
        <v>1</v>
      </c>
      <c r="P37" s="5" t="s">
        <v>85</v>
      </c>
      <c r="Q37" s="16" t="s">
        <v>216</v>
      </c>
      <c r="R37" s="16">
        <v>1</v>
      </c>
      <c r="S37" s="16">
        <v>0</v>
      </c>
      <c r="T37" s="16">
        <v>0</v>
      </c>
      <c r="U37" s="16">
        <v>1</v>
      </c>
      <c r="V37" s="16" t="s">
        <v>442</v>
      </c>
      <c r="W37" s="16">
        <v>0</v>
      </c>
      <c r="X37" s="16">
        <v>0</v>
      </c>
      <c r="Y37" s="16">
        <v>1</v>
      </c>
      <c r="Z37" s="16">
        <v>1</v>
      </c>
      <c r="AA37" s="16" t="s">
        <v>538</v>
      </c>
      <c r="AB37" s="16" t="s">
        <v>473</v>
      </c>
      <c r="AC37" s="37" t="s">
        <v>473</v>
      </c>
      <c r="AD37" s="16">
        <v>0</v>
      </c>
      <c r="AE37" s="16" t="s">
        <v>548</v>
      </c>
      <c r="AF37" s="16">
        <v>0</v>
      </c>
      <c r="AG37" s="16" t="s">
        <v>507</v>
      </c>
      <c r="AH37" s="16">
        <v>3.7</v>
      </c>
      <c r="AI37" s="16">
        <v>2.9</v>
      </c>
      <c r="AJ37" s="33" t="s">
        <v>506</v>
      </c>
      <c r="AK37" s="63">
        <v>0.98099999999999998</v>
      </c>
      <c r="AL37" s="16" t="s">
        <v>473</v>
      </c>
      <c r="AM37" s="33" t="s">
        <v>583</v>
      </c>
      <c r="AN37" s="33" t="s">
        <v>477</v>
      </c>
      <c r="AO37" s="16" t="s">
        <v>509</v>
      </c>
      <c r="AP37" s="16">
        <v>1</v>
      </c>
      <c r="AQ37" s="16" t="s">
        <v>549</v>
      </c>
      <c r="AR37" s="16">
        <v>53</v>
      </c>
      <c r="AS37" s="16">
        <v>19.8</v>
      </c>
      <c r="AT37" s="16">
        <v>1</v>
      </c>
      <c r="AU37" s="16">
        <v>0</v>
      </c>
      <c r="AV37" s="31" t="s">
        <v>409</v>
      </c>
      <c r="AW37" s="5" t="s">
        <v>57</v>
      </c>
      <c r="AX37" s="5" t="s">
        <v>150</v>
      </c>
      <c r="AY37" s="5">
        <v>2</v>
      </c>
      <c r="AZ37" s="5">
        <v>7</v>
      </c>
      <c r="BA37" s="6">
        <v>0.76</v>
      </c>
      <c r="BB37" s="5" t="s">
        <v>20</v>
      </c>
      <c r="BC37" s="16" t="s">
        <v>217</v>
      </c>
      <c r="BD37" s="15" t="s">
        <v>218</v>
      </c>
      <c r="BE37" s="5">
        <v>4</v>
      </c>
      <c r="BF37" s="5">
        <v>7</v>
      </c>
      <c r="BG37" s="6">
        <v>0.85</v>
      </c>
      <c r="BH37" s="5" t="s">
        <v>20</v>
      </c>
      <c r="BI37" s="5">
        <v>1</v>
      </c>
      <c r="BJ37" s="6">
        <v>0.38700000000000001</v>
      </c>
      <c r="BK37" s="5">
        <f t="shared" si="13"/>
        <v>212</v>
      </c>
      <c r="BL37" s="5">
        <f t="shared" ref="BL37" si="17">BJ37</f>
        <v>0.38700000000000001</v>
      </c>
      <c r="BM37" s="5">
        <f t="shared" si="2"/>
        <v>0.44391944503953706</v>
      </c>
      <c r="BN37" s="13">
        <f t="shared" si="3"/>
        <v>0.47710168256725466</v>
      </c>
      <c r="BO37" s="14">
        <f t="shared" ref="BO37" si="18">((1-(BL37)^2)^2)/(BK37-1)</f>
        <v>3.4260320064502365E-3</v>
      </c>
      <c r="BP37" s="14">
        <f t="shared" si="6"/>
        <v>3.0554761109953259E-3</v>
      </c>
      <c r="BQ37" s="14">
        <f t="shared" ref="BQ37" si="19">(1/(BK37-3))</f>
        <v>4.7846889952153108E-3</v>
      </c>
      <c r="BR37" s="16" t="s">
        <v>219</v>
      </c>
      <c r="BS37" s="2"/>
      <c r="BT37" s="2"/>
    </row>
    <row r="38" spans="1:72" s="3" customFormat="1" ht="15.75" customHeight="1" x14ac:dyDescent="0.35">
      <c r="A38" s="34">
        <v>17</v>
      </c>
      <c r="B38" s="34" t="s">
        <v>147</v>
      </c>
      <c r="C38" s="34">
        <v>2017</v>
      </c>
      <c r="D38" s="34" t="s">
        <v>148</v>
      </c>
      <c r="E38" s="34" t="s">
        <v>149</v>
      </c>
      <c r="F38" s="36" t="s">
        <v>460</v>
      </c>
      <c r="G38" s="34">
        <v>3</v>
      </c>
      <c r="H38" s="34">
        <v>0</v>
      </c>
      <c r="I38" s="34">
        <v>1</v>
      </c>
      <c r="J38" s="34">
        <v>1</v>
      </c>
      <c r="K38" s="107" t="s">
        <v>469</v>
      </c>
      <c r="L38" s="34">
        <v>0</v>
      </c>
      <c r="M38" s="43" t="s">
        <v>358</v>
      </c>
      <c r="N38" s="34">
        <v>212</v>
      </c>
      <c r="O38" s="34">
        <v>1</v>
      </c>
      <c r="P38" s="34" t="s">
        <v>85</v>
      </c>
      <c r="Q38" s="37" t="s">
        <v>216</v>
      </c>
      <c r="R38" s="37">
        <v>1</v>
      </c>
      <c r="S38" s="37">
        <v>0</v>
      </c>
      <c r="T38" s="37">
        <v>0</v>
      </c>
      <c r="U38" s="37">
        <v>1</v>
      </c>
      <c r="V38" s="37" t="s">
        <v>442</v>
      </c>
      <c r="W38" s="37">
        <v>0</v>
      </c>
      <c r="X38" s="37">
        <v>0</v>
      </c>
      <c r="Y38" s="37">
        <v>1</v>
      </c>
      <c r="Z38" s="37">
        <v>1</v>
      </c>
      <c r="AA38" s="37" t="s">
        <v>538</v>
      </c>
      <c r="AB38" s="37" t="s">
        <v>473</v>
      </c>
      <c r="AC38" s="37" t="s">
        <v>473</v>
      </c>
      <c r="AD38" s="37">
        <v>0</v>
      </c>
      <c r="AE38" s="37" t="s">
        <v>548</v>
      </c>
      <c r="AF38" s="37">
        <v>0</v>
      </c>
      <c r="AG38" s="37" t="s">
        <v>507</v>
      </c>
      <c r="AH38" s="37">
        <v>3.7</v>
      </c>
      <c r="AI38" s="37">
        <v>2.9</v>
      </c>
      <c r="AJ38" s="36" t="s">
        <v>506</v>
      </c>
      <c r="AK38" s="63">
        <v>0.98099999999999998</v>
      </c>
      <c r="AL38" s="37" t="s">
        <v>473</v>
      </c>
      <c r="AM38" s="37" t="s">
        <v>583</v>
      </c>
      <c r="AN38" s="36" t="s">
        <v>477</v>
      </c>
      <c r="AO38" s="37" t="s">
        <v>509</v>
      </c>
      <c r="AP38" s="37">
        <v>1</v>
      </c>
      <c r="AQ38" s="37" t="s">
        <v>549</v>
      </c>
      <c r="AR38" s="37">
        <v>53</v>
      </c>
      <c r="AS38" s="37">
        <v>19.8</v>
      </c>
      <c r="AT38" s="37">
        <v>1</v>
      </c>
      <c r="AU38" s="37">
        <v>0</v>
      </c>
      <c r="AV38" s="31" t="s">
        <v>410</v>
      </c>
      <c r="AW38" s="5" t="s">
        <v>57</v>
      </c>
      <c r="AX38" s="5" t="s">
        <v>150</v>
      </c>
      <c r="AY38" s="5">
        <v>2</v>
      </c>
      <c r="AZ38" s="5">
        <v>7</v>
      </c>
      <c r="BA38" s="6">
        <v>0.76</v>
      </c>
      <c r="BB38" s="5" t="s">
        <v>20</v>
      </c>
      <c r="BC38" s="5" t="s">
        <v>151</v>
      </c>
      <c r="BD38" s="5" t="s">
        <v>152</v>
      </c>
      <c r="BE38" s="5">
        <v>3</v>
      </c>
      <c r="BF38" s="5">
        <v>7</v>
      </c>
      <c r="BG38" s="6">
        <v>0.92</v>
      </c>
      <c r="BH38" s="5" t="s">
        <v>20</v>
      </c>
      <c r="BI38" s="5">
        <v>0</v>
      </c>
      <c r="BJ38" s="6">
        <v>0.28000000000000003</v>
      </c>
      <c r="BK38" s="5">
        <f t="shared" si="13"/>
        <v>212</v>
      </c>
      <c r="BL38" s="5">
        <f t="shared" si="14"/>
        <v>0.28000000000000003</v>
      </c>
      <c r="BM38" s="5">
        <f t="shared" si="2"/>
        <v>0.32118202741878654</v>
      </c>
      <c r="BN38" s="13">
        <f t="shared" si="3"/>
        <v>0.33296454009934834</v>
      </c>
      <c r="BO38" s="14">
        <f t="shared" si="15"/>
        <v>4.0253391469194308E-3</v>
      </c>
      <c r="BP38" s="14">
        <f t="shared" si="6"/>
        <v>3.8119704349424324E-3</v>
      </c>
      <c r="BQ38" s="14">
        <f t="shared" si="16"/>
        <v>4.7846889952153108E-3</v>
      </c>
      <c r="BR38" s="16" t="s">
        <v>219</v>
      </c>
      <c r="BS38" s="2"/>
      <c r="BT38" s="2"/>
    </row>
    <row r="39" spans="1:72" s="3" customFormat="1" ht="15.75" customHeight="1" x14ac:dyDescent="0.35">
      <c r="A39" s="38">
        <v>18</v>
      </c>
      <c r="B39" s="38" t="s">
        <v>153</v>
      </c>
      <c r="C39" s="38">
        <v>2019</v>
      </c>
      <c r="D39" s="38" t="s">
        <v>154</v>
      </c>
      <c r="E39" s="38" t="s">
        <v>155</v>
      </c>
      <c r="F39" s="39" t="s">
        <v>460</v>
      </c>
      <c r="G39" s="38">
        <v>3</v>
      </c>
      <c r="H39" s="38">
        <v>0</v>
      </c>
      <c r="I39" s="38">
        <v>1</v>
      </c>
      <c r="J39" s="38">
        <v>1</v>
      </c>
      <c r="K39" s="108" t="s">
        <v>467</v>
      </c>
      <c r="L39" s="38">
        <v>1</v>
      </c>
      <c r="M39" s="42" t="s">
        <v>359</v>
      </c>
      <c r="N39" s="38">
        <v>182</v>
      </c>
      <c r="O39" s="38">
        <v>1</v>
      </c>
      <c r="P39" s="38" t="s">
        <v>56</v>
      </c>
      <c r="Q39" s="38" t="s">
        <v>25</v>
      </c>
      <c r="R39" s="38">
        <v>0</v>
      </c>
      <c r="S39" s="38">
        <v>1</v>
      </c>
      <c r="T39" s="38">
        <v>0</v>
      </c>
      <c r="U39" s="38">
        <v>0</v>
      </c>
      <c r="V39" s="38" t="s">
        <v>441</v>
      </c>
      <c r="W39" s="38">
        <v>0</v>
      </c>
      <c r="X39" s="38">
        <v>1</v>
      </c>
      <c r="Y39" s="38">
        <v>0</v>
      </c>
      <c r="Z39" s="38">
        <v>0</v>
      </c>
      <c r="AA39" s="39" t="s">
        <v>472</v>
      </c>
      <c r="AB39" s="38" t="s">
        <v>473</v>
      </c>
      <c r="AC39" s="39" t="s">
        <v>473</v>
      </c>
      <c r="AD39" s="38">
        <v>0</v>
      </c>
      <c r="AE39" s="38" t="s">
        <v>550</v>
      </c>
      <c r="AF39" s="38">
        <v>1</v>
      </c>
      <c r="AG39" s="38" t="s">
        <v>529</v>
      </c>
      <c r="AH39" s="38">
        <v>4.3</v>
      </c>
      <c r="AI39" s="38">
        <v>2.9</v>
      </c>
      <c r="AJ39" s="38" t="s">
        <v>551</v>
      </c>
      <c r="AK39" s="38" t="s">
        <v>473</v>
      </c>
      <c r="AL39" s="37" t="s">
        <v>527</v>
      </c>
      <c r="AM39" s="38" t="s">
        <v>527</v>
      </c>
      <c r="AN39" s="38" t="s">
        <v>527</v>
      </c>
      <c r="AO39" s="38" t="s">
        <v>527</v>
      </c>
      <c r="AP39" s="38">
        <v>0</v>
      </c>
      <c r="AQ39" s="38" t="s">
        <v>552</v>
      </c>
      <c r="AR39" s="38">
        <v>94</v>
      </c>
      <c r="AS39" s="38">
        <v>21.3</v>
      </c>
      <c r="AT39" s="39">
        <v>1</v>
      </c>
      <c r="AU39" s="38">
        <v>1</v>
      </c>
      <c r="AV39" s="31" t="s">
        <v>411</v>
      </c>
      <c r="AW39" s="5" t="s">
        <v>57</v>
      </c>
      <c r="AX39" s="64" t="s">
        <v>578</v>
      </c>
      <c r="AY39" s="5">
        <v>2</v>
      </c>
      <c r="AZ39" s="5">
        <v>7</v>
      </c>
      <c r="BA39" s="5">
        <v>0.8</v>
      </c>
      <c r="BB39" s="16"/>
      <c r="BC39" s="5" t="s">
        <v>156</v>
      </c>
      <c r="BD39" s="16" t="s">
        <v>220</v>
      </c>
      <c r="BE39" s="5">
        <v>2</v>
      </c>
      <c r="BF39" s="5">
        <v>7</v>
      </c>
      <c r="BG39" s="5">
        <v>0.378</v>
      </c>
      <c r="BH39" s="16" t="s">
        <v>10</v>
      </c>
      <c r="BI39" s="5">
        <v>0</v>
      </c>
      <c r="BJ39" s="6">
        <v>0.27</v>
      </c>
      <c r="BK39" s="5">
        <f t="shared" si="13"/>
        <v>182</v>
      </c>
      <c r="BL39" s="5">
        <f t="shared" si="14"/>
        <v>0.27</v>
      </c>
      <c r="BM39" s="5">
        <f t="shared" si="2"/>
        <v>0.30186917696247162</v>
      </c>
      <c r="BN39" s="13">
        <f t="shared" si="3"/>
        <v>0.31157491422058337</v>
      </c>
      <c r="BO39" s="14">
        <f t="shared" si="15"/>
        <v>4.7486983977900552E-3</v>
      </c>
      <c r="BP39" s="14">
        <f t="shared" si="6"/>
        <v>4.5638329592541434E-3</v>
      </c>
      <c r="BQ39" s="14">
        <f t="shared" si="16"/>
        <v>5.5865921787709499E-3</v>
      </c>
      <c r="BR39" s="16" t="s">
        <v>221</v>
      </c>
      <c r="BS39" s="2"/>
      <c r="BT39" s="2"/>
    </row>
    <row r="40" spans="1:72" s="3" customFormat="1" ht="15.75" customHeight="1" x14ac:dyDescent="0.35">
      <c r="A40" s="38">
        <v>19</v>
      </c>
      <c r="B40" s="38" t="s">
        <v>157</v>
      </c>
      <c r="C40" s="38">
        <v>2021</v>
      </c>
      <c r="D40" s="38" t="s">
        <v>158</v>
      </c>
      <c r="E40" s="38" t="s">
        <v>159</v>
      </c>
      <c r="F40" s="39" t="s">
        <v>460</v>
      </c>
      <c r="G40" s="38">
        <v>0</v>
      </c>
      <c r="H40" s="38">
        <v>0</v>
      </c>
      <c r="I40" s="38">
        <v>1</v>
      </c>
      <c r="J40" s="38">
        <v>1</v>
      </c>
      <c r="K40" s="108" t="s">
        <v>469</v>
      </c>
      <c r="L40" s="38">
        <v>0</v>
      </c>
      <c r="M40" s="42" t="s">
        <v>360</v>
      </c>
      <c r="N40" s="38">
        <v>208</v>
      </c>
      <c r="O40" s="38">
        <v>1</v>
      </c>
      <c r="P40" s="38" t="s">
        <v>85</v>
      </c>
      <c r="Q40" s="38" t="s">
        <v>25</v>
      </c>
      <c r="R40" s="38">
        <v>0</v>
      </c>
      <c r="S40" s="38">
        <v>1</v>
      </c>
      <c r="T40" s="38">
        <v>0</v>
      </c>
      <c r="U40" s="38">
        <v>0</v>
      </c>
      <c r="V40" s="38" t="s">
        <v>441</v>
      </c>
      <c r="W40" s="38">
        <v>0</v>
      </c>
      <c r="X40" s="38">
        <v>1</v>
      </c>
      <c r="Y40" s="38">
        <v>0</v>
      </c>
      <c r="Z40" s="38">
        <v>1</v>
      </c>
      <c r="AA40" s="38" t="s">
        <v>553</v>
      </c>
      <c r="AB40" s="38" t="s">
        <v>473</v>
      </c>
      <c r="AC40" s="38" t="s">
        <v>473</v>
      </c>
      <c r="AD40" s="38">
        <v>1</v>
      </c>
      <c r="AE40" s="39" t="s">
        <v>584</v>
      </c>
      <c r="AF40" s="38">
        <v>1</v>
      </c>
      <c r="AG40" s="38" t="s">
        <v>529</v>
      </c>
      <c r="AH40" s="38">
        <v>4.3</v>
      </c>
      <c r="AI40" s="38">
        <v>2.9</v>
      </c>
      <c r="AJ40" s="38" t="s">
        <v>554</v>
      </c>
      <c r="AK40" s="38" t="s">
        <v>473</v>
      </c>
      <c r="AL40" s="37" t="s">
        <v>527</v>
      </c>
      <c r="AM40" s="38" t="s">
        <v>527</v>
      </c>
      <c r="AN40" s="38" t="s">
        <v>527</v>
      </c>
      <c r="AO40" s="38" t="s">
        <v>527</v>
      </c>
      <c r="AP40" s="38">
        <v>0</v>
      </c>
      <c r="AQ40" s="38" t="s">
        <v>537</v>
      </c>
      <c r="AR40" s="38">
        <v>69</v>
      </c>
      <c r="AS40" s="38"/>
      <c r="AT40" s="38">
        <v>0</v>
      </c>
      <c r="AU40" s="38">
        <v>1</v>
      </c>
      <c r="AV40" s="31" t="s">
        <v>412</v>
      </c>
      <c r="AW40" s="16" t="s">
        <v>57</v>
      </c>
      <c r="AX40" s="15" t="s">
        <v>222</v>
      </c>
      <c r="AY40" s="5">
        <v>2</v>
      </c>
      <c r="AZ40" s="5">
        <v>5</v>
      </c>
      <c r="BA40" s="6">
        <v>0.84299999999999997</v>
      </c>
      <c r="BB40" s="5" t="s">
        <v>20</v>
      </c>
      <c r="BC40" s="5" t="s">
        <v>160</v>
      </c>
      <c r="BD40" s="5" t="s">
        <v>161</v>
      </c>
      <c r="BE40" s="5">
        <v>4</v>
      </c>
      <c r="BF40" s="5">
        <v>5</v>
      </c>
      <c r="BG40" s="6">
        <v>0.94699999999999995</v>
      </c>
      <c r="BH40" s="5" t="s">
        <v>20</v>
      </c>
      <c r="BI40" s="5">
        <v>0</v>
      </c>
      <c r="BJ40" s="6">
        <v>0.60199999999999998</v>
      </c>
      <c r="BK40" s="5">
        <f t="shared" si="13"/>
        <v>208</v>
      </c>
      <c r="BL40" s="5">
        <f t="shared" si="14"/>
        <v>0.60199999999999998</v>
      </c>
      <c r="BM40" s="5">
        <f t="shared" si="2"/>
        <v>0.65566606088209667</v>
      </c>
      <c r="BN40" s="13">
        <f t="shared" si="3"/>
        <v>0.78517336040334695</v>
      </c>
      <c r="BO40" s="14">
        <f t="shared" si="15"/>
        <v>1.9639065662608699E-3</v>
      </c>
      <c r="BP40" s="14">
        <f t="shared" si="6"/>
        <v>1.5701270982597707E-3</v>
      </c>
      <c r="BQ40" s="14">
        <f t="shared" si="16"/>
        <v>4.8780487804878049E-3</v>
      </c>
      <c r="BR40" s="5" t="s">
        <v>162</v>
      </c>
      <c r="BS40" s="2"/>
      <c r="BT40" s="2"/>
    </row>
    <row r="41" spans="1:72" ht="15.75" customHeight="1" x14ac:dyDescent="0.35">
      <c r="A41" s="38">
        <v>20</v>
      </c>
      <c r="B41" s="65" t="s">
        <v>223</v>
      </c>
      <c r="C41" s="66">
        <v>2025</v>
      </c>
      <c r="D41" s="65" t="s">
        <v>224</v>
      </c>
      <c r="E41" s="65" t="s">
        <v>225</v>
      </c>
      <c r="F41" s="67" t="s">
        <v>460</v>
      </c>
      <c r="G41" s="66">
        <v>0</v>
      </c>
      <c r="H41" s="38">
        <v>0</v>
      </c>
      <c r="I41" s="66">
        <v>1</v>
      </c>
      <c r="J41" s="66">
        <v>1</v>
      </c>
      <c r="K41" s="115" t="s">
        <v>468</v>
      </c>
      <c r="L41" s="66">
        <v>0</v>
      </c>
      <c r="M41" s="68" t="s">
        <v>361</v>
      </c>
      <c r="N41" s="66">
        <v>400</v>
      </c>
      <c r="O41" s="66">
        <v>1</v>
      </c>
      <c r="P41" s="65" t="s">
        <v>56</v>
      </c>
      <c r="Q41" s="65" t="s">
        <v>17</v>
      </c>
      <c r="R41" s="69">
        <v>1</v>
      </c>
      <c r="S41" s="69">
        <v>0</v>
      </c>
      <c r="T41" s="69">
        <v>0</v>
      </c>
      <c r="U41" s="69">
        <v>0</v>
      </c>
      <c r="V41" s="69" t="s">
        <v>471</v>
      </c>
      <c r="W41" s="69">
        <v>1</v>
      </c>
      <c r="X41" s="69">
        <v>0</v>
      </c>
      <c r="Y41" s="69">
        <v>0</v>
      </c>
      <c r="Z41" s="69">
        <v>1</v>
      </c>
      <c r="AA41" s="109" t="s">
        <v>620</v>
      </c>
      <c r="AB41" s="65" t="s">
        <v>473</v>
      </c>
      <c r="AC41" s="38" t="s">
        <v>473</v>
      </c>
      <c r="AD41" s="69">
        <v>0</v>
      </c>
      <c r="AE41" s="67" t="s">
        <v>585</v>
      </c>
      <c r="AF41" s="70">
        <v>1</v>
      </c>
      <c r="AG41" s="67" t="s">
        <v>586</v>
      </c>
      <c r="AH41" s="70">
        <v>3.9</v>
      </c>
      <c r="AI41" s="70">
        <v>2.7</v>
      </c>
      <c r="AJ41" s="67" t="s">
        <v>473</v>
      </c>
      <c r="AK41" s="65" t="s">
        <v>527</v>
      </c>
      <c r="AL41" s="65" t="s">
        <v>527</v>
      </c>
      <c r="AM41" s="65" t="s">
        <v>527</v>
      </c>
      <c r="AN41" s="65" t="s">
        <v>527</v>
      </c>
      <c r="AO41" s="65" t="s">
        <v>527</v>
      </c>
      <c r="AP41" s="69">
        <v>0</v>
      </c>
      <c r="AQ41" s="65" t="s">
        <v>555</v>
      </c>
      <c r="AR41" s="69">
        <v>55</v>
      </c>
      <c r="AS41" s="65"/>
      <c r="AT41" s="67">
        <v>1</v>
      </c>
      <c r="AU41" s="69">
        <v>0</v>
      </c>
      <c r="AV41" s="71" t="s">
        <v>413</v>
      </c>
      <c r="AW41" s="72" t="s">
        <v>57</v>
      </c>
      <c r="AX41" s="73" t="s">
        <v>226</v>
      </c>
      <c r="AY41" s="8">
        <v>3</v>
      </c>
      <c r="AZ41" s="8">
        <v>5</v>
      </c>
      <c r="BA41" s="8">
        <v>0.8</v>
      </c>
      <c r="BB41" s="8"/>
      <c r="BC41" s="72" t="s">
        <v>227</v>
      </c>
      <c r="BD41" s="72" t="s">
        <v>228</v>
      </c>
      <c r="BE41" s="26">
        <v>3</v>
      </c>
      <c r="BF41" s="8">
        <v>5</v>
      </c>
      <c r="BG41" s="8"/>
      <c r="BH41" s="74"/>
      <c r="BI41" s="74">
        <v>0</v>
      </c>
      <c r="BJ41" s="75">
        <v>0.38100000000000001</v>
      </c>
      <c r="BK41" s="75">
        <f t="shared" si="13"/>
        <v>400</v>
      </c>
      <c r="BL41" s="19">
        <f t="shared" ref="BL41" si="20">BJ41</f>
        <v>0.38100000000000001</v>
      </c>
      <c r="BM41" s="5">
        <f t="shared" si="2"/>
        <v>0.42597094971370997</v>
      </c>
      <c r="BN41" s="13">
        <f t="shared" si="3"/>
        <v>0.45496411180159591</v>
      </c>
      <c r="BO41" s="76">
        <f t="shared" ref="BO41" si="21">((1-(BL41)^2)^2)/(BK41-1)</f>
        <v>1.8314529221077694E-3</v>
      </c>
      <c r="BP41" s="14">
        <f t="shared" si="6"/>
        <v>1.6792532735001565E-3</v>
      </c>
      <c r="BQ41" s="76">
        <f>(1/(BK41-3))</f>
        <v>2.5188916876574307E-3</v>
      </c>
      <c r="BR41" s="72" t="s">
        <v>229</v>
      </c>
      <c r="BS41" s="1"/>
      <c r="BT41" s="1"/>
    </row>
    <row r="42" spans="1:72" ht="15.75" customHeight="1" x14ac:dyDescent="0.35">
      <c r="A42" s="5">
        <v>21</v>
      </c>
      <c r="B42" s="72" t="s">
        <v>230</v>
      </c>
      <c r="C42" s="26">
        <v>2023</v>
      </c>
      <c r="D42" s="72" t="s">
        <v>231</v>
      </c>
      <c r="E42" s="72" t="s">
        <v>232</v>
      </c>
      <c r="F42" s="77" t="s">
        <v>460</v>
      </c>
      <c r="G42" s="26">
        <v>3</v>
      </c>
      <c r="H42" s="5">
        <v>0</v>
      </c>
      <c r="I42" s="26">
        <v>1</v>
      </c>
      <c r="J42" s="26">
        <v>1</v>
      </c>
      <c r="K42" s="116" t="s">
        <v>469</v>
      </c>
      <c r="L42" s="26">
        <v>0</v>
      </c>
      <c r="M42" s="71" t="s">
        <v>362</v>
      </c>
      <c r="N42" s="5">
        <v>423</v>
      </c>
      <c r="O42" s="5">
        <v>1</v>
      </c>
      <c r="P42" s="72" t="s">
        <v>85</v>
      </c>
      <c r="Q42" s="72" t="s">
        <v>17</v>
      </c>
      <c r="R42" s="78">
        <v>1</v>
      </c>
      <c r="S42" s="78">
        <v>0</v>
      </c>
      <c r="T42" s="78">
        <v>0</v>
      </c>
      <c r="U42" s="78">
        <v>0</v>
      </c>
      <c r="V42" s="78" t="s">
        <v>471</v>
      </c>
      <c r="W42" s="78">
        <v>1</v>
      </c>
      <c r="X42" s="78">
        <v>0</v>
      </c>
      <c r="Y42" s="78">
        <v>0</v>
      </c>
      <c r="Z42" s="78">
        <v>0</v>
      </c>
      <c r="AA42" s="72" t="s">
        <v>556</v>
      </c>
      <c r="AB42" s="105" t="s">
        <v>618</v>
      </c>
      <c r="AC42" s="72" t="s">
        <v>473</v>
      </c>
      <c r="AD42" s="78">
        <v>0</v>
      </c>
      <c r="AE42" s="72" t="s">
        <v>473</v>
      </c>
      <c r="AF42" s="78">
        <v>1</v>
      </c>
      <c r="AG42" s="77" t="s">
        <v>507</v>
      </c>
      <c r="AH42" s="80">
        <v>3.7</v>
      </c>
      <c r="AI42" s="80">
        <v>2.6</v>
      </c>
      <c r="AJ42" s="77" t="s">
        <v>617</v>
      </c>
      <c r="AK42" s="72" t="s">
        <v>473</v>
      </c>
      <c r="AL42" s="72" t="s">
        <v>473</v>
      </c>
      <c r="AM42" s="77" t="s">
        <v>589</v>
      </c>
      <c r="AN42" s="77" t="s">
        <v>588</v>
      </c>
      <c r="AO42" s="79" t="s">
        <v>587</v>
      </c>
      <c r="AP42" s="78">
        <v>1</v>
      </c>
      <c r="AQ42" s="72" t="s">
        <v>485</v>
      </c>
      <c r="AR42" s="78">
        <v>30</v>
      </c>
      <c r="AS42" s="80"/>
      <c r="AT42" s="78">
        <v>0</v>
      </c>
      <c r="AU42" s="78">
        <v>1</v>
      </c>
      <c r="AV42" s="71" t="s">
        <v>414</v>
      </c>
      <c r="AW42" s="72" t="s">
        <v>234</v>
      </c>
      <c r="AX42" s="73" t="s">
        <v>236</v>
      </c>
      <c r="AY42" s="8">
        <v>3</v>
      </c>
      <c r="AZ42" s="8">
        <v>7</v>
      </c>
      <c r="BA42" s="26">
        <v>0.94099999999999995</v>
      </c>
      <c r="BB42" s="5" t="s">
        <v>20</v>
      </c>
      <c r="BC42" s="72" t="s">
        <v>207</v>
      </c>
      <c r="BD42" s="81" t="s">
        <v>239</v>
      </c>
      <c r="BE42" s="8">
        <v>3</v>
      </c>
      <c r="BF42" s="8">
        <v>7</v>
      </c>
      <c r="BG42" s="8">
        <v>0.84099999999999997</v>
      </c>
      <c r="BH42" s="5" t="s">
        <v>20</v>
      </c>
      <c r="BI42" s="8">
        <v>0</v>
      </c>
      <c r="BJ42" s="26">
        <v>0.12</v>
      </c>
      <c r="BK42" s="26">
        <f t="shared" si="13"/>
        <v>423</v>
      </c>
      <c r="BL42" s="5">
        <v>0.12</v>
      </c>
      <c r="BM42" s="5">
        <f t="shared" si="2"/>
        <v>0.12370476663407719</v>
      </c>
      <c r="BN42" s="13">
        <f t="shared" si="3"/>
        <v>0.12434163713396959</v>
      </c>
      <c r="BO42" s="76">
        <f t="shared" ref="BO42:BO45" si="22">((1-(BL42)^2)^2)/(BK42-1)</f>
        <v>2.3019131753554503E-3</v>
      </c>
      <c r="BP42" s="14">
        <f t="shared" si="6"/>
        <v>2.2976977232996736E-3</v>
      </c>
      <c r="BQ42" s="76">
        <f t="shared" ref="BQ42:BQ55" si="23">(1/(BK42-3))</f>
        <v>2.3809523809523812E-3</v>
      </c>
      <c r="BR42" s="72" t="s">
        <v>266</v>
      </c>
      <c r="BS42" s="1"/>
      <c r="BT42" s="1"/>
    </row>
    <row r="43" spans="1:72" ht="15.75" customHeight="1" x14ac:dyDescent="0.35">
      <c r="A43" s="5">
        <v>21</v>
      </c>
      <c r="B43" s="72" t="s">
        <v>230</v>
      </c>
      <c r="C43" s="26">
        <v>2023</v>
      </c>
      <c r="D43" s="72" t="s">
        <v>231</v>
      </c>
      <c r="E43" s="72" t="s">
        <v>232</v>
      </c>
      <c r="F43" s="77" t="s">
        <v>460</v>
      </c>
      <c r="G43" s="26">
        <v>3</v>
      </c>
      <c r="H43" s="5">
        <v>0</v>
      </c>
      <c r="I43" s="26">
        <v>1</v>
      </c>
      <c r="J43" s="26">
        <v>1</v>
      </c>
      <c r="K43" s="116" t="s">
        <v>469</v>
      </c>
      <c r="L43" s="26">
        <v>0</v>
      </c>
      <c r="M43" s="71" t="s">
        <v>362</v>
      </c>
      <c r="N43" s="26">
        <v>423</v>
      </c>
      <c r="O43" s="26">
        <v>1</v>
      </c>
      <c r="P43" s="72" t="s">
        <v>85</v>
      </c>
      <c r="Q43" s="72" t="s">
        <v>17</v>
      </c>
      <c r="R43" s="78">
        <v>1</v>
      </c>
      <c r="S43" s="78">
        <v>0</v>
      </c>
      <c r="T43" s="78">
        <v>0</v>
      </c>
      <c r="U43" s="78">
        <v>0</v>
      </c>
      <c r="V43" s="78" t="s">
        <v>471</v>
      </c>
      <c r="W43" s="78">
        <v>1</v>
      </c>
      <c r="X43" s="78">
        <v>0</v>
      </c>
      <c r="Y43" s="78">
        <v>0</v>
      </c>
      <c r="Z43" s="78">
        <v>0</v>
      </c>
      <c r="AA43" s="72" t="s">
        <v>556</v>
      </c>
      <c r="AB43" s="104" t="s">
        <v>618</v>
      </c>
      <c r="AC43" s="72" t="s">
        <v>473</v>
      </c>
      <c r="AD43" s="78">
        <v>0</v>
      </c>
      <c r="AE43" s="72" t="s">
        <v>473</v>
      </c>
      <c r="AF43" s="78">
        <v>1</v>
      </c>
      <c r="AG43" s="77" t="s">
        <v>507</v>
      </c>
      <c r="AH43" s="80">
        <v>3.7</v>
      </c>
      <c r="AI43" s="80">
        <v>2.6</v>
      </c>
      <c r="AJ43" s="77" t="s">
        <v>617</v>
      </c>
      <c r="AK43" s="72" t="s">
        <v>473</v>
      </c>
      <c r="AL43" s="72" t="s">
        <v>473</v>
      </c>
      <c r="AM43" s="77" t="s">
        <v>589</v>
      </c>
      <c r="AN43" s="77" t="s">
        <v>588</v>
      </c>
      <c r="AO43" s="88" t="s">
        <v>587</v>
      </c>
      <c r="AP43" s="78">
        <v>1</v>
      </c>
      <c r="AQ43" s="72" t="s">
        <v>485</v>
      </c>
      <c r="AR43" s="78">
        <v>30</v>
      </c>
      <c r="AS43" s="80"/>
      <c r="AT43" s="78">
        <v>0</v>
      </c>
      <c r="AU43" s="78">
        <v>1</v>
      </c>
      <c r="AV43" s="71" t="s">
        <v>415</v>
      </c>
      <c r="AW43" s="72" t="s">
        <v>233</v>
      </c>
      <c r="AX43" s="73" t="s">
        <v>237</v>
      </c>
      <c r="AY43" s="8">
        <v>3</v>
      </c>
      <c r="AZ43" s="8">
        <v>7</v>
      </c>
      <c r="BA43" s="26">
        <v>0.94199999999999995</v>
      </c>
      <c r="BB43" s="5" t="s">
        <v>20</v>
      </c>
      <c r="BC43" s="72" t="s">
        <v>105</v>
      </c>
      <c r="BD43" s="81" t="s">
        <v>239</v>
      </c>
      <c r="BE43" s="8">
        <v>3</v>
      </c>
      <c r="BF43" s="8">
        <v>7</v>
      </c>
      <c r="BG43" s="8">
        <v>0.84099999999999997</v>
      </c>
      <c r="BH43" s="5" t="s">
        <v>20</v>
      </c>
      <c r="BI43" s="8">
        <v>0</v>
      </c>
      <c r="BJ43" s="26">
        <v>8.3000000000000004E-2</v>
      </c>
      <c r="BK43" s="26">
        <f t="shared" si="13"/>
        <v>423</v>
      </c>
      <c r="BL43" s="5">
        <v>8.3000000000000004E-2</v>
      </c>
      <c r="BM43" s="5">
        <f t="shared" si="2"/>
        <v>8.5517036208894032E-2</v>
      </c>
      <c r="BN43" s="13">
        <f t="shared" si="3"/>
        <v>8.5726422433851757E-2</v>
      </c>
      <c r="BO43" s="76">
        <f t="shared" si="22"/>
        <v>2.3371314178222747E-3</v>
      </c>
      <c r="BP43" s="14">
        <f t="shared" si="6"/>
        <v>2.3351354393275053E-3</v>
      </c>
      <c r="BQ43" s="76">
        <f t="shared" si="23"/>
        <v>2.3809523809523812E-3</v>
      </c>
      <c r="BR43" s="72" t="s">
        <v>266</v>
      </c>
      <c r="BS43" s="1"/>
      <c r="BT43" s="1"/>
    </row>
    <row r="44" spans="1:72" ht="15.75" customHeight="1" x14ac:dyDescent="0.35">
      <c r="A44" s="34">
        <v>21</v>
      </c>
      <c r="B44" s="82" t="s">
        <v>230</v>
      </c>
      <c r="C44" s="83">
        <v>2023</v>
      </c>
      <c r="D44" s="82" t="s">
        <v>231</v>
      </c>
      <c r="E44" s="82" t="s">
        <v>232</v>
      </c>
      <c r="F44" s="84" t="s">
        <v>460</v>
      </c>
      <c r="G44" s="83">
        <v>3</v>
      </c>
      <c r="H44" s="34">
        <v>0</v>
      </c>
      <c r="I44" s="83">
        <v>1</v>
      </c>
      <c r="J44" s="83">
        <v>1</v>
      </c>
      <c r="K44" s="117" t="s">
        <v>469</v>
      </c>
      <c r="L44" s="83">
        <v>0</v>
      </c>
      <c r="M44" s="85" t="s">
        <v>362</v>
      </c>
      <c r="N44" s="83">
        <v>423</v>
      </c>
      <c r="O44" s="83">
        <v>1</v>
      </c>
      <c r="P44" s="82" t="s">
        <v>85</v>
      </c>
      <c r="Q44" s="82" t="s">
        <v>17</v>
      </c>
      <c r="R44" s="86">
        <v>1</v>
      </c>
      <c r="S44" s="86">
        <v>0</v>
      </c>
      <c r="T44" s="86">
        <v>0</v>
      </c>
      <c r="U44" s="86">
        <v>0</v>
      </c>
      <c r="V44" s="86" t="s">
        <v>471</v>
      </c>
      <c r="W44" s="86">
        <v>1</v>
      </c>
      <c r="X44" s="86">
        <v>0</v>
      </c>
      <c r="Y44" s="86">
        <v>0</v>
      </c>
      <c r="Z44" s="86">
        <v>0</v>
      </c>
      <c r="AA44" s="82" t="s">
        <v>556</v>
      </c>
      <c r="AB44" s="104" t="s">
        <v>618</v>
      </c>
      <c r="AC44" s="82" t="s">
        <v>473</v>
      </c>
      <c r="AD44" s="86">
        <v>0</v>
      </c>
      <c r="AE44" s="82" t="s">
        <v>473</v>
      </c>
      <c r="AF44" s="86">
        <v>1</v>
      </c>
      <c r="AG44" s="84" t="s">
        <v>507</v>
      </c>
      <c r="AH44" s="113">
        <v>3.7</v>
      </c>
      <c r="AI44" s="113">
        <v>2.6</v>
      </c>
      <c r="AJ44" s="77" t="s">
        <v>617</v>
      </c>
      <c r="AK44" s="82" t="s">
        <v>473</v>
      </c>
      <c r="AL44" s="82" t="s">
        <v>473</v>
      </c>
      <c r="AM44" s="77" t="s">
        <v>589</v>
      </c>
      <c r="AN44" s="84" t="s">
        <v>588</v>
      </c>
      <c r="AO44" s="82" t="s">
        <v>587</v>
      </c>
      <c r="AP44" s="86">
        <v>1</v>
      </c>
      <c r="AQ44" s="82" t="s">
        <v>485</v>
      </c>
      <c r="AR44" s="86">
        <v>30</v>
      </c>
      <c r="AS44" s="87"/>
      <c r="AT44" s="86">
        <v>0</v>
      </c>
      <c r="AU44" s="86">
        <v>1</v>
      </c>
      <c r="AV44" s="71" t="s">
        <v>416</v>
      </c>
      <c r="AW44" s="72" t="s">
        <v>235</v>
      </c>
      <c r="AX44" s="72" t="s">
        <v>238</v>
      </c>
      <c r="AY44" s="8">
        <v>3</v>
      </c>
      <c r="AZ44" s="8">
        <v>7</v>
      </c>
      <c r="BA44" s="26">
        <v>0.93899999999999995</v>
      </c>
      <c r="BB44" s="5" t="s">
        <v>20</v>
      </c>
      <c r="BC44" s="72" t="s">
        <v>105</v>
      </c>
      <c r="BD44" s="81" t="s">
        <v>239</v>
      </c>
      <c r="BE44" s="8">
        <v>3</v>
      </c>
      <c r="BF44" s="8">
        <v>7</v>
      </c>
      <c r="BG44" s="8">
        <v>0.84099999999999997</v>
      </c>
      <c r="BH44" s="5" t="s">
        <v>20</v>
      </c>
      <c r="BI44" s="8">
        <v>0</v>
      </c>
      <c r="BJ44" s="26">
        <v>0.112</v>
      </c>
      <c r="BK44" s="26">
        <f t="shared" si="13"/>
        <v>423</v>
      </c>
      <c r="BL44" s="5">
        <v>0.112</v>
      </c>
      <c r="BM44" s="5">
        <f t="shared" si="2"/>
        <v>0.11558067502296673</v>
      </c>
      <c r="BN44" s="13">
        <f t="shared" si="3"/>
        <v>0.11609951670792434</v>
      </c>
      <c r="BO44" s="76">
        <f t="shared" si="22"/>
        <v>2.3105908813649289E-3</v>
      </c>
      <c r="BP44" s="14">
        <f t="shared" si="6"/>
        <v>2.3067788510181546E-3</v>
      </c>
      <c r="BQ44" s="76">
        <f t="shared" si="23"/>
        <v>2.3809523809523812E-3</v>
      </c>
      <c r="BR44" s="72" t="s">
        <v>266</v>
      </c>
      <c r="BS44" s="1"/>
      <c r="BT44" s="1"/>
    </row>
    <row r="45" spans="1:72" ht="15.75" customHeight="1" x14ac:dyDescent="0.35">
      <c r="A45" s="38">
        <v>22</v>
      </c>
      <c r="B45" s="65" t="s">
        <v>240</v>
      </c>
      <c r="C45" s="38">
        <v>2024</v>
      </c>
      <c r="D45" s="65" t="s">
        <v>241</v>
      </c>
      <c r="E45" s="65" t="s">
        <v>242</v>
      </c>
      <c r="F45" s="67" t="s">
        <v>460</v>
      </c>
      <c r="G45" s="66">
        <v>1</v>
      </c>
      <c r="H45" s="38">
        <v>0</v>
      </c>
      <c r="I45" s="66">
        <v>1</v>
      </c>
      <c r="J45" s="66">
        <v>1</v>
      </c>
      <c r="K45" s="115" t="s">
        <v>467</v>
      </c>
      <c r="L45" s="66">
        <v>1</v>
      </c>
      <c r="M45" s="68" t="s">
        <v>363</v>
      </c>
      <c r="N45" s="66">
        <v>264</v>
      </c>
      <c r="O45" s="66">
        <v>1</v>
      </c>
      <c r="P45" s="65" t="s">
        <v>85</v>
      </c>
      <c r="Q45" s="65" t="s">
        <v>130</v>
      </c>
      <c r="R45" s="69">
        <v>0</v>
      </c>
      <c r="S45" s="69">
        <v>0</v>
      </c>
      <c r="T45" s="69">
        <v>0</v>
      </c>
      <c r="U45" s="69">
        <v>1</v>
      </c>
      <c r="V45" s="69" t="s">
        <v>442</v>
      </c>
      <c r="W45" s="69">
        <v>0</v>
      </c>
      <c r="X45" s="69">
        <v>0</v>
      </c>
      <c r="Y45" s="69">
        <v>1</v>
      </c>
      <c r="Z45" s="69">
        <v>0</v>
      </c>
      <c r="AA45" s="65" t="s">
        <v>556</v>
      </c>
      <c r="AB45" s="65" t="s">
        <v>558</v>
      </c>
      <c r="AC45" s="65" t="s">
        <v>473</v>
      </c>
      <c r="AD45" s="69">
        <v>0</v>
      </c>
      <c r="AE45" s="67" t="s">
        <v>590</v>
      </c>
      <c r="AF45" s="69">
        <v>1</v>
      </c>
      <c r="AG45" s="67" t="s">
        <v>557</v>
      </c>
      <c r="AH45" s="67">
        <v>3.3</v>
      </c>
      <c r="AI45" s="67">
        <v>2.8</v>
      </c>
      <c r="AJ45" s="67" t="s">
        <v>593</v>
      </c>
      <c r="AK45" s="89">
        <v>0.65500000000000003</v>
      </c>
      <c r="AL45" s="67" t="s">
        <v>473</v>
      </c>
      <c r="AM45" s="67" t="s">
        <v>473</v>
      </c>
      <c r="AN45" s="67" t="s">
        <v>592</v>
      </c>
      <c r="AO45" s="65" t="s">
        <v>591</v>
      </c>
      <c r="AP45" s="69">
        <v>1</v>
      </c>
      <c r="AQ45" s="65" t="s">
        <v>485</v>
      </c>
      <c r="AR45" s="69">
        <v>30</v>
      </c>
      <c r="AS45" s="70"/>
      <c r="AT45" s="69">
        <v>1</v>
      </c>
      <c r="AU45" s="69">
        <v>0</v>
      </c>
      <c r="AV45" s="71" t="s">
        <v>417</v>
      </c>
      <c r="AW45" s="72" t="s">
        <v>243</v>
      </c>
      <c r="AX45" s="72" t="s">
        <v>244</v>
      </c>
      <c r="AY45" s="8">
        <v>3</v>
      </c>
      <c r="AZ45" s="8">
        <v>7</v>
      </c>
      <c r="BA45" s="26">
        <v>0.71799999999999997</v>
      </c>
      <c r="BB45" s="5" t="s">
        <v>20</v>
      </c>
      <c r="BC45" s="72" t="s">
        <v>245</v>
      </c>
      <c r="BD45" s="72" t="s">
        <v>246</v>
      </c>
      <c r="BE45" s="8">
        <v>3</v>
      </c>
      <c r="BF45" s="8">
        <v>7</v>
      </c>
      <c r="BG45" s="8">
        <v>0.749</v>
      </c>
      <c r="BH45" s="5" t="s">
        <v>20</v>
      </c>
      <c r="BI45" s="8">
        <v>0</v>
      </c>
      <c r="BJ45" s="26">
        <v>0.65300000000000002</v>
      </c>
      <c r="BK45" s="26">
        <f t="shared" si="13"/>
        <v>264</v>
      </c>
      <c r="BL45" s="5">
        <v>0.65300000000000002</v>
      </c>
      <c r="BM45" s="5">
        <f t="shared" si="2"/>
        <v>0.77063895639540969</v>
      </c>
      <c r="BN45" s="13">
        <f t="shared" si="3"/>
        <v>1.0218991905512607</v>
      </c>
      <c r="BO45" s="5">
        <f t="shared" si="22"/>
        <v>1.2509757995475283E-3</v>
      </c>
      <c r="BP45" s="14">
        <f t="shared" si="6"/>
        <v>6.2710980858694679E-4</v>
      </c>
      <c r="BQ45" s="26">
        <f t="shared" si="23"/>
        <v>3.8314176245210726E-3</v>
      </c>
      <c r="BR45" s="72" t="s">
        <v>267</v>
      </c>
      <c r="BS45" s="1"/>
      <c r="BT45" s="1"/>
    </row>
    <row r="46" spans="1:72" ht="15.75" customHeight="1" x14ac:dyDescent="0.35">
      <c r="A46" s="90">
        <v>23</v>
      </c>
      <c r="B46" s="91" t="s">
        <v>247</v>
      </c>
      <c r="C46" s="90">
        <v>2024</v>
      </c>
      <c r="D46" s="91" t="s">
        <v>248</v>
      </c>
      <c r="E46" s="91" t="s">
        <v>249</v>
      </c>
      <c r="F46" s="92" t="s">
        <v>460</v>
      </c>
      <c r="G46" s="93">
        <v>1</v>
      </c>
      <c r="H46" s="90">
        <v>0</v>
      </c>
      <c r="I46" s="93">
        <v>1</v>
      </c>
      <c r="J46" s="93">
        <v>1</v>
      </c>
      <c r="K46" s="118" t="s">
        <v>468</v>
      </c>
      <c r="L46" s="114">
        <v>0</v>
      </c>
      <c r="M46" s="71" t="s">
        <v>364</v>
      </c>
      <c r="N46" s="26">
        <v>439</v>
      </c>
      <c r="O46" s="26">
        <v>1</v>
      </c>
      <c r="P46" s="72" t="s">
        <v>56</v>
      </c>
      <c r="Q46" s="72" t="s">
        <v>17</v>
      </c>
      <c r="R46" s="78">
        <v>1</v>
      </c>
      <c r="S46" s="78">
        <v>0</v>
      </c>
      <c r="T46" s="78">
        <v>0</v>
      </c>
      <c r="U46" s="78">
        <v>0</v>
      </c>
      <c r="V46" s="78" t="s">
        <v>471</v>
      </c>
      <c r="W46" s="78">
        <v>1</v>
      </c>
      <c r="X46" s="78">
        <v>0</v>
      </c>
      <c r="Y46" s="78">
        <v>0</v>
      </c>
      <c r="Z46" s="78">
        <v>1</v>
      </c>
      <c r="AA46" s="110" t="s">
        <v>620</v>
      </c>
      <c r="AB46" s="94">
        <v>1</v>
      </c>
      <c r="AC46" s="72" t="s">
        <v>473</v>
      </c>
      <c r="AD46" s="78">
        <v>0</v>
      </c>
      <c r="AE46" s="77" t="s">
        <v>594</v>
      </c>
      <c r="AF46" s="78">
        <v>1</v>
      </c>
      <c r="AG46" s="72" t="s">
        <v>533</v>
      </c>
      <c r="AH46" s="72">
        <v>2.6</v>
      </c>
      <c r="AI46" s="72">
        <v>3</v>
      </c>
      <c r="AJ46" s="72" t="s">
        <v>534</v>
      </c>
      <c r="AK46" s="95">
        <v>1</v>
      </c>
      <c r="AL46" s="72" t="s">
        <v>473</v>
      </c>
      <c r="AM46" s="77" t="s">
        <v>595</v>
      </c>
      <c r="AN46" s="72" t="s">
        <v>477</v>
      </c>
      <c r="AO46" s="72" t="s">
        <v>535</v>
      </c>
      <c r="AP46" s="78">
        <v>1</v>
      </c>
      <c r="AQ46" s="77" t="s">
        <v>596</v>
      </c>
      <c r="AR46" s="78">
        <v>64</v>
      </c>
      <c r="AS46" s="77"/>
      <c r="AT46" s="78">
        <v>1</v>
      </c>
      <c r="AU46" s="78">
        <v>0</v>
      </c>
      <c r="AV46" s="71" t="s">
        <v>418</v>
      </c>
      <c r="AW46" s="72" t="s">
        <v>57</v>
      </c>
      <c r="AX46" s="72" t="s">
        <v>250</v>
      </c>
      <c r="AY46" s="8">
        <v>3</v>
      </c>
      <c r="AZ46" s="8">
        <v>5</v>
      </c>
      <c r="BA46" s="26">
        <v>0.91500000000000004</v>
      </c>
      <c r="BB46" s="72" t="s">
        <v>254</v>
      </c>
      <c r="BC46" s="72" t="s">
        <v>251</v>
      </c>
      <c r="BD46" s="72" t="s">
        <v>252</v>
      </c>
      <c r="BE46" s="8">
        <v>3</v>
      </c>
      <c r="BF46" s="8">
        <v>5</v>
      </c>
      <c r="BG46" s="8">
        <v>0.84599999999999997</v>
      </c>
      <c r="BH46" s="5" t="s">
        <v>20</v>
      </c>
      <c r="BI46" s="8">
        <v>1</v>
      </c>
      <c r="BJ46" s="26">
        <v>0.69499999999999995</v>
      </c>
      <c r="BK46" s="26">
        <f t="shared" si="13"/>
        <v>439</v>
      </c>
      <c r="BL46" s="19">
        <f t="shared" ref="BL46:BL66" si="24">BJ46</f>
        <v>0.69499999999999995</v>
      </c>
      <c r="BM46" s="5">
        <f t="shared" si="2"/>
        <v>0.72656463915015013</v>
      </c>
      <c r="BN46" s="13">
        <f t="shared" si="3"/>
        <v>0.92141185110032875</v>
      </c>
      <c r="BO46" s="5">
        <f t="shared" ref="BO46:BO55" si="25">((1-(BL46)^2)^2)/(BK46-1)</f>
        <v>6.1018984160958912E-4</v>
      </c>
      <c r="BP46" s="14">
        <f t="shared" si="6"/>
        <v>5.0886306326169137E-4</v>
      </c>
      <c r="BQ46" s="26">
        <f t="shared" si="23"/>
        <v>2.2935779816513763E-3</v>
      </c>
      <c r="BR46" s="72" t="s">
        <v>268</v>
      </c>
      <c r="BS46" s="1"/>
      <c r="BT46" s="1"/>
    </row>
    <row r="47" spans="1:72" ht="15.75" customHeight="1" x14ac:dyDescent="0.35">
      <c r="A47" s="34">
        <v>23</v>
      </c>
      <c r="B47" s="82" t="s">
        <v>247</v>
      </c>
      <c r="C47" s="34">
        <v>2024</v>
      </c>
      <c r="D47" s="82" t="s">
        <v>248</v>
      </c>
      <c r="E47" s="82" t="s">
        <v>249</v>
      </c>
      <c r="F47" s="84" t="s">
        <v>460</v>
      </c>
      <c r="G47" s="83">
        <v>1</v>
      </c>
      <c r="H47" s="34">
        <v>0</v>
      </c>
      <c r="I47" s="83">
        <v>1</v>
      </c>
      <c r="J47" s="83">
        <v>1</v>
      </c>
      <c r="K47" s="117" t="s">
        <v>468</v>
      </c>
      <c r="L47" s="83">
        <v>0</v>
      </c>
      <c r="M47" s="85" t="s">
        <v>364</v>
      </c>
      <c r="N47" s="83">
        <v>439</v>
      </c>
      <c r="O47" s="83">
        <v>1</v>
      </c>
      <c r="P47" s="82" t="s">
        <v>56</v>
      </c>
      <c r="Q47" s="82" t="s">
        <v>17</v>
      </c>
      <c r="R47" s="86">
        <v>1</v>
      </c>
      <c r="S47" s="86">
        <v>0</v>
      </c>
      <c r="T47" s="86">
        <v>0</v>
      </c>
      <c r="U47" s="86">
        <v>0</v>
      </c>
      <c r="V47" s="86" t="s">
        <v>471</v>
      </c>
      <c r="W47" s="86">
        <v>1</v>
      </c>
      <c r="X47" s="86">
        <v>0</v>
      </c>
      <c r="Y47" s="86">
        <v>0</v>
      </c>
      <c r="Z47" s="86">
        <v>1</v>
      </c>
      <c r="AA47" s="111" t="s">
        <v>620</v>
      </c>
      <c r="AB47" s="96">
        <v>1</v>
      </c>
      <c r="AC47" s="82" t="s">
        <v>473</v>
      </c>
      <c r="AD47" s="86">
        <v>0</v>
      </c>
      <c r="AE47" s="84" t="s">
        <v>594</v>
      </c>
      <c r="AF47" s="86">
        <v>1</v>
      </c>
      <c r="AG47" s="82" t="s">
        <v>533</v>
      </c>
      <c r="AH47" s="82">
        <v>2.6</v>
      </c>
      <c r="AI47" s="82">
        <v>3</v>
      </c>
      <c r="AJ47" s="82" t="s">
        <v>534</v>
      </c>
      <c r="AK47" s="97">
        <v>1</v>
      </c>
      <c r="AL47" s="82" t="s">
        <v>473</v>
      </c>
      <c r="AM47" s="82" t="s">
        <v>595</v>
      </c>
      <c r="AN47" s="82" t="s">
        <v>477</v>
      </c>
      <c r="AO47" s="82" t="s">
        <v>535</v>
      </c>
      <c r="AP47" s="86">
        <v>1</v>
      </c>
      <c r="AQ47" s="84" t="s">
        <v>596</v>
      </c>
      <c r="AR47" s="86">
        <v>64</v>
      </c>
      <c r="AS47" s="84"/>
      <c r="AT47" s="86">
        <v>1</v>
      </c>
      <c r="AU47" s="86">
        <v>0</v>
      </c>
      <c r="AV47" s="71" t="s">
        <v>419</v>
      </c>
      <c r="AW47" s="72" t="s">
        <v>57</v>
      </c>
      <c r="AX47" s="72" t="s">
        <v>250</v>
      </c>
      <c r="AY47" s="8">
        <v>3</v>
      </c>
      <c r="AZ47" s="8">
        <v>5</v>
      </c>
      <c r="BA47" s="26">
        <v>0.91500000000000004</v>
      </c>
      <c r="BB47" s="72" t="s">
        <v>254</v>
      </c>
      <c r="BC47" s="72" t="s">
        <v>245</v>
      </c>
      <c r="BD47" s="72" t="s">
        <v>253</v>
      </c>
      <c r="BE47" s="8">
        <v>3</v>
      </c>
      <c r="BF47" s="8">
        <v>5</v>
      </c>
      <c r="BG47" s="8">
        <v>0.86599999999999999</v>
      </c>
      <c r="BH47" s="5" t="s">
        <v>20</v>
      </c>
      <c r="BI47" s="8">
        <v>0</v>
      </c>
      <c r="BJ47" s="26">
        <v>0.26</v>
      </c>
      <c r="BK47" s="26">
        <f t="shared" si="13"/>
        <v>439</v>
      </c>
      <c r="BL47" s="19">
        <f t="shared" si="24"/>
        <v>0.26</v>
      </c>
      <c r="BM47" s="5">
        <f t="shared" si="2"/>
        <v>0.27180835421444466</v>
      </c>
      <c r="BN47" s="13">
        <f t="shared" si="3"/>
        <v>0.27881540218261053</v>
      </c>
      <c r="BO47" s="5">
        <f t="shared" si="25"/>
        <v>1.9848624657534245E-3</v>
      </c>
      <c r="BP47" s="14">
        <f t="shared" si="6"/>
        <v>1.9582161170348172E-3</v>
      </c>
      <c r="BQ47" s="26">
        <f t="shared" si="23"/>
        <v>2.2935779816513763E-3</v>
      </c>
      <c r="BR47" s="72" t="s">
        <v>268</v>
      </c>
      <c r="BS47" s="1"/>
      <c r="BT47" s="1"/>
    </row>
    <row r="48" spans="1:72" ht="15.75" customHeight="1" x14ac:dyDescent="0.35">
      <c r="A48" s="5">
        <v>24</v>
      </c>
      <c r="B48" s="72" t="s">
        <v>255</v>
      </c>
      <c r="C48" s="26">
        <v>2023</v>
      </c>
      <c r="D48" s="72" t="s">
        <v>256</v>
      </c>
      <c r="E48" s="72" t="s">
        <v>257</v>
      </c>
      <c r="F48" s="77" t="s">
        <v>460</v>
      </c>
      <c r="G48" s="26">
        <v>3</v>
      </c>
      <c r="H48" s="5">
        <v>0</v>
      </c>
      <c r="I48" s="26">
        <v>1</v>
      </c>
      <c r="J48" s="26">
        <v>1</v>
      </c>
      <c r="K48" s="116" t="s">
        <v>469</v>
      </c>
      <c r="L48" s="26">
        <v>0</v>
      </c>
      <c r="M48" s="71" t="s">
        <v>365</v>
      </c>
      <c r="N48" s="26">
        <v>352</v>
      </c>
      <c r="O48" s="26">
        <v>1</v>
      </c>
      <c r="P48" s="72" t="s">
        <v>56</v>
      </c>
      <c r="Q48" s="72" t="s">
        <v>17</v>
      </c>
      <c r="R48" s="78">
        <v>1</v>
      </c>
      <c r="S48" s="78">
        <v>0</v>
      </c>
      <c r="T48" s="78">
        <v>0</v>
      </c>
      <c r="U48" s="78">
        <v>0</v>
      </c>
      <c r="V48" s="78" t="s">
        <v>471</v>
      </c>
      <c r="W48" s="78">
        <v>1</v>
      </c>
      <c r="X48" s="78">
        <v>0</v>
      </c>
      <c r="Y48" s="78">
        <v>0</v>
      </c>
      <c r="Z48" s="78">
        <v>0</v>
      </c>
      <c r="AA48" s="110" t="s">
        <v>620</v>
      </c>
      <c r="AB48" s="94">
        <v>1</v>
      </c>
      <c r="AC48" s="72" t="s">
        <v>473</v>
      </c>
      <c r="AD48" s="78">
        <v>0</v>
      </c>
      <c r="AE48" s="77" t="s">
        <v>598</v>
      </c>
      <c r="AF48" s="78">
        <v>1</v>
      </c>
      <c r="AG48" s="77" t="s">
        <v>597</v>
      </c>
      <c r="AH48" s="77"/>
      <c r="AI48" s="77"/>
      <c r="AJ48" s="77" t="s">
        <v>597</v>
      </c>
      <c r="AK48" s="72" t="s">
        <v>527</v>
      </c>
      <c r="AL48" s="72" t="s">
        <v>527</v>
      </c>
      <c r="AM48" s="72" t="s">
        <v>527</v>
      </c>
      <c r="AN48" s="77" t="s">
        <v>527</v>
      </c>
      <c r="AO48" s="72" t="s">
        <v>527</v>
      </c>
      <c r="AP48" s="78">
        <v>0</v>
      </c>
      <c r="AQ48" s="72" t="s">
        <v>559</v>
      </c>
      <c r="AR48" s="78">
        <v>40</v>
      </c>
      <c r="AS48" s="77"/>
      <c r="AT48" s="78">
        <v>1</v>
      </c>
      <c r="AU48" s="78">
        <v>0</v>
      </c>
      <c r="AV48" s="71" t="s">
        <v>420</v>
      </c>
      <c r="AW48" s="72" t="s">
        <v>258</v>
      </c>
      <c r="AX48" s="72" t="s">
        <v>264</v>
      </c>
      <c r="AY48" s="8">
        <v>2</v>
      </c>
      <c r="AZ48" s="8">
        <v>7</v>
      </c>
      <c r="BA48" s="26">
        <v>0.75600000000000001</v>
      </c>
      <c r="BB48" s="5" t="s">
        <v>20</v>
      </c>
      <c r="BC48" s="72" t="s">
        <v>245</v>
      </c>
      <c r="BD48" s="72" t="s">
        <v>260</v>
      </c>
      <c r="BE48" s="8">
        <v>3</v>
      </c>
      <c r="BF48" s="8">
        <v>7</v>
      </c>
      <c r="BG48" s="8">
        <v>0.84399999999999997</v>
      </c>
      <c r="BH48" s="5" t="s">
        <v>20</v>
      </c>
      <c r="BI48" s="8">
        <v>0</v>
      </c>
      <c r="BJ48" s="26">
        <v>0.51400000000000001</v>
      </c>
      <c r="BK48" s="26">
        <f t="shared" si="13"/>
        <v>352</v>
      </c>
      <c r="BL48" s="19">
        <f t="shared" si="24"/>
        <v>0.51400000000000001</v>
      </c>
      <c r="BM48" s="5">
        <f t="shared" si="2"/>
        <v>0.59115616250328351</v>
      </c>
      <c r="BN48" s="13">
        <f t="shared" si="3"/>
        <v>0.67944145473936957</v>
      </c>
      <c r="BO48" s="5">
        <f t="shared" si="25"/>
        <v>1.5424715852307691E-3</v>
      </c>
      <c r="BP48" s="14">
        <f t="shared" si="6"/>
        <v>1.205683745210886E-3</v>
      </c>
      <c r="BQ48" s="26">
        <f t="shared" si="23"/>
        <v>2.8653295128939827E-3</v>
      </c>
      <c r="BR48" s="72" t="s">
        <v>269</v>
      </c>
      <c r="BS48" s="1"/>
      <c r="BT48" s="1"/>
    </row>
    <row r="49" spans="1:72" ht="15.75" customHeight="1" x14ac:dyDescent="0.35">
      <c r="A49" s="5">
        <v>24</v>
      </c>
      <c r="B49" s="72" t="s">
        <v>255</v>
      </c>
      <c r="C49" s="26">
        <v>2023</v>
      </c>
      <c r="D49" s="72" t="s">
        <v>256</v>
      </c>
      <c r="E49" s="72" t="s">
        <v>257</v>
      </c>
      <c r="F49" s="77" t="s">
        <v>460</v>
      </c>
      <c r="G49" s="26">
        <v>3</v>
      </c>
      <c r="H49" s="5">
        <v>0</v>
      </c>
      <c r="I49" s="26">
        <v>1</v>
      </c>
      <c r="J49" s="26">
        <v>1</v>
      </c>
      <c r="K49" s="116" t="s">
        <v>469</v>
      </c>
      <c r="L49" s="26">
        <v>0</v>
      </c>
      <c r="M49" s="71" t="s">
        <v>365</v>
      </c>
      <c r="N49" s="26">
        <v>352</v>
      </c>
      <c r="O49" s="26">
        <v>1</v>
      </c>
      <c r="P49" s="72" t="s">
        <v>56</v>
      </c>
      <c r="Q49" s="72" t="s">
        <v>17</v>
      </c>
      <c r="R49" s="78">
        <v>1</v>
      </c>
      <c r="S49" s="78">
        <v>0</v>
      </c>
      <c r="T49" s="78">
        <v>0</v>
      </c>
      <c r="U49" s="78">
        <v>0</v>
      </c>
      <c r="V49" s="78" t="s">
        <v>471</v>
      </c>
      <c r="W49" s="78">
        <v>1</v>
      </c>
      <c r="X49" s="78">
        <v>0</v>
      </c>
      <c r="Y49" s="78">
        <v>0</v>
      </c>
      <c r="Z49" s="78">
        <v>0</v>
      </c>
      <c r="AA49" s="110" t="s">
        <v>620</v>
      </c>
      <c r="AB49" s="94">
        <v>1</v>
      </c>
      <c r="AC49" s="72" t="s">
        <v>473</v>
      </c>
      <c r="AD49" s="78">
        <v>0</v>
      </c>
      <c r="AE49" s="72" t="s">
        <v>598</v>
      </c>
      <c r="AF49" s="78">
        <v>1</v>
      </c>
      <c r="AG49" s="77" t="s">
        <v>597</v>
      </c>
      <c r="AH49" s="77"/>
      <c r="AI49" s="77"/>
      <c r="AJ49" s="72" t="s">
        <v>597</v>
      </c>
      <c r="AK49" s="72" t="s">
        <v>527</v>
      </c>
      <c r="AL49" s="72" t="s">
        <v>527</v>
      </c>
      <c r="AM49" s="72" t="s">
        <v>527</v>
      </c>
      <c r="AN49" s="72" t="s">
        <v>527</v>
      </c>
      <c r="AO49" s="72" t="s">
        <v>527</v>
      </c>
      <c r="AP49" s="78">
        <v>0</v>
      </c>
      <c r="AQ49" s="72" t="s">
        <v>559</v>
      </c>
      <c r="AR49" s="78">
        <v>40</v>
      </c>
      <c r="AS49" s="77"/>
      <c r="AT49" s="78">
        <v>1</v>
      </c>
      <c r="AU49" s="78">
        <v>0</v>
      </c>
      <c r="AV49" s="71" t="s">
        <v>422</v>
      </c>
      <c r="AW49" s="72" t="s">
        <v>259</v>
      </c>
      <c r="AX49" s="72" t="s">
        <v>263</v>
      </c>
      <c r="AY49" s="8">
        <v>3</v>
      </c>
      <c r="AZ49" s="8">
        <v>7</v>
      </c>
      <c r="BA49" s="26">
        <v>0.747</v>
      </c>
      <c r="BB49" s="5" t="s">
        <v>20</v>
      </c>
      <c r="BC49" s="72" t="s">
        <v>245</v>
      </c>
      <c r="BD49" s="72" t="s">
        <v>260</v>
      </c>
      <c r="BE49" s="8">
        <v>3</v>
      </c>
      <c r="BF49" s="8">
        <v>7</v>
      </c>
      <c r="BG49" s="8">
        <v>0.84399999999999997</v>
      </c>
      <c r="BH49" s="5" t="s">
        <v>20</v>
      </c>
      <c r="BI49" s="8">
        <v>0</v>
      </c>
      <c r="BJ49" s="26">
        <v>0.56399999999999995</v>
      </c>
      <c r="BK49" s="26">
        <f t="shared" si="13"/>
        <v>352</v>
      </c>
      <c r="BL49" s="19">
        <f t="shared" si="24"/>
        <v>0.56399999999999995</v>
      </c>
      <c r="BM49" s="5">
        <f t="shared" si="2"/>
        <v>0.65255752643058584</v>
      </c>
      <c r="BN49" s="13">
        <f t="shared" si="3"/>
        <v>0.77974013763119188</v>
      </c>
      <c r="BO49" s="5">
        <f t="shared" si="25"/>
        <v>1.3247665675669518E-3</v>
      </c>
      <c r="BP49" s="14">
        <f t="shared" si="6"/>
        <v>9.3922982052812242E-4</v>
      </c>
      <c r="BQ49" s="26">
        <f t="shared" si="23"/>
        <v>2.8653295128939827E-3</v>
      </c>
      <c r="BR49" s="72" t="s">
        <v>269</v>
      </c>
      <c r="BS49" s="1"/>
      <c r="BT49" s="1"/>
    </row>
    <row r="50" spans="1:72" ht="15.75" customHeight="1" x14ac:dyDescent="0.35">
      <c r="A50" s="5">
        <v>24</v>
      </c>
      <c r="B50" s="72" t="s">
        <v>255</v>
      </c>
      <c r="C50" s="26">
        <v>2023</v>
      </c>
      <c r="D50" s="72" t="s">
        <v>256</v>
      </c>
      <c r="E50" s="72" t="s">
        <v>257</v>
      </c>
      <c r="F50" s="77" t="s">
        <v>460</v>
      </c>
      <c r="G50" s="26">
        <v>3</v>
      </c>
      <c r="H50" s="5">
        <v>0</v>
      </c>
      <c r="I50" s="26">
        <v>1</v>
      </c>
      <c r="J50" s="26">
        <v>1</v>
      </c>
      <c r="K50" s="116" t="s">
        <v>469</v>
      </c>
      <c r="L50" s="26">
        <v>0</v>
      </c>
      <c r="M50" s="71" t="s">
        <v>365</v>
      </c>
      <c r="N50" s="26">
        <v>352</v>
      </c>
      <c r="O50" s="26">
        <v>1</v>
      </c>
      <c r="P50" s="72" t="s">
        <v>56</v>
      </c>
      <c r="Q50" s="72" t="s">
        <v>17</v>
      </c>
      <c r="R50" s="78">
        <v>1</v>
      </c>
      <c r="S50" s="78">
        <v>0</v>
      </c>
      <c r="T50" s="78">
        <v>0</v>
      </c>
      <c r="U50" s="78">
        <v>0</v>
      </c>
      <c r="V50" s="78" t="s">
        <v>471</v>
      </c>
      <c r="W50" s="78">
        <v>1</v>
      </c>
      <c r="X50" s="78">
        <v>0</v>
      </c>
      <c r="Y50" s="78">
        <v>0</v>
      </c>
      <c r="Z50" s="78">
        <v>0</v>
      </c>
      <c r="AA50" s="110" t="s">
        <v>620</v>
      </c>
      <c r="AB50" s="94">
        <v>1</v>
      </c>
      <c r="AC50" s="72" t="s">
        <v>473</v>
      </c>
      <c r="AD50" s="78">
        <v>0</v>
      </c>
      <c r="AE50" s="72" t="s">
        <v>598</v>
      </c>
      <c r="AF50" s="78">
        <v>1</v>
      </c>
      <c r="AG50" s="77" t="s">
        <v>597</v>
      </c>
      <c r="AH50" s="77"/>
      <c r="AI50" s="77"/>
      <c r="AJ50" s="72" t="s">
        <v>597</v>
      </c>
      <c r="AK50" s="72" t="s">
        <v>527</v>
      </c>
      <c r="AL50" s="72" t="s">
        <v>527</v>
      </c>
      <c r="AM50" s="72" t="s">
        <v>527</v>
      </c>
      <c r="AN50" s="72" t="s">
        <v>527</v>
      </c>
      <c r="AO50" s="72" t="s">
        <v>527</v>
      </c>
      <c r="AP50" s="78">
        <v>0</v>
      </c>
      <c r="AQ50" s="72" t="s">
        <v>559</v>
      </c>
      <c r="AR50" s="78">
        <v>40</v>
      </c>
      <c r="AS50" s="72"/>
      <c r="AT50" s="78">
        <v>1</v>
      </c>
      <c r="AU50" s="78">
        <v>0</v>
      </c>
      <c r="AV50" s="71" t="s">
        <v>423</v>
      </c>
      <c r="AW50" s="72" t="s">
        <v>258</v>
      </c>
      <c r="AX50" s="72" t="s">
        <v>264</v>
      </c>
      <c r="AY50" s="8">
        <v>2</v>
      </c>
      <c r="AZ50" s="8">
        <v>7</v>
      </c>
      <c r="BA50" s="26">
        <v>0.75600000000000001</v>
      </c>
      <c r="BB50" s="5" t="s">
        <v>20</v>
      </c>
      <c r="BC50" s="72" t="s">
        <v>261</v>
      </c>
      <c r="BD50" s="72" t="s">
        <v>262</v>
      </c>
      <c r="BE50" s="8">
        <v>4</v>
      </c>
      <c r="BF50" s="8">
        <v>7</v>
      </c>
      <c r="BG50" s="8">
        <v>0.86</v>
      </c>
      <c r="BH50" s="5" t="s">
        <v>20</v>
      </c>
      <c r="BI50" s="8">
        <v>1</v>
      </c>
      <c r="BJ50" s="26">
        <v>0.52300000000000002</v>
      </c>
      <c r="BK50" s="26">
        <f t="shared" si="13"/>
        <v>352</v>
      </c>
      <c r="BL50" s="19">
        <f t="shared" si="24"/>
        <v>0.52300000000000002</v>
      </c>
      <c r="BM50" s="5">
        <f t="shared" si="2"/>
        <v>0.6015071458934188</v>
      </c>
      <c r="BN50" s="13">
        <f t="shared" si="3"/>
        <v>0.69550543247424801</v>
      </c>
      <c r="BO50" s="5">
        <f t="shared" si="25"/>
        <v>1.5035900679230768E-3</v>
      </c>
      <c r="BP50" s="14">
        <f t="shared" si="6"/>
        <v>1.1603572523287272E-3</v>
      </c>
      <c r="BQ50" s="26">
        <f t="shared" si="23"/>
        <v>2.8653295128939827E-3</v>
      </c>
      <c r="BR50" s="72" t="s">
        <v>269</v>
      </c>
      <c r="BS50" s="1"/>
      <c r="BT50" s="1"/>
    </row>
    <row r="51" spans="1:72" ht="15.75" customHeight="1" x14ac:dyDescent="0.35">
      <c r="A51" s="34">
        <v>24</v>
      </c>
      <c r="B51" s="82" t="s">
        <v>255</v>
      </c>
      <c r="C51" s="83">
        <v>2023</v>
      </c>
      <c r="D51" s="82" t="s">
        <v>256</v>
      </c>
      <c r="E51" s="82" t="s">
        <v>257</v>
      </c>
      <c r="F51" s="84" t="s">
        <v>460</v>
      </c>
      <c r="G51" s="83">
        <v>3</v>
      </c>
      <c r="H51" s="34">
        <v>0</v>
      </c>
      <c r="I51" s="83">
        <v>1</v>
      </c>
      <c r="J51" s="83">
        <v>1</v>
      </c>
      <c r="K51" s="117" t="s">
        <v>469</v>
      </c>
      <c r="L51" s="83">
        <v>0</v>
      </c>
      <c r="M51" s="85" t="s">
        <v>365</v>
      </c>
      <c r="N51" s="83">
        <v>352</v>
      </c>
      <c r="O51" s="83">
        <v>1</v>
      </c>
      <c r="P51" s="82" t="s">
        <v>56</v>
      </c>
      <c r="Q51" s="82" t="s">
        <v>17</v>
      </c>
      <c r="R51" s="86">
        <v>1</v>
      </c>
      <c r="S51" s="86">
        <v>0</v>
      </c>
      <c r="T51" s="86">
        <v>0</v>
      </c>
      <c r="U51" s="86">
        <v>0</v>
      </c>
      <c r="V51" s="86" t="s">
        <v>471</v>
      </c>
      <c r="W51" s="86">
        <v>1</v>
      </c>
      <c r="X51" s="86">
        <v>0</v>
      </c>
      <c r="Y51" s="86">
        <v>0</v>
      </c>
      <c r="Z51" s="86">
        <v>0</v>
      </c>
      <c r="AA51" s="111" t="s">
        <v>620</v>
      </c>
      <c r="AB51" s="96">
        <v>1</v>
      </c>
      <c r="AC51" s="82" t="s">
        <v>473</v>
      </c>
      <c r="AD51" s="86">
        <v>0</v>
      </c>
      <c r="AE51" s="82" t="s">
        <v>598</v>
      </c>
      <c r="AF51" s="86">
        <v>1</v>
      </c>
      <c r="AG51" s="77" t="s">
        <v>597</v>
      </c>
      <c r="AH51" s="77"/>
      <c r="AI51" s="77"/>
      <c r="AJ51" s="82" t="s">
        <v>597</v>
      </c>
      <c r="AK51" s="82" t="s">
        <v>527</v>
      </c>
      <c r="AL51" s="82" t="s">
        <v>527</v>
      </c>
      <c r="AM51" s="82" t="s">
        <v>527</v>
      </c>
      <c r="AN51" s="82" t="s">
        <v>527</v>
      </c>
      <c r="AO51" s="82" t="s">
        <v>527</v>
      </c>
      <c r="AP51" s="86">
        <v>0</v>
      </c>
      <c r="AQ51" s="82" t="s">
        <v>559</v>
      </c>
      <c r="AR51" s="86">
        <v>40</v>
      </c>
      <c r="AS51" s="82"/>
      <c r="AT51" s="86">
        <v>1</v>
      </c>
      <c r="AU51" s="86">
        <v>0</v>
      </c>
      <c r="AV51" s="71" t="s">
        <v>424</v>
      </c>
      <c r="AW51" s="72" t="s">
        <v>259</v>
      </c>
      <c r="AX51" s="72" t="s">
        <v>263</v>
      </c>
      <c r="AY51" s="8">
        <v>3</v>
      </c>
      <c r="AZ51" s="8">
        <v>7</v>
      </c>
      <c r="BA51" s="26">
        <v>0.747</v>
      </c>
      <c r="BB51" s="5" t="s">
        <v>20</v>
      </c>
      <c r="BC51" s="72" t="s">
        <v>261</v>
      </c>
      <c r="BD51" s="72" t="s">
        <v>262</v>
      </c>
      <c r="BE51" s="8">
        <v>4</v>
      </c>
      <c r="BF51" s="8">
        <v>7</v>
      </c>
      <c r="BG51" s="8">
        <v>0.86</v>
      </c>
      <c r="BH51" s="5" t="s">
        <v>20</v>
      </c>
      <c r="BI51" s="8">
        <v>1</v>
      </c>
      <c r="BJ51" s="26">
        <v>0.55200000000000005</v>
      </c>
      <c r="BK51" s="26">
        <f t="shared" si="13"/>
        <v>352</v>
      </c>
      <c r="BL51" s="19">
        <f t="shared" si="24"/>
        <v>0.55200000000000005</v>
      </c>
      <c r="BM51" s="5">
        <f t="shared" si="2"/>
        <v>0.63867332374057351</v>
      </c>
      <c r="BN51" s="13">
        <f t="shared" si="3"/>
        <v>0.75592988748916012</v>
      </c>
      <c r="BO51" s="5">
        <f t="shared" si="25"/>
        <v>1.3773120444900281E-3</v>
      </c>
      <c r="BP51" s="14">
        <f t="shared" si="6"/>
        <v>9.9879809051880443E-4</v>
      </c>
      <c r="BQ51" s="26">
        <f t="shared" si="23"/>
        <v>2.8653295128939827E-3</v>
      </c>
      <c r="BR51" s="72" t="s">
        <v>269</v>
      </c>
      <c r="BS51" s="1"/>
      <c r="BT51" s="1"/>
    </row>
    <row r="52" spans="1:72" ht="15.75" customHeight="1" x14ac:dyDescent="0.35">
      <c r="A52" s="66">
        <v>25</v>
      </c>
      <c r="B52" s="65" t="s">
        <v>270</v>
      </c>
      <c r="C52" s="66">
        <v>2024</v>
      </c>
      <c r="D52" s="65" t="s">
        <v>271</v>
      </c>
      <c r="E52" s="65" t="s">
        <v>272</v>
      </c>
      <c r="F52" s="67" t="s">
        <v>460</v>
      </c>
      <c r="G52" s="66">
        <v>2</v>
      </c>
      <c r="H52" s="38">
        <v>0</v>
      </c>
      <c r="I52" s="66">
        <v>1</v>
      </c>
      <c r="J52" s="66">
        <v>1</v>
      </c>
      <c r="K52" s="115" t="s">
        <v>467</v>
      </c>
      <c r="L52" s="66">
        <v>1</v>
      </c>
      <c r="M52" s="68" t="s">
        <v>366</v>
      </c>
      <c r="N52" s="66">
        <v>405</v>
      </c>
      <c r="O52" s="66">
        <v>1</v>
      </c>
      <c r="P52" s="65" t="s">
        <v>56</v>
      </c>
      <c r="Q52" s="65" t="s">
        <v>17</v>
      </c>
      <c r="R52" s="69">
        <v>1</v>
      </c>
      <c r="S52" s="69">
        <v>0</v>
      </c>
      <c r="T52" s="69">
        <v>0</v>
      </c>
      <c r="U52" s="69">
        <v>0</v>
      </c>
      <c r="V52" s="69" t="s">
        <v>471</v>
      </c>
      <c r="W52" s="69">
        <v>1</v>
      </c>
      <c r="X52" s="69">
        <v>0</v>
      </c>
      <c r="Y52" s="69">
        <v>0</v>
      </c>
      <c r="Z52" s="69">
        <v>1</v>
      </c>
      <c r="AA52" s="109" t="s">
        <v>620</v>
      </c>
      <c r="AB52" s="98">
        <v>1</v>
      </c>
      <c r="AC52" s="65" t="s">
        <v>473</v>
      </c>
      <c r="AD52" s="69">
        <v>0</v>
      </c>
      <c r="AE52" s="67" t="s">
        <v>598</v>
      </c>
      <c r="AF52" s="69">
        <v>1</v>
      </c>
      <c r="AG52" s="65" t="s">
        <v>597</v>
      </c>
      <c r="AH52" s="65"/>
      <c r="AI52" s="65"/>
      <c r="AJ52" s="65" t="s">
        <v>597</v>
      </c>
      <c r="AK52" s="67" t="s">
        <v>599</v>
      </c>
      <c r="AL52" s="65" t="s">
        <v>527</v>
      </c>
      <c r="AM52" s="65" t="s">
        <v>527</v>
      </c>
      <c r="AN52" s="67" t="s">
        <v>527</v>
      </c>
      <c r="AO52" s="65" t="s">
        <v>527</v>
      </c>
      <c r="AP52" s="69">
        <v>1</v>
      </c>
      <c r="AQ52" s="67" t="s">
        <v>485</v>
      </c>
      <c r="AR52" s="69">
        <v>30</v>
      </c>
      <c r="AS52" s="67"/>
      <c r="AT52" s="69">
        <v>1</v>
      </c>
      <c r="AU52" s="69">
        <v>0</v>
      </c>
      <c r="AV52" s="71" t="s">
        <v>425</v>
      </c>
      <c r="AW52" s="72" t="s">
        <v>57</v>
      </c>
      <c r="AX52" s="72" t="s">
        <v>273</v>
      </c>
      <c r="AY52" s="8">
        <v>3</v>
      </c>
      <c r="AZ52" s="8">
        <v>5</v>
      </c>
      <c r="BA52" s="26">
        <v>0.71</v>
      </c>
      <c r="BB52" s="5" t="s">
        <v>20</v>
      </c>
      <c r="BC52" s="72" t="s">
        <v>245</v>
      </c>
      <c r="BD52" s="72" t="s">
        <v>274</v>
      </c>
      <c r="BE52" s="8">
        <v>5</v>
      </c>
      <c r="BF52" s="8">
        <v>5</v>
      </c>
      <c r="BG52" s="8">
        <v>0.873</v>
      </c>
      <c r="BH52" s="5" t="s">
        <v>20</v>
      </c>
      <c r="BI52" s="8">
        <v>0</v>
      </c>
      <c r="BJ52" s="26">
        <v>0.13800000000000001</v>
      </c>
      <c r="BK52" s="26">
        <f t="shared" si="13"/>
        <v>405</v>
      </c>
      <c r="BL52" s="19">
        <f t="shared" si="24"/>
        <v>0.13800000000000001</v>
      </c>
      <c r="BM52" s="5">
        <f t="shared" si="2"/>
        <v>0.16377586883075179</v>
      </c>
      <c r="BN52" s="13">
        <f t="shared" si="3"/>
        <v>0.16526419028132824</v>
      </c>
      <c r="BO52" s="5">
        <f t="shared" si="25"/>
        <v>2.3818680047920796E-3</v>
      </c>
      <c r="BP52" s="14">
        <f t="shared" si="6"/>
        <v>2.3442435098332288E-3</v>
      </c>
      <c r="BQ52" s="26">
        <f t="shared" si="23"/>
        <v>2.4875621890547263E-3</v>
      </c>
      <c r="BR52" s="72" t="s">
        <v>265</v>
      </c>
      <c r="BS52" s="1"/>
      <c r="BT52" s="1"/>
    </row>
    <row r="53" spans="1:72" ht="15.75" customHeight="1" x14ac:dyDescent="0.35">
      <c r="A53" s="26">
        <v>26</v>
      </c>
      <c r="B53" s="72" t="s">
        <v>275</v>
      </c>
      <c r="C53" s="26">
        <v>2023</v>
      </c>
      <c r="D53" s="72" t="s">
        <v>276</v>
      </c>
      <c r="E53" s="72" t="s">
        <v>67</v>
      </c>
      <c r="F53" s="77" t="s">
        <v>460</v>
      </c>
      <c r="G53" s="26">
        <v>0</v>
      </c>
      <c r="H53" s="5">
        <v>0</v>
      </c>
      <c r="I53" s="26">
        <v>1</v>
      </c>
      <c r="J53" s="26">
        <v>1</v>
      </c>
      <c r="K53" s="116" t="s">
        <v>468</v>
      </c>
      <c r="L53" s="26">
        <v>0</v>
      </c>
      <c r="M53" s="71" t="s">
        <v>367</v>
      </c>
      <c r="N53" s="26">
        <v>311</v>
      </c>
      <c r="O53" s="26">
        <v>1</v>
      </c>
      <c r="P53" s="72" t="s">
        <v>56</v>
      </c>
      <c r="Q53" s="72" t="s">
        <v>25</v>
      </c>
      <c r="R53" s="78">
        <v>0</v>
      </c>
      <c r="S53" s="78">
        <v>1</v>
      </c>
      <c r="T53" s="78">
        <v>1</v>
      </c>
      <c r="U53" s="78">
        <v>0</v>
      </c>
      <c r="V53" s="80" t="s">
        <v>572</v>
      </c>
      <c r="W53" s="78">
        <v>1</v>
      </c>
      <c r="X53" s="78">
        <v>1</v>
      </c>
      <c r="Y53" s="78">
        <v>0</v>
      </c>
      <c r="Z53" s="78">
        <v>1</v>
      </c>
      <c r="AA53" s="110" t="s">
        <v>620</v>
      </c>
      <c r="AB53" s="94">
        <v>1</v>
      </c>
      <c r="AC53" s="72" t="s">
        <v>473</v>
      </c>
      <c r="AD53" s="78">
        <v>0</v>
      </c>
      <c r="AE53" s="72" t="s">
        <v>561</v>
      </c>
      <c r="AF53" s="78">
        <v>1</v>
      </c>
      <c r="AG53" s="72" t="s">
        <v>562</v>
      </c>
      <c r="AH53" s="72">
        <v>4.3</v>
      </c>
      <c r="AI53" s="72">
        <v>2.9</v>
      </c>
      <c r="AJ53" s="77" t="s">
        <v>600</v>
      </c>
      <c r="AK53" s="72" t="s">
        <v>473</v>
      </c>
      <c r="AL53" s="72" t="s">
        <v>527</v>
      </c>
      <c r="AM53" s="77" t="s">
        <v>527</v>
      </c>
      <c r="AN53" s="72" t="s">
        <v>527</v>
      </c>
      <c r="AO53" s="72" t="s">
        <v>527</v>
      </c>
      <c r="AP53" s="78">
        <v>0</v>
      </c>
      <c r="AQ53" s="72" t="s">
        <v>563</v>
      </c>
      <c r="AR53" s="78">
        <v>30</v>
      </c>
      <c r="AS53" s="72"/>
      <c r="AT53" s="80">
        <v>1</v>
      </c>
      <c r="AU53" s="78">
        <v>0</v>
      </c>
      <c r="AV53" s="71" t="s">
        <v>426</v>
      </c>
      <c r="AW53" s="72" t="s">
        <v>57</v>
      </c>
      <c r="AX53" s="72" t="s">
        <v>277</v>
      </c>
      <c r="AY53" s="8">
        <v>4</v>
      </c>
      <c r="AZ53" s="8">
        <v>5</v>
      </c>
      <c r="BA53" s="26">
        <v>0.93100000000000005</v>
      </c>
      <c r="BB53" s="5" t="s">
        <v>20</v>
      </c>
      <c r="BC53" s="72" t="s">
        <v>280</v>
      </c>
      <c r="BD53" s="72" t="s">
        <v>278</v>
      </c>
      <c r="BE53" s="8">
        <v>5</v>
      </c>
      <c r="BF53" s="8">
        <v>5</v>
      </c>
      <c r="BG53" s="8">
        <v>0.93300000000000005</v>
      </c>
      <c r="BH53" s="5" t="s">
        <v>20</v>
      </c>
      <c r="BI53" s="8">
        <v>0</v>
      </c>
      <c r="BJ53" s="26">
        <v>0.12</v>
      </c>
      <c r="BK53" s="26">
        <f t="shared" si="13"/>
        <v>311</v>
      </c>
      <c r="BL53" s="19">
        <f t="shared" si="24"/>
        <v>0.12</v>
      </c>
      <c r="BM53" s="5">
        <f t="shared" si="2"/>
        <v>0.12436735716171629</v>
      </c>
      <c r="BN53" s="13">
        <f t="shared" si="3"/>
        <v>0.12501458089021064</v>
      </c>
      <c r="BO53" s="5">
        <f t="shared" si="25"/>
        <v>3.1335721290322582E-3</v>
      </c>
      <c r="BP53" s="14">
        <f t="shared" si="6"/>
        <v>3.1267895369155412E-3</v>
      </c>
      <c r="BQ53" s="26">
        <f t="shared" si="23"/>
        <v>3.246753246753247E-3</v>
      </c>
      <c r="BR53" s="72" t="s">
        <v>282</v>
      </c>
      <c r="BS53" s="1"/>
      <c r="BT53" s="1"/>
    </row>
    <row r="54" spans="1:72" ht="15.75" customHeight="1" x14ac:dyDescent="0.35">
      <c r="A54" s="83">
        <v>26</v>
      </c>
      <c r="B54" s="82" t="s">
        <v>275</v>
      </c>
      <c r="C54" s="83">
        <v>2023</v>
      </c>
      <c r="D54" s="82" t="s">
        <v>276</v>
      </c>
      <c r="E54" s="82" t="s">
        <v>67</v>
      </c>
      <c r="F54" s="84" t="s">
        <v>460</v>
      </c>
      <c r="G54" s="83">
        <v>0</v>
      </c>
      <c r="H54" s="34">
        <v>0</v>
      </c>
      <c r="I54" s="83">
        <v>1</v>
      </c>
      <c r="J54" s="83">
        <v>1</v>
      </c>
      <c r="K54" s="117" t="s">
        <v>468</v>
      </c>
      <c r="L54" s="83">
        <v>0</v>
      </c>
      <c r="M54" s="85" t="s">
        <v>367</v>
      </c>
      <c r="N54" s="83">
        <v>311</v>
      </c>
      <c r="O54" s="83">
        <v>1</v>
      </c>
      <c r="P54" s="82" t="s">
        <v>56</v>
      </c>
      <c r="Q54" s="82" t="s">
        <v>25</v>
      </c>
      <c r="R54" s="86">
        <v>0</v>
      </c>
      <c r="S54" s="86">
        <v>1</v>
      </c>
      <c r="T54" s="86">
        <v>1</v>
      </c>
      <c r="U54" s="86">
        <v>0</v>
      </c>
      <c r="V54" s="87" t="s">
        <v>572</v>
      </c>
      <c r="W54" s="86">
        <v>1</v>
      </c>
      <c r="X54" s="86">
        <v>1</v>
      </c>
      <c r="Y54" s="86">
        <v>0</v>
      </c>
      <c r="Z54" s="86">
        <v>1</v>
      </c>
      <c r="AA54" s="111" t="s">
        <v>620</v>
      </c>
      <c r="AB54" s="96">
        <v>1</v>
      </c>
      <c r="AC54" s="82" t="s">
        <v>473</v>
      </c>
      <c r="AD54" s="86">
        <v>0</v>
      </c>
      <c r="AE54" s="82" t="s">
        <v>561</v>
      </c>
      <c r="AF54" s="86">
        <v>1</v>
      </c>
      <c r="AG54" s="82" t="s">
        <v>562</v>
      </c>
      <c r="AH54" s="82">
        <v>4.3</v>
      </c>
      <c r="AI54" s="82">
        <v>2.9</v>
      </c>
      <c r="AJ54" s="84" t="s">
        <v>600</v>
      </c>
      <c r="AK54" s="82" t="s">
        <v>473</v>
      </c>
      <c r="AL54" s="82" t="s">
        <v>527</v>
      </c>
      <c r="AM54" s="84" t="s">
        <v>527</v>
      </c>
      <c r="AN54" s="82" t="s">
        <v>527</v>
      </c>
      <c r="AO54" s="82" t="s">
        <v>527</v>
      </c>
      <c r="AP54" s="86">
        <v>0</v>
      </c>
      <c r="AQ54" s="82" t="s">
        <v>563</v>
      </c>
      <c r="AR54" s="86">
        <v>30</v>
      </c>
      <c r="AS54" s="82"/>
      <c r="AT54" s="87">
        <v>1</v>
      </c>
      <c r="AU54" s="86">
        <v>0</v>
      </c>
      <c r="AV54" s="71" t="s">
        <v>427</v>
      </c>
      <c r="AW54" s="72" t="s">
        <v>57</v>
      </c>
      <c r="AX54" s="72" t="s">
        <v>277</v>
      </c>
      <c r="AY54" s="8">
        <v>4</v>
      </c>
      <c r="AZ54" s="8">
        <v>5</v>
      </c>
      <c r="BA54" s="26">
        <v>0.93100000000000005</v>
      </c>
      <c r="BB54" s="5" t="s">
        <v>20</v>
      </c>
      <c r="BC54" s="72" t="s">
        <v>279</v>
      </c>
      <c r="BD54" s="72" t="s">
        <v>281</v>
      </c>
      <c r="BE54" s="8">
        <v>3</v>
      </c>
      <c r="BF54" s="8">
        <v>5</v>
      </c>
      <c r="BG54" s="8">
        <v>0.90200000000000002</v>
      </c>
      <c r="BH54" s="5" t="s">
        <v>20</v>
      </c>
      <c r="BI54" s="8">
        <v>0</v>
      </c>
      <c r="BJ54" s="26">
        <v>0.36399999999999999</v>
      </c>
      <c r="BK54" s="26">
        <f t="shared" si="13"/>
        <v>311</v>
      </c>
      <c r="BL54" s="19">
        <f t="shared" si="24"/>
        <v>0.36399999999999999</v>
      </c>
      <c r="BM54" s="5">
        <f t="shared" si="2"/>
        <v>0.37724765005720606</v>
      </c>
      <c r="BN54" s="13">
        <f t="shared" si="3"/>
        <v>0.39684670123295368</v>
      </c>
      <c r="BO54" s="5">
        <f t="shared" si="25"/>
        <v>2.4276231936000005E-3</v>
      </c>
      <c r="BP54" s="14">
        <f t="shared" si="6"/>
        <v>2.372974854794031E-3</v>
      </c>
      <c r="BQ54" s="26">
        <f t="shared" si="23"/>
        <v>3.246753246753247E-3</v>
      </c>
      <c r="BR54" s="72" t="s">
        <v>282</v>
      </c>
      <c r="BS54" s="1"/>
      <c r="BT54" s="1"/>
    </row>
    <row r="55" spans="1:72" ht="15.75" customHeight="1" x14ac:dyDescent="0.35">
      <c r="A55" s="26">
        <v>27</v>
      </c>
      <c r="B55" s="72" t="s">
        <v>283</v>
      </c>
      <c r="C55" s="26">
        <v>2023</v>
      </c>
      <c r="D55" s="72" t="s">
        <v>284</v>
      </c>
      <c r="E55" s="72" t="s">
        <v>285</v>
      </c>
      <c r="F55" s="77" t="s">
        <v>460</v>
      </c>
      <c r="G55" s="26">
        <v>0</v>
      </c>
      <c r="H55" s="5">
        <v>0</v>
      </c>
      <c r="I55" s="26">
        <v>1</v>
      </c>
      <c r="J55" s="26">
        <v>1</v>
      </c>
      <c r="K55" s="116" t="s">
        <v>468</v>
      </c>
      <c r="L55" s="26">
        <v>0</v>
      </c>
      <c r="M55" s="71" t="s">
        <v>368</v>
      </c>
      <c r="N55" s="26">
        <v>408</v>
      </c>
      <c r="O55" s="26">
        <v>1</v>
      </c>
      <c r="P55" s="72" t="s">
        <v>56</v>
      </c>
      <c r="Q55" s="72" t="s">
        <v>286</v>
      </c>
      <c r="R55" s="78">
        <v>1</v>
      </c>
      <c r="S55" s="78">
        <v>0</v>
      </c>
      <c r="T55" s="78">
        <v>0</v>
      </c>
      <c r="U55" s="78">
        <v>0</v>
      </c>
      <c r="V55" s="78" t="s">
        <v>471</v>
      </c>
      <c r="W55" s="78">
        <v>1</v>
      </c>
      <c r="X55" s="78">
        <v>0</v>
      </c>
      <c r="Y55" s="78">
        <v>0</v>
      </c>
      <c r="Z55" s="78">
        <v>1</v>
      </c>
      <c r="AA55" s="77" t="s">
        <v>556</v>
      </c>
      <c r="AB55" s="99" t="s">
        <v>473</v>
      </c>
      <c r="AC55" s="72" t="s">
        <v>473</v>
      </c>
      <c r="AD55" s="78">
        <v>0</v>
      </c>
      <c r="AE55" s="77" t="s">
        <v>602</v>
      </c>
      <c r="AF55" s="78">
        <v>0</v>
      </c>
      <c r="AG55" s="77" t="s">
        <v>601</v>
      </c>
      <c r="AH55" s="77">
        <v>2.4</v>
      </c>
      <c r="AI55" s="77">
        <v>3.4</v>
      </c>
      <c r="AJ55" s="77" t="s">
        <v>527</v>
      </c>
      <c r="AK55" s="72" t="s">
        <v>527</v>
      </c>
      <c r="AL55" s="72" t="s">
        <v>527</v>
      </c>
      <c r="AM55" s="72" t="s">
        <v>527</v>
      </c>
      <c r="AN55" s="72" t="s">
        <v>527</v>
      </c>
      <c r="AO55" s="72" t="s">
        <v>527</v>
      </c>
      <c r="AP55" s="78">
        <v>0</v>
      </c>
      <c r="AQ55" s="77" t="s">
        <v>504</v>
      </c>
      <c r="AR55" s="78">
        <v>46</v>
      </c>
      <c r="AS55" s="78">
        <v>32.159999999999997</v>
      </c>
      <c r="AT55" s="78">
        <v>0</v>
      </c>
      <c r="AU55" s="78">
        <v>0</v>
      </c>
      <c r="AV55" s="71" t="s">
        <v>428</v>
      </c>
      <c r="AW55" s="72" t="s">
        <v>258</v>
      </c>
      <c r="AX55" s="72" t="s">
        <v>291</v>
      </c>
      <c r="AY55" s="8">
        <v>2</v>
      </c>
      <c r="AZ55" s="8">
        <v>7</v>
      </c>
      <c r="BA55" s="26">
        <v>0.85</v>
      </c>
      <c r="BB55" s="5" t="s">
        <v>20</v>
      </c>
      <c r="BC55" s="72" t="s">
        <v>287</v>
      </c>
      <c r="BD55" s="72" t="s">
        <v>289</v>
      </c>
      <c r="BE55" s="8">
        <v>3</v>
      </c>
      <c r="BF55" s="8">
        <v>7</v>
      </c>
      <c r="BG55" s="8">
        <v>0.89</v>
      </c>
      <c r="BH55" s="5" t="s">
        <v>20</v>
      </c>
      <c r="BI55" s="8">
        <v>1</v>
      </c>
      <c r="BJ55" s="26">
        <v>0.46</v>
      </c>
      <c r="BK55" s="26">
        <f t="shared" si="13"/>
        <v>408</v>
      </c>
      <c r="BL55" s="19">
        <f t="shared" si="24"/>
        <v>0.46</v>
      </c>
      <c r="BM55" s="5">
        <f t="shared" si="2"/>
        <v>0.49894005298290922</v>
      </c>
      <c r="BN55" s="13">
        <f t="shared" si="3"/>
        <v>0.54789387865621419</v>
      </c>
      <c r="BO55" s="5">
        <f t="shared" si="25"/>
        <v>1.5272102211302211E-3</v>
      </c>
      <c r="BP55" s="14">
        <f t="shared" si="6"/>
        <v>1.3859689346471355E-3</v>
      </c>
      <c r="BQ55" s="26">
        <f t="shared" si="23"/>
        <v>2.4691358024691358E-3</v>
      </c>
      <c r="BR55" s="72" t="s">
        <v>292</v>
      </c>
      <c r="BS55" s="1"/>
      <c r="BT55" s="1"/>
    </row>
    <row r="56" spans="1:72" ht="15.75" customHeight="1" x14ac:dyDescent="0.35">
      <c r="A56" s="26">
        <v>27</v>
      </c>
      <c r="B56" s="72" t="s">
        <v>283</v>
      </c>
      <c r="C56" s="26">
        <v>2023</v>
      </c>
      <c r="D56" s="72" t="s">
        <v>284</v>
      </c>
      <c r="E56" s="72" t="s">
        <v>285</v>
      </c>
      <c r="F56" s="77" t="s">
        <v>460</v>
      </c>
      <c r="G56" s="26">
        <v>0</v>
      </c>
      <c r="H56" s="5">
        <v>0</v>
      </c>
      <c r="I56" s="26">
        <v>1</v>
      </c>
      <c r="J56" s="26">
        <v>1</v>
      </c>
      <c r="K56" s="116" t="s">
        <v>468</v>
      </c>
      <c r="L56" s="26">
        <v>0</v>
      </c>
      <c r="M56" s="71" t="s">
        <v>368</v>
      </c>
      <c r="N56" s="26">
        <v>408</v>
      </c>
      <c r="O56" s="26">
        <v>1</v>
      </c>
      <c r="P56" s="72" t="s">
        <v>56</v>
      </c>
      <c r="Q56" s="72" t="s">
        <v>286</v>
      </c>
      <c r="R56" s="78">
        <v>1</v>
      </c>
      <c r="S56" s="78">
        <v>0</v>
      </c>
      <c r="T56" s="78">
        <v>0</v>
      </c>
      <c r="U56" s="78">
        <v>0</v>
      </c>
      <c r="V56" s="78" t="s">
        <v>471</v>
      </c>
      <c r="W56" s="78">
        <v>1</v>
      </c>
      <c r="X56" s="78">
        <v>0</v>
      </c>
      <c r="Y56" s="78">
        <v>0</v>
      </c>
      <c r="Z56" s="78">
        <v>1</v>
      </c>
      <c r="AA56" s="77" t="s">
        <v>556</v>
      </c>
      <c r="AB56" s="99" t="s">
        <v>473</v>
      </c>
      <c r="AC56" s="72" t="s">
        <v>473</v>
      </c>
      <c r="AD56" s="78">
        <v>0</v>
      </c>
      <c r="AE56" s="72" t="s">
        <v>602</v>
      </c>
      <c r="AF56" s="78">
        <v>0</v>
      </c>
      <c r="AG56" s="77" t="s">
        <v>601</v>
      </c>
      <c r="AH56" s="77">
        <v>2.4</v>
      </c>
      <c r="AI56" s="77">
        <v>3.4</v>
      </c>
      <c r="AJ56" s="72" t="s">
        <v>527</v>
      </c>
      <c r="AK56" s="72" t="s">
        <v>527</v>
      </c>
      <c r="AL56" s="72" t="s">
        <v>527</v>
      </c>
      <c r="AM56" s="72" t="s">
        <v>527</v>
      </c>
      <c r="AN56" s="72" t="s">
        <v>527</v>
      </c>
      <c r="AO56" s="72" t="s">
        <v>527</v>
      </c>
      <c r="AP56" s="78">
        <v>0</v>
      </c>
      <c r="AQ56" s="77" t="s">
        <v>504</v>
      </c>
      <c r="AR56" s="78">
        <v>46</v>
      </c>
      <c r="AS56" s="78">
        <v>32.159999999999997</v>
      </c>
      <c r="AT56" s="78">
        <v>0</v>
      </c>
      <c r="AU56" s="78">
        <v>0</v>
      </c>
      <c r="AV56" s="71" t="s">
        <v>429</v>
      </c>
      <c r="AW56" s="72" t="s">
        <v>258</v>
      </c>
      <c r="AX56" s="72" t="s">
        <v>291</v>
      </c>
      <c r="AY56" s="8">
        <v>2</v>
      </c>
      <c r="AZ56" s="8">
        <v>7</v>
      </c>
      <c r="BA56" s="26">
        <v>0.85</v>
      </c>
      <c r="BB56" s="5" t="s">
        <v>20</v>
      </c>
      <c r="BC56" s="72" t="s">
        <v>245</v>
      </c>
      <c r="BD56" s="72" t="s">
        <v>288</v>
      </c>
      <c r="BE56" s="8">
        <v>4</v>
      </c>
      <c r="BF56" s="8">
        <v>7</v>
      </c>
      <c r="BG56" s="8">
        <v>0.92</v>
      </c>
      <c r="BH56" s="5" t="s">
        <v>20</v>
      </c>
      <c r="BI56" s="8">
        <v>0</v>
      </c>
      <c r="BJ56" s="26">
        <v>0.47</v>
      </c>
      <c r="BK56" s="26">
        <f t="shared" si="13"/>
        <v>408</v>
      </c>
      <c r="BL56" s="26">
        <f t="shared" si="24"/>
        <v>0.47</v>
      </c>
      <c r="BM56" s="5">
        <f t="shared" si="2"/>
        <v>0.50978657587384202</v>
      </c>
      <c r="BN56" s="13">
        <f t="shared" si="3"/>
        <v>0.56244136181061566</v>
      </c>
      <c r="BO56" s="5">
        <f t="shared" ref="BO56:BO60" si="26">((1-(BL56)^2)^2)/(BK56-1)</f>
        <v>1.4913926535626537E-3</v>
      </c>
      <c r="BP56" s="14">
        <f t="shared" si="6"/>
        <v>1.3458823869481312E-3</v>
      </c>
      <c r="BQ56" s="26">
        <f t="shared" ref="BQ56:BQ60" si="27">(1/(BK56-3))</f>
        <v>2.4691358024691358E-3</v>
      </c>
      <c r="BR56" s="72" t="s">
        <v>292</v>
      </c>
      <c r="BS56" s="1"/>
      <c r="BT56" s="1"/>
    </row>
    <row r="57" spans="1:72" ht="15.75" customHeight="1" x14ac:dyDescent="0.35">
      <c r="A57" s="26">
        <v>27</v>
      </c>
      <c r="B57" s="72" t="s">
        <v>283</v>
      </c>
      <c r="C57" s="26">
        <v>2023</v>
      </c>
      <c r="D57" s="72" t="s">
        <v>284</v>
      </c>
      <c r="E57" s="72" t="s">
        <v>285</v>
      </c>
      <c r="F57" s="77" t="s">
        <v>460</v>
      </c>
      <c r="G57" s="26">
        <v>0</v>
      </c>
      <c r="H57" s="5">
        <v>0</v>
      </c>
      <c r="I57" s="26">
        <v>1</v>
      </c>
      <c r="J57" s="26">
        <v>1</v>
      </c>
      <c r="K57" s="116" t="s">
        <v>468</v>
      </c>
      <c r="L57" s="26">
        <v>0</v>
      </c>
      <c r="M57" s="71" t="s">
        <v>368</v>
      </c>
      <c r="N57" s="26">
        <v>408</v>
      </c>
      <c r="O57" s="26">
        <v>1</v>
      </c>
      <c r="P57" s="72" t="s">
        <v>56</v>
      </c>
      <c r="Q57" s="72" t="s">
        <v>286</v>
      </c>
      <c r="R57" s="78">
        <v>1</v>
      </c>
      <c r="S57" s="78">
        <v>0</v>
      </c>
      <c r="T57" s="78">
        <v>0</v>
      </c>
      <c r="U57" s="78">
        <v>0</v>
      </c>
      <c r="V57" s="78" t="s">
        <v>471</v>
      </c>
      <c r="W57" s="78">
        <v>1</v>
      </c>
      <c r="X57" s="78">
        <v>0</v>
      </c>
      <c r="Y57" s="78">
        <v>0</v>
      </c>
      <c r="Z57" s="78">
        <v>1</v>
      </c>
      <c r="AA57" s="77" t="s">
        <v>556</v>
      </c>
      <c r="AB57" s="99" t="s">
        <v>473</v>
      </c>
      <c r="AC57" s="72" t="s">
        <v>473</v>
      </c>
      <c r="AD57" s="78">
        <v>0</v>
      </c>
      <c r="AE57" s="72" t="s">
        <v>602</v>
      </c>
      <c r="AF57" s="78">
        <v>0</v>
      </c>
      <c r="AG57" s="72" t="s">
        <v>601</v>
      </c>
      <c r="AH57" s="72">
        <v>2.4</v>
      </c>
      <c r="AI57" s="72">
        <v>3.4</v>
      </c>
      <c r="AJ57" s="72" t="s">
        <v>527</v>
      </c>
      <c r="AK57" s="72" t="s">
        <v>527</v>
      </c>
      <c r="AL57" s="72" t="s">
        <v>527</v>
      </c>
      <c r="AM57" s="72" t="s">
        <v>527</v>
      </c>
      <c r="AN57" s="72" t="s">
        <v>527</v>
      </c>
      <c r="AO57" s="72" t="s">
        <v>527</v>
      </c>
      <c r="AP57" s="78">
        <v>0</v>
      </c>
      <c r="AQ57" s="77" t="s">
        <v>504</v>
      </c>
      <c r="AR57" s="78">
        <v>46</v>
      </c>
      <c r="AS57" s="78">
        <v>32.159999999999997</v>
      </c>
      <c r="AT57" s="78">
        <v>0</v>
      </c>
      <c r="AU57" s="78">
        <v>0</v>
      </c>
      <c r="AV57" s="71" t="s">
        <v>430</v>
      </c>
      <c r="AW57" s="72" t="s">
        <v>259</v>
      </c>
      <c r="AX57" s="72" t="s">
        <v>290</v>
      </c>
      <c r="AY57" s="8">
        <v>3</v>
      </c>
      <c r="AZ57" s="8">
        <v>7</v>
      </c>
      <c r="BA57" s="26">
        <v>0.9</v>
      </c>
      <c r="BB57" s="5" t="s">
        <v>20</v>
      </c>
      <c r="BC57" s="72" t="s">
        <v>287</v>
      </c>
      <c r="BD57" s="72" t="s">
        <v>289</v>
      </c>
      <c r="BE57" s="8">
        <v>3</v>
      </c>
      <c r="BF57" s="8">
        <v>7</v>
      </c>
      <c r="BG57" s="8">
        <v>0.89</v>
      </c>
      <c r="BH57" s="5" t="s">
        <v>20</v>
      </c>
      <c r="BI57" s="8">
        <v>1</v>
      </c>
      <c r="BJ57" s="26">
        <v>0.84</v>
      </c>
      <c r="BK57" s="26">
        <f t="shared" si="13"/>
        <v>408</v>
      </c>
      <c r="BL57" s="26">
        <f t="shared" si="24"/>
        <v>0.84</v>
      </c>
      <c r="BM57" s="5">
        <f t="shared" si="2"/>
        <v>0.88543774484714621</v>
      </c>
      <c r="BN57" s="13">
        <f t="shared" si="3"/>
        <v>1.4003984549719211</v>
      </c>
      <c r="BO57" s="5">
        <f t="shared" si="26"/>
        <v>2.129517444717446E-4</v>
      </c>
      <c r="BP57" s="14">
        <f t="shared" si="6"/>
        <v>1.1463390663390661E-4</v>
      </c>
      <c r="BQ57" s="26">
        <f t="shared" si="27"/>
        <v>2.4691358024691358E-3</v>
      </c>
      <c r="BR57" s="72" t="s">
        <v>292</v>
      </c>
      <c r="BS57" s="1"/>
      <c r="BT57" s="1"/>
    </row>
    <row r="58" spans="1:72" ht="15.75" customHeight="1" x14ac:dyDescent="0.35">
      <c r="A58" s="83">
        <v>27</v>
      </c>
      <c r="B58" s="82" t="s">
        <v>283</v>
      </c>
      <c r="C58" s="83">
        <v>2023</v>
      </c>
      <c r="D58" s="82" t="s">
        <v>284</v>
      </c>
      <c r="E58" s="82" t="s">
        <v>285</v>
      </c>
      <c r="F58" s="84" t="s">
        <v>460</v>
      </c>
      <c r="G58" s="83">
        <v>0</v>
      </c>
      <c r="H58" s="34">
        <v>0</v>
      </c>
      <c r="I58" s="83">
        <v>1</v>
      </c>
      <c r="J58" s="83">
        <v>1</v>
      </c>
      <c r="K58" s="117" t="s">
        <v>468</v>
      </c>
      <c r="L58" s="83">
        <v>0</v>
      </c>
      <c r="M58" s="85" t="s">
        <v>368</v>
      </c>
      <c r="N58" s="83">
        <v>408</v>
      </c>
      <c r="O58" s="83">
        <v>1</v>
      </c>
      <c r="P58" s="82" t="s">
        <v>56</v>
      </c>
      <c r="Q58" s="82" t="s">
        <v>286</v>
      </c>
      <c r="R58" s="86">
        <v>1</v>
      </c>
      <c r="S58" s="86">
        <v>0</v>
      </c>
      <c r="T58" s="86">
        <v>0</v>
      </c>
      <c r="U58" s="86">
        <v>0</v>
      </c>
      <c r="V58" s="86" t="s">
        <v>471</v>
      </c>
      <c r="W58" s="86">
        <v>1</v>
      </c>
      <c r="X58" s="86">
        <v>0</v>
      </c>
      <c r="Y58" s="86">
        <v>0</v>
      </c>
      <c r="Z58" s="86">
        <v>1</v>
      </c>
      <c r="AA58" s="82" t="s">
        <v>556</v>
      </c>
      <c r="AB58" s="100" t="s">
        <v>473</v>
      </c>
      <c r="AC58" s="82" t="s">
        <v>473</v>
      </c>
      <c r="AD58" s="86">
        <v>0</v>
      </c>
      <c r="AE58" s="82" t="s">
        <v>602</v>
      </c>
      <c r="AF58" s="86">
        <v>0</v>
      </c>
      <c r="AG58" s="82" t="s">
        <v>601</v>
      </c>
      <c r="AH58" s="82">
        <v>2.4</v>
      </c>
      <c r="AI58" s="82">
        <v>3.4</v>
      </c>
      <c r="AJ58" s="82" t="s">
        <v>527</v>
      </c>
      <c r="AK58" s="82" t="s">
        <v>527</v>
      </c>
      <c r="AL58" s="82" t="s">
        <v>527</v>
      </c>
      <c r="AM58" s="82" t="s">
        <v>527</v>
      </c>
      <c r="AN58" s="82" t="s">
        <v>527</v>
      </c>
      <c r="AO58" s="82" t="s">
        <v>527</v>
      </c>
      <c r="AP58" s="86">
        <v>0</v>
      </c>
      <c r="AQ58" s="84" t="s">
        <v>504</v>
      </c>
      <c r="AR58" s="86">
        <v>46</v>
      </c>
      <c r="AS58" s="86">
        <v>32.159999999999997</v>
      </c>
      <c r="AT58" s="86">
        <v>0</v>
      </c>
      <c r="AU58" s="86">
        <v>0</v>
      </c>
      <c r="AV58" s="71" t="s">
        <v>431</v>
      </c>
      <c r="AW58" s="72" t="s">
        <v>259</v>
      </c>
      <c r="AX58" s="72" t="s">
        <v>290</v>
      </c>
      <c r="AY58" s="8">
        <v>3</v>
      </c>
      <c r="AZ58" s="8">
        <v>7</v>
      </c>
      <c r="BA58" s="26">
        <v>0.9</v>
      </c>
      <c r="BB58" s="5" t="s">
        <v>20</v>
      </c>
      <c r="BC58" s="72" t="s">
        <v>245</v>
      </c>
      <c r="BD58" s="72" t="s">
        <v>288</v>
      </c>
      <c r="BE58" s="8">
        <v>4</v>
      </c>
      <c r="BF58" s="8">
        <v>7</v>
      </c>
      <c r="BG58" s="8">
        <v>0.92</v>
      </c>
      <c r="BH58" s="5" t="s">
        <v>20</v>
      </c>
      <c r="BI58" s="8">
        <v>0</v>
      </c>
      <c r="BJ58" s="26">
        <v>0.78</v>
      </c>
      <c r="BK58" s="26">
        <f t="shared" si="13"/>
        <v>408</v>
      </c>
      <c r="BL58" s="26">
        <f t="shared" si="24"/>
        <v>0.78</v>
      </c>
      <c r="BM58" s="5">
        <f t="shared" si="2"/>
        <v>0.82219219164377866</v>
      </c>
      <c r="BN58" s="13">
        <f t="shared" si="3"/>
        <v>1.16354615875755</v>
      </c>
      <c r="BO58" s="5">
        <f t="shared" si="26"/>
        <v>3.7678270270270265E-4</v>
      </c>
      <c r="BP58" s="14">
        <f t="shared" si="6"/>
        <v>2.5792628992628985E-4</v>
      </c>
      <c r="BQ58" s="26">
        <f t="shared" si="27"/>
        <v>2.4691358024691358E-3</v>
      </c>
      <c r="BR58" s="72" t="s">
        <v>292</v>
      </c>
      <c r="BS58" s="1"/>
      <c r="BT58" s="1"/>
    </row>
    <row r="59" spans="1:72" ht="15.75" customHeight="1" x14ac:dyDescent="0.35">
      <c r="A59" s="66">
        <v>28</v>
      </c>
      <c r="B59" s="65" t="s">
        <v>293</v>
      </c>
      <c r="C59" s="66">
        <v>2024</v>
      </c>
      <c r="D59" s="65" t="s">
        <v>294</v>
      </c>
      <c r="E59" s="65" t="s">
        <v>295</v>
      </c>
      <c r="F59" s="67" t="s">
        <v>460</v>
      </c>
      <c r="G59" s="66">
        <v>3</v>
      </c>
      <c r="H59" s="38">
        <v>0</v>
      </c>
      <c r="I59" s="66">
        <v>1</v>
      </c>
      <c r="J59" s="66">
        <v>1</v>
      </c>
      <c r="K59" s="115" t="s">
        <v>468</v>
      </c>
      <c r="L59" s="66">
        <v>0</v>
      </c>
      <c r="M59" s="68" t="s">
        <v>370</v>
      </c>
      <c r="N59" s="66">
        <v>672</v>
      </c>
      <c r="O59" s="66">
        <v>1</v>
      </c>
      <c r="P59" s="65" t="s">
        <v>56</v>
      </c>
      <c r="Q59" s="65" t="s">
        <v>296</v>
      </c>
      <c r="R59" s="69">
        <v>1</v>
      </c>
      <c r="S59" s="69">
        <v>1</v>
      </c>
      <c r="T59" s="69">
        <v>1</v>
      </c>
      <c r="U59" s="69">
        <v>0</v>
      </c>
      <c r="V59" s="70" t="s">
        <v>572</v>
      </c>
      <c r="W59" s="69">
        <v>1</v>
      </c>
      <c r="X59" s="69">
        <v>1</v>
      </c>
      <c r="Y59" s="69">
        <v>0</v>
      </c>
      <c r="Z59" s="69">
        <v>1</v>
      </c>
      <c r="AA59" s="109" t="s">
        <v>620</v>
      </c>
      <c r="AB59" s="98">
        <v>1</v>
      </c>
      <c r="AC59" s="65" t="s">
        <v>473</v>
      </c>
      <c r="AD59" s="69">
        <v>0</v>
      </c>
      <c r="AE59" s="65" t="s">
        <v>564</v>
      </c>
      <c r="AF59" s="69">
        <v>1</v>
      </c>
      <c r="AG59" s="67" t="s">
        <v>603</v>
      </c>
      <c r="AH59" s="67">
        <v>3.6</v>
      </c>
      <c r="AI59" s="67">
        <v>2.6</v>
      </c>
      <c r="AJ59" s="67" t="s">
        <v>604</v>
      </c>
      <c r="AK59" s="67" t="s">
        <v>527</v>
      </c>
      <c r="AL59" s="67" t="s">
        <v>527</v>
      </c>
      <c r="AM59" s="67" t="s">
        <v>527</v>
      </c>
      <c r="AN59" s="67" t="s">
        <v>527</v>
      </c>
      <c r="AO59" s="67" t="s">
        <v>527</v>
      </c>
      <c r="AP59" s="69">
        <v>1</v>
      </c>
      <c r="AQ59" s="67" t="s">
        <v>559</v>
      </c>
      <c r="AR59" s="69">
        <v>40</v>
      </c>
      <c r="AS59" s="67"/>
      <c r="AT59" s="69">
        <v>1</v>
      </c>
      <c r="AU59" s="69">
        <v>0</v>
      </c>
      <c r="AV59" s="71" t="s">
        <v>432</v>
      </c>
      <c r="AW59" s="72" t="s">
        <v>57</v>
      </c>
      <c r="AX59" s="72" t="s">
        <v>297</v>
      </c>
      <c r="AY59" s="8">
        <v>5</v>
      </c>
      <c r="AZ59" s="8">
        <v>5</v>
      </c>
      <c r="BA59" s="26">
        <v>0.84899999999999998</v>
      </c>
      <c r="BB59" s="5" t="s">
        <v>20</v>
      </c>
      <c r="BC59" s="72" t="s">
        <v>298</v>
      </c>
      <c r="BD59" s="72" t="s">
        <v>299</v>
      </c>
      <c r="BE59" s="8">
        <v>6</v>
      </c>
      <c r="BF59" s="8">
        <v>5</v>
      </c>
      <c r="BG59" s="8">
        <v>0.92300000000000004</v>
      </c>
      <c r="BH59" s="5" t="s">
        <v>20</v>
      </c>
      <c r="BI59" s="8">
        <v>0</v>
      </c>
      <c r="BJ59" s="26">
        <v>0.17399999999999999</v>
      </c>
      <c r="BK59" s="26">
        <f t="shared" si="13"/>
        <v>672</v>
      </c>
      <c r="BL59" s="26">
        <f t="shared" si="24"/>
        <v>0.17399999999999999</v>
      </c>
      <c r="BM59" s="5">
        <f t="shared" si="2"/>
        <v>0.18884061370679509</v>
      </c>
      <c r="BN59" s="13">
        <f t="shared" si="3"/>
        <v>0.19113463580952403</v>
      </c>
      <c r="BO59" s="8">
        <f t="shared" si="26"/>
        <v>1.4014376098002981E-3</v>
      </c>
      <c r="BP59" s="14">
        <f t="shared" si="6"/>
        <v>1.3859167455639281E-3</v>
      </c>
      <c r="BQ59" s="8">
        <f t="shared" si="27"/>
        <v>1.4947683109118087E-3</v>
      </c>
      <c r="BR59" s="72" t="s">
        <v>300</v>
      </c>
      <c r="BS59" s="1"/>
      <c r="BT59" s="1"/>
    </row>
    <row r="60" spans="1:72" ht="15.75" customHeight="1" x14ac:dyDescent="0.35">
      <c r="A60" s="26">
        <v>29</v>
      </c>
      <c r="B60" s="72" t="s">
        <v>301</v>
      </c>
      <c r="C60" s="26">
        <v>2024</v>
      </c>
      <c r="D60" s="72" t="s">
        <v>302</v>
      </c>
      <c r="E60" s="72" t="s">
        <v>149</v>
      </c>
      <c r="F60" s="77" t="s">
        <v>460</v>
      </c>
      <c r="G60" s="26">
        <v>3</v>
      </c>
      <c r="H60" s="5">
        <v>0</v>
      </c>
      <c r="I60" s="26">
        <v>1</v>
      </c>
      <c r="J60" s="26">
        <v>1</v>
      </c>
      <c r="K60" s="116" t="s">
        <v>469</v>
      </c>
      <c r="L60" s="26">
        <v>0</v>
      </c>
      <c r="M60" s="71" t="s">
        <v>369</v>
      </c>
      <c r="N60" s="26">
        <v>712</v>
      </c>
      <c r="O60" s="26">
        <v>1</v>
      </c>
      <c r="P60" s="72" t="s">
        <v>56</v>
      </c>
      <c r="Q60" s="72" t="s">
        <v>17</v>
      </c>
      <c r="R60" s="78">
        <v>1</v>
      </c>
      <c r="S60" s="78">
        <v>0</v>
      </c>
      <c r="T60" s="78">
        <v>0</v>
      </c>
      <c r="U60" s="78">
        <v>0</v>
      </c>
      <c r="V60" s="78" t="s">
        <v>471</v>
      </c>
      <c r="W60" s="78">
        <v>1</v>
      </c>
      <c r="X60" s="78">
        <v>0</v>
      </c>
      <c r="Y60" s="78">
        <v>0</v>
      </c>
      <c r="Z60" s="78">
        <v>1</v>
      </c>
      <c r="AA60" s="110" t="s">
        <v>620</v>
      </c>
      <c r="AB60" s="94">
        <v>1</v>
      </c>
      <c r="AC60" s="72" t="s">
        <v>473</v>
      </c>
      <c r="AD60" s="78">
        <v>0</v>
      </c>
      <c r="AE60" s="77" t="s">
        <v>573</v>
      </c>
      <c r="AF60" s="78">
        <v>1</v>
      </c>
      <c r="AG60" s="77" t="s">
        <v>605</v>
      </c>
      <c r="AH60" s="77">
        <v>4</v>
      </c>
      <c r="AI60" s="77">
        <v>2.9</v>
      </c>
      <c r="AJ60" s="77" t="s">
        <v>606</v>
      </c>
      <c r="AK60" s="77" t="s">
        <v>607</v>
      </c>
      <c r="AL60" s="72" t="s">
        <v>473</v>
      </c>
      <c r="AM60" s="72" t="s">
        <v>607</v>
      </c>
      <c r="AN60" s="77" t="s">
        <v>477</v>
      </c>
      <c r="AO60" s="72" t="s">
        <v>509</v>
      </c>
      <c r="AP60" s="78">
        <v>1</v>
      </c>
      <c r="AQ60" s="77" t="s">
        <v>485</v>
      </c>
      <c r="AR60" s="78">
        <v>30</v>
      </c>
      <c r="AS60" s="77"/>
      <c r="AT60" s="78">
        <v>1</v>
      </c>
      <c r="AU60" s="78">
        <v>0</v>
      </c>
      <c r="AV60" s="71" t="s">
        <v>421</v>
      </c>
      <c r="AW60" s="72" t="s">
        <v>68</v>
      </c>
      <c r="AX60" s="72" t="s">
        <v>303</v>
      </c>
      <c r="AY60" s="8">
        <v>4</v>
      </c>
      <c r="AZ60" s="8">
        <v>7</v>
      </c>
      <c r="BA60" s="26">
        <v>0.85499999999999998</v>
      </c>
      <c r="BB60" s="5" t="s">
        <v>20</v>
      </c>
      <c r="BC60" s="72" t="s">
        <v>305</v>
      </c>
      <c r="BD60" s="72" t="s">
        <v>306</v>
      </c>
      <c r="BE60" s="8">
        <v>4</v>
      </c>
      <c r="BF60" s="8">
        <v>7</v>
      </c>
      <c r="BG60" s="8">
        <v>0.91800000000000004</v>
      </c>
      <c r="BH60" s="5" t="s">
        <v>20</v>
      </c>
      <c r="BI60" s="8">
        <v>0</v>
      </c>
      <c r="BJ60" s="26">
        <v>0.39400000000000002</v>
      </c>
      <c r="BK60" s="26">
        <f t="shared" si="13"/>
        <v>712</v>
      </c>
      <c r="BL60" s="26">
        <f t="shared" si="24"/>
        <v>0.39400000000000002</v>
      </c>
      <c r="BM60" s="5">
        <f t="shared" si="2"/>
        <v>0.4261015995034696</v>
      </c>
      <c r="BN60" s="13">
        <f t="shared" si="3"/>
        <v>0.45512373415070373</v>
      </c>
      <c r="BO60" s="8">
        <f t="shared" si="26"/>
        <v>1.0036936929620252E-3</v>
      </c>
      <c r="BP60" s="14">
        <f t="shared" si="6"/>
        <v>9.4210945394043602E-4</v>
      </c>
      <c r="BQ60" s="8">
        <f t="shared" si="27"/>
        <v>1.4104372355430183E-3</v>
      </c>
      <c r="BR60" s="72" t="s">
        <v>307</v>
      </c>
      <c r="BS60" s="1"/>
      <c r="BT60" s="1"/>
    </row>
    <row r="61" spans="1:72" ht="15.75" customHeight="1" x14ac:dyDescent="0.35">
      <c r="A61" s="83">
        <v>29</v>
      </c>
      <c r="B61" s="82" t="s">
        <v>301</v>
      </c>
      <c r="C61" s="83">
        <v>2024</v>
      </c>
      <c r="D61" s="82" t="s">
        <v>302</v>
      </c>
      <c r="E61" s="82" t="s">
        <v>149</v>
      </c>
      <c r="F61" s="84" t="s">
        <v>460</v>
      </c>
      <c r="G61" s="83">
        <v>3</v>
      </c>
      <c r="H61" s="34">
        <v>0</v>
      </c>
      <c r="I61" s="83">
        <v>1</v>
      </c>
      <c r="J61" s="83">
        <v>1</v>
      </c>
      <c r="K61" s="117" t="s">
        <v>469</v>
      </c>
      <c r="L61" s="83">
        <v>0</v>
      </c>
      <c r="M61" s="85" t="s">
        <v>369</v>
      </c>
      <c r="N61" s="83">
        <v>712</v>
      </c>
      <c r="O61" s="83">
        <v>1</v>
      </c>
      <c r="P61" s="82" t="s">
        <v>56</v>
      </c>
      <c r="Q61" s="82" t="s">
        <v>17</v>
      </c>
      <c r="R61" s="86">
        <v>1</v>
      </c>
      <c r="S61" s="86">
        <v>0</v>
      </c>
      <c r="T61" s="86">
        <v>0</v>
      </c>
      <c r="U61" s="86">
        <v>0</v>
      </c>
      <c r="V61" s="86" t="s">
        <v>471</v>
      </c>
      <c r="W61" s="86">
        <v>1</v>
      </c>
      <c r="X61" s="86">
        <v>0</v>
      </c>
      <c r="Y61" s="86">
        <v>0</v>
      </c>
      <c r="Z61" s="86">
        <v>1</v>
      </c>
      <c r="AA61" s="111" t="s">
        <v>620</v>
      </c>
      <c r="AB61" s="96">
        <v>1</v>
      </c>
      <c r="AC61" s="82" t="s">
        <v>473</v>
      </c>
      <c r="AD61" s="86">
        <v>0</v>
      </c>
      <c r="AE61" s="84" t="s">
        <v>573</v>
      </c>
      <c r="AF61" s="86">
        <v>1</v>
      </c>
      <c r="AG61" s="82" t="s">
        <v>605</v>
      </c>
      <c r="AH61" s="82">
        <v>4</v>
      </c>
      <c r="AI61" s="82">
        <v>2.9</v>
      </c>
      <c r="AJ61" s="82" t="s">
        <v>606</v>
      </c>
      <c r="AK61" s="82" t="s">
        <v>607</v>
      </c>
      <c r="AL61" s="82" t="s">
        <v>473</v>
      </c>
      <c r="AM61" s="82" t="s">
        <v>607</v>
      </c>
      <c r="AN61" s="84" t="s">
        <v>477</v>
      </c>
      <c r="AO61" s="101" t="s">
        <v>509</v>
      </c>
      <c r="AP61" s="86">
        <v>1</v>
      </c>
      <c r="AQ61" s="84" t="s">
        <v>485</v>
      </c>
      <c r="AR61" s="86">
        <v>30</v>
      </c>
      <c r="AS61" s="84"/>
      <c r="AT61" s="86">
        <v>1</v>
      </c>
      <c r="AU61" s="86">
        <v>0</v>
      </c>
      <c r="AV61" s="71" t="s">
        <v>433</v>
      </c>
      <c r="AW61" s="72" t="s">
        <v>259</v>
      </c>
      <c r="AX61" s="72" t="s">
        <v>304</v>
      </c>
      <c r="AY61" s="8">
        <v>3</v>
      </c>
      <c r="AZ61" s="8">
        <v>7</v>
      </c>
      <c r="BA61" s="26">
        <v>0.79500000000000004</v>
      </c>
      <c r="BB61" s="5" t="s">
        <v>20</v>
      </c>
      <c r="BC61" s="72" t="s">
        <v>305</v>
      </c>
      <c r="BD61" s="72" t="s">
        <v>306</v>
      </c>
      <c r="BE61" s="8">
        <v>4</v>
      </c>
      <c r="BF61" s="8">
        <v>7</v>
      </c>
      <c r="BG61" s="8">
        <v>0.91800000000000004</v>
      </c>
      <c r="BH61" s="5" t="s">
        <v>20</v>
      </c>
      <c r="BI61" s="8">
        <v>0</v>
      </c>
      <c r="BJ61" s="26">
        <v>0.44500000000000001</v>
      </c>
      <c r="BK61" s="26">
        <f t="shared" si="13"/>
        <v>712</v>
      </c>
      <c r="BL61" s="26">
        <f t="shared" si="24"/>
        <v>0.44500000000000001</v>
      </c>
      <c r="BM61" s="5">
        <f t="shared" si="2"/>
        <v>0.49908721714191939</v>
      </c>
      <c r="BN61" s="13">
        <f t="shared" si="3"/>
        <v>0.54808984007090522</v>
      </c>
      <c r="BO61" s="8">
        <f t="shared" ref="BO61:BO62" si="28">((1-(BL61)^2)^2)/(BK61-1)</f>
        <v>9.0459057753164548E-4</v>
      </c>
      <c r="BP61" s="14">
        <f t="shared" si="6"/>
        <v>7.9306435468429084E-4</v>
      </c>
      <c r="BQ61" s="8">
        <f t="shared" ref="BQ61:BQ62" si="29">(1/(BK61-3))</f>
        <v>1.4104372355430183E-3</v>
      </c>
      <c r="BR61" s="72" t="s">
        <v>307</v>
      </c>
      <c r="BS61" s="1"/>
      <c r="BT61" s="1"/>
    </row>
    <row r="62" spans="1:72" ht="15.75" customHeight="1" x14ac:dyDescent="0.35">
      <c r="A62" s="26">
        <v>30</v>
      </c>
      <c r="B62" s="72" t="s">
        <v>308</v>
      </c>
      <c r="C62" s="26">
        <v>2023</v>
      </c>
      <c r="D62" s="72" t="s">
        <v>309</v>
      </c>
      <c r="E62" s="72" t="s">
        <v>257</v>
      </c>
      <c r="F62" s="77" t="s">
        <v>460</v>
      </c>
      <c r="G62" s="26">
        <v>3</v>
      </c>
      <c r="H62" s="5">
        <v>0</v>
      </c>
      <c r="I62" s="26">
        <v>1</v>
      </c>
      <c r="J62" s="26">
        <v>1</v>
      </c>
      <c r="K62" s="116" t="s">
        <v>469</v>
      </c>
      <c r="L62" s="26">
        <v>0</v>
      </c>
      <c r="M62" s="71" t="s">
        <v>371</v>
      </c>
      <c r="N62" s="26">
        <v>454</v>
      </c>
      <c r="O62" s="26">
        <v>1</v>
      </c>
      <c r="P62" s="72" t="s">
        <v>56</v>
      </c>
      <c r="Q62" s="72" t="s">
        <v>17</v>
      </c>
      <c r="R62" s="78">
        <v>1</v>
      </c>
      <c r="S62" s="78">
        <v>0</v>
      </c>
      <c r="T62" s="78">
        <v>0</v>
      </c>
      <c r="U62" s="78">
        <v>0</v>
      </c>
      <c r="V62" s="78" t="s">
        <v>471</v>
      </c>
      <c r="W62" s="78">
        <v>1</v>
      </c>
      <c r="X62" s="78">
        <v>0</v>
      </c>
      <c r="Y62" s="78">
        <v>0</v>
      </c>
      <c r="Z62" s="78">
        <v>1</v>
      </c>
      <c r="AA62" s="110" t="s">
        <v>620</v>
      </c>
      <c r="AB62" s="94">
        <v>1</v>
      </c>
      <c r="AC62" s="72" t="s">
        <v>473</v>
      </c>
      <c r="AD62" s="78">
        <v>1</v>
      </c>
      <c r="AE62" s="72" t="s">
        <v>565</v>
      </c>
      <c r="AF62" s="78">
        <v>1</v>
      </c>
      <c r="AG62" s="72" t="s">
        <v>560</v>
      </c>
      <c r="AH62" s="72">
        <v>2.6</v>
      </c>
      <c r="AI62" s="72">
        <v>3</v>
      </c>
      <c r="AJ62" s="77" t="s">
        <v>534</v>
      </c>
      <c r="AK62" s="72" t="s">
        <v>473</v>
      </c>
      <c r="AL62" s="72" t="s">
        <v>473</v>
      </c>
      <c r="AM62" s="72" t="s">
        <v>473</v>
      </c>
      <c r="AN62" s="77" t="s">
        <v>477</v>
      </c>
      <c r="AO62" s="72" t="s">
        <v>535</v>
      </c>
      <c r="AP62" s="78">
        <v>1</v>
      </c>
      <c r="AQ62" s="77" t="s">
        <v>485</v>
      </c>
      <c r="AR62" s="78">
        <v>30</v>
      </c>
      <c r="AS62" s="72"/>
      <c r="AT62" s="78">
        <v>1</v>
      </c>
      <c r="AU62" s="78">
        <v>1</v>
      </c>
      <c r="AV62" s="71" t="s">
        <v>434</v>
      </c>
      <c r="AW62" s="72" t="s">
        <v>310</v>
      </c>
      <c r="AX62" s="72" t="s">
        <v>313</v>
      </c>
      <c r="AY62" s="8">
        <v>5</v>
      </c>
      <c r="AZ62" s="8">
        <v>5</v>
      </c>
      <c r="BA62" s="26">
        <v>0.81</v>
      </c>
      <c r="BB62" s="5" t="s">
        <v>20</v>
      </c>
      <c r="BC62" s="72" t="s">
        <v>245</v>
      </c>
      <c r="BD62" s="72" t="s">
        <v>316</v>
      </c>
      <c r="BE62" s="8">
        <v>5</v>
      </c>
      <c r="BF62" s="8">
        <v>5</v>
      </c>
      <c r="BG62" s="8">
        <v>0.84699999999999998</v>
      </c>
      <c r="BH62" s="5" t="s">
        <v>20</v>
      </c>
      <c r="BI62" s="8">
        <v>0</v>
      </c>
      <c r="BJ62" s="26">
        <v>0.20499999999999999</v>
      </c>
      <c r="BK62" s="26">
        <f t="shared" si="13"/>
        <v>454</v>
      </c>
      <c r="BL62" s="26">
        <f t="shared" si="24"/>
        <v>0.20499999999999999</v>
      </c>
      <c r="BM62" s="5">
        <f t="shared" si="2"/>
        <v>0.22777777777777775</v>
      </c>
      <c r="BN62" s="13">
        <f t="shared" si="3"/>
        <v>0.23184438419353057</v>
      </c>
      <c r="BO62" s="8">
        <f t="shared" si="28"/>
        <v>2.0258633567880797E-3</v>
      </c>
      <c r="BP62" s="14">
        <f t="shared" si="6"/>
        <v>1.9843849539202991E-3</v>
      </c>
      <c r="BQ62" s="8">
        <f t="shared" si="29"/>
        <v>2.2172949002217295E-3</v>
      </c>
      <c r="BR62" s="72" t="s">
        <v>317</v>
      </c>
      <c r="BS62" s="1"/>
      <c r="BT62" s="1"/>
    </row>
    <row r="63" spans="1:72" ht="15.75" customHeight="1" x14ac:dyDescent="0.35">
      <c r="A63" s="26">
        <v>30</v>
      </c>
      <c r="B63" s="72" t="s">
        <v>308</v>
      </c>
      <c r="C63" s="26">
        <v>2023</v>
      </c>
      <c r="D63" s="72" t="s">
        <v>309</v>
      </c>
      <c r="E63" s="72" t="s">
        <v>257</v>
      </c>
      <c r="F63" s="77" t="s">
        <v>460</v>
      </c>
      <c r="G63" s="26">
        <v>3</v>
      </c>
      <c r="H63" s="5">
        <v>0</v>
      </c>
      <c r="I63" s="26">
        <v>1</v>
      </c>
      <c r="J63" s="26">
        <v>1</v>
      </c>
      <c r="K63" s="116" t="s">
        <v>469</v>
      </c>
      <c r="L63" s="26">
        <v>0</v>
      </c>
      <c r="M63" s="71" t="s">
        <v>371</v>
      </c>
      <c r="N63" s="26">
        <v>454</v>
      </c>
      <c r="O63" s="26">
        <v>1</v>
      </c>
      <c r="P63" s="72" t="s">
        <v>56</v>
      </c>
      <c r="Q63" s="72" t="s">
        <v>17</v>
      </c>
      <c r="R63" s="78">
        <v>1</v>
      </c>
      <c r="S63" s="78">
        <v>0</v>
      </c>
      <c r="T63" s="78">
        <v>0</v>
      </c>
      <c r="U63" s="78">
        <v>0</v>
      </c>
      <c r="V63" s="78" t="s">
        <v>471</v>
      </c>
      <c r="W63" s="78">
        <v>1</v>
      </c>
      <c r="X63" s="78">
        <v>0</v>
      </c>
      <c r="Y63" s="78">
        <v>0</v>
      </c>
      <c r="Z63" s="78">
        <v>1</v>
      </c>
      <c r="AA63" s="110" t="s">
        <v>620</v>
      </c>
      <c r="AB63" s="94">
        <v>1</v>
      </c>
      <c r="AC63" s="72" t="s">
        <v>473</v>
      </c>
      <c r="AD63" s="78">
        <v>1</v>
      </c>
      <c r="AE63" s="72" t="s">
        <v>565</v>
      </c>
      <c r="AF63" s="78">
        <v>1</v>
      </c>
      <c r="AG63" s="72" t="s">
        <v>560</v>
      </c>
      <c r="AH63" s="72">
        <v>2.6</v>
      </c>
      <c r="AI63" s="72">
        <v>3</v>
      </c>
      <c r="AJ63" s="77" t="s">
        <v>534</v>
      </c>
      <c r="AK63" s="72" t="s">
        <v>473</v>
      </c>
      <c r="AL63" s="72" t="s">
        <v>473</v>
      </c>
      <c r="AM63" s="72" t="s">
        <v>473</v>
      </c>
      <c r="AN63" s="77" t="s">
        <v>477</v>
      </c>
      <c r="AO63" s="72" t="s">
        <v>535</v>
      </c>
      <c r="AP63" s="78">
        <v>1</v>
      </c>
      <c r="AQ63" s="77" t="s">
        <v>485</v>
      </c>
      <c r="AR63" s="78">
        <v>30</v>
      </c>
      <c r="AS63" s="72"/>
      <c r="AT63" s="78">
        <v>1</v>
      </c>
      <c r="AU63" s="78">
        <v>1</v>
      </c>
      <c r="AV63" s="71" t="s">
        <v>435</v>
      </c>
      <c r="AW63" s="72" t="s">
        <v>311</v>
      </c>
      <c r="AX63" s="72" t="s">
        <v>314</v>
      </c>
      <c r="AY63" s="8">
        <v>5</v>
      </c>
      <c r="AZ63" s="8">
        <v>5</v>
      </c>
      <c r="BA63" s="26">
        <v>0.79800000000000004</v>
      </c>
      <c r="BB63" s="5" t="s">
        <v>20</v>
      </c>
      <c r="BC63" s="72" t="s">
        <v>245</v>
      </c>
      <c r="BD63" s="72" t="s">
        <v>316</v>
      </c>
      <c r="BE63" s="8">
        <v>5</v>
      </c>
      <c r="BF63" s="8">
        <v>5</v>
      </c>
      <c r="BG63" s="8">
        <v>0.84699999999999998</v>
      </c>
      <c r="BH63" s="5" t="s">
        <v>20</v>
      </c>
      <c r="BI63" s="8">
        <v>0</v>
      </c>
      <c r="BJ63" s="26">
        <v>0.23499999999999999</v>
      </c>
      <c r="BK63" s="26">
        <f t="shared" si="13"/>
        <v>454</v>
      </c>
      <c r="BL63" s="26">
        <f t="shared" si="24"/>
        <v>0.23499999999999999</v>
      </c>
      <c r="BM63" s="5">
        <f t="shared" si="2"/>
        <v>0.26306702691829142</v>
      </c>
      <c r="BN63" s="13">
        <f t="shared" si="3"/>
        <v>0.26940062405727366</v>
      </c>
      <c r="BO63" s="8">
        <f t="shared" ref="BO63:BO67" si="30">((1-(BL63)^2)^2)/(BK63-1)</f>
        <v>1.9704189859271527E-3</v>
      </c>
      <c r="BP63" s="14">
        <f t="shared" si="6"/>
        <v>1.9125401951193828E-3</v>
      </c>
      <c r="BQ63" s="8">
        <f t="shared" ref="BQ63:BQ67" si="31">(1/(BK63-3))</f>
        <v>2.2172949002217295E-3</v>
      </c>
      <c r="BR63" s="72" t="s">
        <v>317</v>
      </c>
      <c r="BS63" s="1"/>
      <c r="BT63" s="1"/>
    </row>
    <row r="64" spans="1:72" ht="15.75" customHeight="1" x14ac:dyDescent="0.35">
      <c r="A64" s="83">
        <v>30</v>
      </c>
      <c r="B64" s="82" t="s">
        <v>308</v>
      </c>
      <c r="C64" s="83">
        <v>2023</v>
      </c>
      <c r="D64" s="82" t="s">
        <v>309</v>
      </c>
      <c r="E64" s="82" t="s">
        <v>257</v>
      </c>
      <c r="F64" s="84" t="s">
        <v>460</v>
      </c>
      <c r="G64" s="83">
        <v>3</v>
      </c>
      <c r="H64" s="34">
        <v>0</v>
      </c>
      <c r="I64" s="83">
        <v>1</v>
      </c>
      <c r="J64" s="83">
        <v>1</v>
      </c>
      <c r="K64" s="117" t="s">
        <v>469</v>
      </c>
      <c r="L64" s="83">
        <v>0</v>
      </c>
      <c r="M64" s="85" t="s">
        <v>371</v>
      </c>
      <c r="N64" s="83">
        <v>454</v>
      </c>
      <c r="O64" s="83">
        <v>1</v>
      </c>
      <c r="P64" s="82" t="s">
        <v>56</v>
      </c>
      <c r="Q64" s="82" t="s">
        <v>17</v>
      </c>
      <c r="R64" s="86">
        <v>1</v>
      </c>
      <c r="S64" s="86">
        <v>0</v>
      </c>
      <c r="T64" s="86">
        <v>0</v>
      </c>
      <c r="U64" s="86">
        <v>0</v>
      </c>
      <c r="V64" s="86" t="s">
        <v>471</v>
      </c>
      <c r="W64" s="86">
        <v>1</v>
      </c>
      <c r="X64" s="86">
        <v>0</v>
      </c>
      <c r="Y64" s="86">
        <v>0</v>
      </c>
      <c r="Z64" s="86">
        <v>1</v>
      </c>
      <c r="AA64" s="111" t="s">
        <v>620</v>
      </c>
      <c r="AB64" s="96">
        <v>1</v>
      </c>
      <c r="AC64" s="82" t="s">
        <v>473</v>
      </c>
      <c r="AD64" s="86">
        <v>1</v>
      </c>
      <c r="AE64" s="82" t="s">
        <v>565</v>
      </c>
      <c r="AF64" s="86">
        <v>1</v>
      </c>
      <c r="AG64" s="82" t="s">
        <v>560</v>
      </c>
      <c r="AH64" s="82">
        <v>2.6</v>
      </c>
      <c r="AI64" s="82">
        <v>3</v>
      </c>
      <c r="AJ64" s="84" t="s">
        <v>534</v>
      </c>
      <c r="AK64" s="82" t="s">
        <v>473</v>
      </c>
      <c r="AL64" s="82" t="s">
        <v>473</v>
      </c>
      <c r="AM64" s="82" t="s">
        <v>473</v>
      </c>
      <c r="AN64" s="84" t="s">
        <v>477</v>
      </c>
      <c r="AO64" s="82" t="s">
        <v>535</v>
      </c>
      <c r="AP64" s="86">
        <v>1</v>
      </c>
      <c r="AQ64" s="84" t="s">
        <v>485</v>
      </c>
      <c r="AR64" s="86">
        <v>30</v>
      </c>
      <c r="AS64" s="82"/>
      <c r="AT64" s="86">
        <v>1</v>
      </c>
      <c r="AU64" s="86">
        <v>1</v>
      </c>
      <c r="AV64" s="71" t="s">
        <v>436</v>
      </c>
      <c r="AW64" s="72" t="s">
        <v>312</v>
      </c>
      <c r="AX64" s="72" t="s">
        <v>315</v>
      </c>
      <c r="AY64" s="8">
        <v>4</v>
      </c>
      <c r="AZ64" s="8">
        <v>5</v>
      </c>
      <c r="BA64" s="26">
        <v>0.81799999999999995</v>
      </c>
      <c r="BB64" s="5" t="s">
        <v>20</v>
      </c>
      <c r="BC64" s="72" t="s">
        <v>245</v>
      </c>
      <c r="BD64" s="72" t="s">
        <v>316</v>
      </c>
      <c r="BE64" s="8">
        <v>5</v>
      </c>
      <c r="BF64" s="8">
        <v>5</v>
      </c>
      <c r="BG64" s="8">
        <v>0.84699999999999998</v>
      </c>
      <c r="BH64" s="5" t="s">
        <v>20</v>
      </c>
      <c r="BI64" s="8">
        <v>0</v>
      </c>
      <c r="BJ64" s="26">
        <v>0.36099999999999999</v>
      </c>
      <c r="BK64" s="26">
        <f t="shared" si="13"/>
        <v>454</v>
      </c>
      <c r="BL64" s="26">
        <f t="shared" si="24"/>
        <v>0.36099999999999999</v>
      </c>
      <c r="BM64" s="5">
        <f t="shared" si="2"/>
        <v>0.39914486833337892</v>
      </c>
      <c r="BN64" s="13">
        <f t="shared" si="3"/>
        <v>0.42263133032569905</v>
      </c>
      <c r="BO64" s="8">
        <f t="shared" si="30"/>
        <v>1.6696281744834436E-3</v>
      </c>
      <c r="BP64" s="14">
        <f t="shared" si="6"/>
        <v>1.5601512924057293E-3</v>
      </c>
      <c r="BQ64" s="8">
        <f t="shared" si="31"/>
        <v>2.2172949002217295E-3</v>
      </c>
      <c r="BR64" s="72" t="s">
        <v>317</v>
      </c>
      <c r="BS64" s="1"/>
      <c r="BT64" s="1"/>
    </row>
    <row r="65" spans="1:72" ht="15.75" customHeight="1" x14ac:dyDescent="0.35">
      <c r="A65" s="66">
        <v>31</v>
      </c>
      <c r="B65" s="65" t="s">
        <v>318</v>
      </c>
      <c r="C65" s="66">
        <v>2024</v>
      </c>
      <c r="D65" s="65" t="s">
        <v>319</v>
      </c>
      <c r="E65" s="65" t="s">
        <v>338</v>
      </c>
      <c r="F65" s="67" t="s">
        <v>460</v>
      </c>
      <c r="G65" s="66">
        <v>0</v>
      </c>
      <c r="H65" s="38">
        <v>0</v>
      </c>
      <c r="I65" s="66">
        <v>1</v>
      </c>
      <c r="J65" s="66">
        <v>1</v>
      </c>
      <c r="K65" s="115" t="s">
        <v>468</v>
      </c>
      <c r="L65" s="66">
        <v>0</v>
      </c>
      <c r="M65" s="68" t="s">
        <v>372</v>
      </c>
      <c r="N65" s="66">
        <v>202</v>
      </c>
      <c r="O65" s="66">
        <v>1</v>
      </c>
      <c r="P65" s="65" t="s">
        <v>56</v>
      </c>
      <c r="Q65" s="65" t="s">
        <v>17</v>
      </c>
      <c r="R65" s="69">
        <v>1</v>
      </c>
      <c r="S65" s="69">
        <v>0</v>
      </c>
      <c r="T65" s="69">
        <v>0</v>
      </c>
      <c r="U65" s="69">
        <v>0</v>
      </c>
      <c r="V65" s="69" t="s">
        <v>471</v>
      </c>
      <c r="W65" s="69">
        <v>1</v>
      </c>
      <c r="X65" s="69">
        <v>0</v>
      </c>
      <c r="Y65" s="69">
        <v>0</v>
      </c>
      <c r="Z65" s="69">
        <v>1</v>
      </c>
      <c r="AA65" s="109" t="s">
        <v>620</v>
      </c>
      <c r="AB65" s="102" t="s">
        <v>473</v>
      </c>
      <c r="AC65" s="65" t="s">
        <v>473</v>
      </c>
      <c r="AD65" s="69">
        <v>0</v>
      </c>
      <c r="AE65" s="67" t="s">
        <v>609</v>
      </c>
      <c r="AF65" s="69">
        <v>1</v>
      </c>
      <c r="AG65" s="65" t="s">
        <v>597</v>
      </c>
      <c r="AH65" s="65"/>
      <c r="AI65" s="65"/>
      <c r="AJ65" s="65" t="s">
        <v>597</v>
      </c>
      <c r="AK65" s="65" t="s">
        <v>527</v>
      </c>
      <c r="AL65" s="65" t="s">
        <v>527</v>
      </c>
      <c r="AM65" s="65" t="s">
        <v>527</v>
      </c>
      <c r="AN65" s="65" t="s">
        <v>527</v>
      </c>
      <c r="AO65" s="65" t="s">
        <v>527</v>
      </c>
      <c r="AP65" s="69">
        <v>0</v>
      </c>
      <c r="AQ65" s="65" t="s">
        <v>485</v>
      </c>
      <c r="AR65" s="69">
        <v>30</v>
      </c>
      <c r="AS65" s="65"/>
      <c r="AT65" s="69">
        <v>1</v>
      </c>
      <c r="AU65" s="69">
        <v>0</v>
      </c>
      <c r="AV65" s="71" t="s">
        <v>437</v>
      </c>
      <c r="AW65" s="72" t="s">
        <v>320</v>
      </c>
      <c r="AX65" s="72" t="s">
        <v>321</v>
      </c>
      <c r="AY65" s="8">
        <v>3</v>
      </c>
      <c r="AZ65" s="8">
        <v>5</v>
      </c>
      <c r="BA65" s="26">
        <v>0.876</v>
      </c>
      <c r="BB65" s="5" t="s">
        <v>20</v>
      </c>
      <c r="BC65" s="72" t="s">
        <v>245</v>
      </c>
      <c r="BD65" s="72" t="s">
        <v>322</v>
      </c>
      <c r="BE65" s="8">
        <v>3</v>
      </c>
      <c r="BF65" s="8">
        <v>5</v>
      </c>
      <c r="BG65" s="8">
        <v>0.876</v>
      </c>
      <c r="BH65" s="5" t="s">
        <v>20</v>
      </c>
      <c r="BI65" s="8">
        <v>0</v>
      </c>
      <c r="BJ65" s="26">
        <f>SQRT(0.144)</f>
        <v>0.3794733192202055</v>
      </c>
      <c r="BK65" s="26">
        <f t="shared" si="13"/>
        <v>202</v>
      </c>
      <c r="BL65" s="26">
        <f t="shared" si="24"/>
        <v>0.3794733192202055</v>
      </c>
      <c r="BM65" s="5">
        <f t="shared" si="2"/>
        <v>0.40544242703969158</v>
      </c>
      <c r="BN65" s="13">
        <f t="shared" si="3"/>
        <v>0.43014493639449375</v>
      </c>
      <c r="BO65" s="8">
        <f t="shared" si="30"/>
        <v>3.6454527363184077E-3</v>
      </c>
      <c r="BP65" s="14">
        <f t="shared" si="6"/>
        <v>3.4739046370698581E-3</v>
      </c>
      <c r="BQ65" s="8">
        <f t="shared" si="31"/>
        <v>5.0251256281407036E-3</v>
      </c>
      <c r="BR65" s="72" t="s">
        <v>323</v>
      </c>
      <c r="BS65" s="1"/>
      <c r="BT65" s="1"/>
    </row>
    <row r="66" spans="1:72" ht="15" customHeight="1" x14ac:dyDescent="0.35">
      <c r="A66" s="66">
        <v>32</v>
      </c>
      <c r="B66" s="65" t="s">
        <v>324</v>
      </c>
      <c r="C66" s="66">
        <v>2024</v>
      </c>
      <c r="D66" s="65" t="s">
        <v>325</v>
      </c>
      <c r="E66" s="65" t="s">
        <v>326</v>
      </c>
      <c r="F66" s="67" t="s">
        <v>460</v>
      </c>
      <c r="G66" s="66">
        <v>1</v>
      </c>
      <c r="H66" s="38">
        <v>0</v>
      </c>
      <c r="I66" s="66">
        <v>1</v>
      </c>
      <c r="J66" s="66">
        <v>1</v>
      </c>
      <c r="K66" s="115" t="s">
        <v>468</v>
      </c>
      <c r="L66" s="66">
        <v>0</v>
      </c>
      <c r="M66" s="68" t="s">
        <v>374</v>
      </c>
      <c r="N66" s="66">
        <v>214</v>
      </c>
      <c r="O66" s="66">
        <v>1</v>
      </c>
      <c r="P66" s="65" t="s">
        <v>56</v>
      </c>
      <c r="Q66" s="65" t="s">
        <v>17</v>
      </c>
      <c r="R66" s="69">
        <v>1</v>
      </c>
      <c r="S66" s="69">
        <v>0</v>
      </c>
      <c r="T66" s="69">
        <v>0</v>
      </c>
      <c r="U66" s="69">
        <v>0</v>
      </c>
      <c r="V66" s="69" t="s">
        <v>471</v>
      </c>
      <c r="W66" s="69">
        <v>1</v>
      </c>
      <c r="X66" s="69">
        <v>0</v>
      </c>
      <c r="Y66" s="69">
        <v>0</v>
      </c>
      <c r="Z66" s="69">
        <v>1</v>
      </c>
      <c r="AA66" s="109" t="s">
        <v>620</v>
      </c>
      <c r="AB66" s="102" t="s">
        <v>610</v>
      </c>
      <c r="AC66" s="65" t="s">
        <v>473</v>
      </c>
      <c r="AD66" s="69">
        <v>0</v>
      </c>
      <c r="AE66" s="65" t="s">
        <v>566</v>
      </c>
      <c r="AF66" s="69">
        <v>1</v>
      </c>
      <c r="AG66" s="65" t="s">
        <v>567</v>
      </c>
      <c r="AH66" s="65">
        <v>3.5</v>
      </c>
      <c r="AI66" s="65">
        <v>3</v>
      </c>
      <c r="AJ66" s="65" t="s">
        <v>568</v>
      </c>
      <c r="AK66" s="103" t="s">
        <v>611</v>
      </c>
      <c r="AL66" s="65" t="s">
        <v>473</v>
      </c>
      <c r="AM66" s="67" t="s">
        <v>612</v>
      </c>
      <c r="AN66" s="65" t="s">
        <v>477</v>
      </c>
      <c r="AO66" s="65" t="s">
        <v>569</v>
      </c>
      <c r="AP66" s="69">
        <v>1</v>
      </c>
      <c r="AQ66" s="65" t="s">
        <v>504</v>
      </c>
      <c r="AR66" s="69">
        <v>46</v>
      </c>
      <c r="AS66" s="65"/>
      <c r="AT66" s="69">
        <v>1</v>
      </c>
      <c r="AU66" s="69">
        <v>0</v>
      </c>
      <c r="AV66" s="71" t="s">
        <v>438</v>
      </c>
      <c r="AW66" s="72" t="s">
        <v>57</v>
      </c>
      <c r="AX66" s="72" t="s">
        <v>327</v>
      </c>
      <c r="AY66" s="8">
        <v>3</v>
      </c>
      <c r="AZ66" s="8">
        <v>7</v>
      </c>
      <c r="BA66" s="26">
        <v>0.874</v>
      </c>
      <c r="BB66" s="5" t="s">
        <v>20</v>
      </c>
      <c r="BC66" s="72" t="s">
        <v>328</v>
      </c>
      <c r="BD66" s="72" t="s">
        <v>329</v>
      </c>
      <c r="BE66" s="8">
        <v>3</v>
      </c>
      <c r="BF66" s="8">
        <v>7</v>
      </c>
      <c r="BG66" s="8">
        <v>0.84699999999999998</v>
      </c>
      <c r="BH66" s="5" t="s">
        <v>20</v>
      </c>
      <c r="BI66" s="8">
        <v>0</v>
      </c>
      <c r="BJ66" s="26">
        <v>0.36899999999999999</v>
      </c>
      <c r="BK66" s="26">
        <f t="shared" si="13"/>
        <v>214</v>
      </c>
      <c r="BL66" s="26">
        <f t="shared" si="24"/>
        <v>0.36899999999999999</v>
      </c>
      <c r="BM66" s="5">
        <f t="shared" si="2"/>
        <v>0.39470320222791488</v>
      </c>
      <c r="BN66" s="13">
        <f t="shared" si="3"/>
        <v>0.41735900039570761</v>
      </c>
      <c r="BO66" s="8">
        <f t="shared" si="30"/>
        <v>3.5033700371877937E-3</v>
      </c>
      <c r="BP66" s="14">
        <f t="shared" si="6"/>
        <v>3.3459600042808602E-3</v>
      </c>
      <c r="BQ66" s="8">
        <f t="shared" si="31"/>
        <v>4.7393364928909956E-3</v>
      </c>
      <c r="BR66" s="72" t="s">
        <v>330</v>
      </c>
      <c r="BS66" s="1"/>
      <c r="BT66" s="1"/>
    </row>
    <row r="67" spans="1:72" ht="15.75" customHeight="1" x14ac:dyDescent="0.35">
      <c r="A67" s="66">
        <v>33</v>
      </c>
      <c r="B67" s="65" t="s">
        <v>104</v>
      </c>
      <c r="C67" s="66">
        <v>2018</v>
      </c>
      <c r="D67" s="65" t="s">
        <v>331</v>
      </c>
      <c r="E67" s="65" t="s">
        <v>332</v>
      </c>
      <c r="F67" s="67" t="s">
        <v>460</v>
      </c>
      <c r="G67" s="66">
        <v>1</v>
      </c>
      <c r="H67" s="38">
        <v>0</v>
      </c>
      <c r="I67" s="66">
        <v>1</v>
      </c>
      <c r="J67" s="66">
        <v>1</v>
      </c>
      <c r="K67" s="115" t="s">
        <v>469</v>
      </c>
      <c r="L67" s="70">
        <v>0</v>
      </c>
      <c r="M67" s="68" t="s">
        <v>373</v>
      </c>
      <c r="N67" s="66">
        <v>500</v>
      </c>
      <c r="O67" s="66">
        <v>1</v>
      </c>
      <c r="P67" s="65" t="s">
        <v>56</v>
      </c>
      <c r="Q67" s="65" t="s">
        <v>130</v>
      </c>
      <c r="R67" s="69">
        <v>0</v>
      </c>
      <c r="S67" s="69">
        <v>0</v>
      </c>
      <c r="T67" s="69">
        <v>0</v>
      </c>
      <c r="U67" s="69">
        <v>1</v>
      </c>
      <c r="V67" s="69" t="s">
        <v>442</v>
      </c>
      <c r="W67" s="69">
        <v>0</v>
      </c>
      <c r="X67" s="69">
        <v>0</v>
      </c>
      <c r="Y67" s="69">
        <v>1</v>
      </c>
      <c r="Z67" s="69">
        <v>1</v>
      </c>
      <c r="AA67" s="109" t="s">
        <v>620</v>
      </c>
      <c r="AB67" s="65" t="s">
        <v>473</v>
      </c>
      <c r="AC67" s="67" t="s">
        <v>473</v>
      </c>
      <c r="AD67" s="69">
        <v>0</v>
      </c>
      <c r="AE67" s="65" t="s">
        <v>473</v>
      </c>
      <c r="AF67" s="70">
        <v>0</v>
      </c>
      <c r="AG67" s="67" t="s">
        <v>613</v>
      </c>
      <c r="AH67" s="67">
        <v>2.2999999999999998</v>
      </c>
      <c r="AI67" s="67">
        <v>2.6</v>
      </c>
      <c r="AJ67" s="65" t="s">
        <v>570</v>
      </c>
      <c r="AK67" s="67" t="s">
        <v>527</v>
      </c>
      <c r="AL67" s="67" t="s">
        <v>527</v>
      </c>
      <c r="AM67" s="67" t="s">
        <v>527</v>
      </c>
      <c r="AN67" s="67" t="s">
        <v>527</v>
      </c>
      <c r="AO67" s="67" t="s">
        <v>527</v>
      </c>
      <c r="AP67" s="70">
        <v>0</v>
      </c>
      <c r="AQ67" s="67" t="s">
        <v>614</v>
      </c>
      <c r="AR67" s="69">
        <v>65</v>
      </c>
      <c r="AS67" s="67"/>
      <c r="AT67" s="69">
        <v>1</v>
      </c>
      <c r="AU67" s="69">
        <v>1</v>
      </c>
      <c r="AV67" s="71" t="s">
        <v>439</v>
      </c>
      <c r="AW67" s="72" t="s">
        <v>333</v>
      </c>
      <c r="AX67" s="72" t="s">
        <v>334</v>
      </c>
      <c r="AY67" s="8">
        <v>4</v>
      </c>
      <c r="AZ67" s="8">
        <v>7</v>
      </c>
      <c r="BA67" s="26">
        <v>0.92</v>
      </c>
      <c r="BB67" s="16" t="s">
        <v>32</v>
      </c>
      <c r="BC67" s="72" t="s">
        <v>335</v>
      </c>
      <c r="BD67" s="72" t="s">
        <v>336</v>
      </c>
      <c r="BE67" s="8">
        <v>3</v>
      </c>
      <c r="BF67" s="8">
        <v>7</v>
      </c>
      <c r="BG67" s="8">
        <v>0.94</v>
      </c>
      <c r="BH67" s="72" t="s">
        <v>32</v>
      </c>
      <c r="BI67" s="8">
        <v>0</v>
      </c>
      <c r="BJ67" s="26">
        <f>SQRT(0.27)</f>
        <v>0.51961524227066325</v>
      </c>
      <c r="BK67" s="26">
        <f t="shared" si="13"/>
        <v>500</v>
      </c>
      <c r="BL67" s="26">
        <f>SQRT(0.27)</f>
        <v>0.51961524227066325</v>
      </c>
      <c r="BM67" s="5">
        <f t="shared" ref="BM67" si="32">(BL67/SQRT(BA67))</f>
        <v>0.5417363388859614</v>
      </c>
      <c r="BN67" s="13">
        <f t="shared" ref="BN67" si="33">0.5*LN((1+BM67)/(1-BM67))</f>
        <v>0.60660992764271082</v>
      </c>
      <c r="BO67" s="8">
        <f t="shared" si="30"/>
        <v>1.0679358717434867E-3</v>
      </c>
      <c r="BP67" s="14">
        <f t="shared" ref="BP67" si="34">((1-(BM67)^2)^2)/(BK67-1)</f>
        <v>1.00034662898576E-3</v>
      </c>
      <c r="BQ67" s="8">
        <f t="shared" si="31"/>
        <v>2.012072434607646E-3</v>
      </c>
      <c r="BR67" s="72" t="s">
        <v>337</v>
      </c>
      <c r="BS67" s="1"/>
      <c r="BT67" s="1"/>
    </row>
    <row r="68" spans="1:72" ht="15.75" customHeight="1" x14ac:dyDescent="0.35">
      <c r="A68" s="8"/>
      <c r="B68" s="8"/>
      <c r="C68" s="8"/>
      <c r="D68" s="8"/>
      <c r="E68" s="8"/>
      <c r="F68" s="8"/>
      <c r="G68" s="26"/>
      <c r="H68" s="26"/>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1"/>
      <c r="BT68" s="1"/>
    </row>
    <row r="69" spans="1:72" ht="15.75" customHeight="1" x14ac:dyDescent="0.35">
      <c r="A69" s="8"/>
      <c r="B69" s="8"/>
      <c r="C69" s="8"/>
      <c r="D69" s="8"/>
      <c r="E69" s="8"/>
      <c r="F69" s="8"/>
      <c r="G69" s="26"/>
      <c r="H69" s="26"/>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1"/>
      <c r="BT69" s="1"/>
    </row>
    <row r="70" spans="1:72" ht="15.75" customHeight="1" x14ac:dyDescent="0.35">
      <c r="A70" s="8"/>
      <c r="B70" s="8"/>
      <c r="C70" s="8"/>
      <c r="D70" s="8"/>
      <c r="E70" s="8"/>
      <c r="F70" s="8"/>
      <c r="G70" s="26"/>
      <c r="H70" s="26"/>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1"/>
      <c r="BT70" s="1"/>
    </row>
    <row r="71" spans="1:72" ht="15.75" customHeight="1" x14ac:dyDescent="0.35">
      <c r="A71" s="8"/>
      <c r="B71" s="8"/>
      <c r="C71" s="8"/>
      <c r="D71" s="8"/>
      <c r="E71" s="8"/>
      <c r="F71" s="8"/>
      <c r="G71" s="26"/>
      <c r="H71" s="26"/>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1"/>
      <c r="BT71" s="1"/>
    </row>
    <row r="72" spans="1:72" ht="15.75" customHeight="1" x14ac:dyDescent="0.35">
      <c r="A72" s="8"/>
      <c r="B72" s="8"/>
      <c r="C72" s="8"/>
      <c r="D72" s="8"/>
      <c r="E72" s="8"/>
      <c r="F72" s="8"/>
      <c r="G72" s="26"/>
      <c r="H72" s="26"/>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1"/>
      <c r="BT72" s="1"/>
    </row>
    <row r="73" spans="1:72" ht="15.75" customHeight="1" x14ac:dyDescent="0.35">
      <c r="A73" s="8"/>
      <c r="B73" s="8"/>
      <c r="C73" s="8"/>
      <c r="D73" s="8"/>
      <c r="E73" s="8"/>
      <c r="F73" s="8"/>
      <c r="G73" s="26"/>
      <c r="H73" s="26"/>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1"/>
      <c r="BT73" s="1"/>
    </row>
    <row r="74" spans="1:72" ht="15.75" customHeight="1" x14ac:dyDescent="0.35">
      <c r="A74" s="8"/>
      <c r="B74" s="8"/>
      <c r="C74" s="8"/>
      <c r="D74" s="8"/>
      <c r="E74" s="8"/>
      <c r="F74" s="8"/>
      <c r="G74" s="26"/>
      <c r="H74" s="26"/>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1"/>
      <c r="BT74" s="1"/>
    </row>
    <row r="75" spans="1:72" ht="15.75" customHeight="1" x14ac:dyDescent="0.35">
      <c r="A75" s="8"/>
      <c r="B75" s="8"/>
      <c r="C75" s="8"/>
      <c r="D75" s="8"/>
      <c r="E75" s="8"/>
      <c r="F75" s="8"/>
      <c r="G75" s="26"/>
      <c r="H75" s="26"/>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1"/>
      <c r="BT75" s="1"/>
    </row>
    <row r="76" spans="1:72" ht="15.75" customHeight="1" x14ac:dyDescent="0.35">
      <c r="A76" s="8"/>
      <c r="B76" s="8"/>
      <c r="C76" s="8"/>
      <c r="D76" s="8"/>
      <c r="E76" s="8"/>
      <c r="F76" s="8"/>
      <c r="G76" s="26"/>
      <c r="H76" s="26"/>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1"/>
      <c r="BT76" s="1"/>
    </row>
    <row r="77" spans="1:72" ht="15.75" customHeight="1" x14ac:dyDescent="0.35">
      <c r="A77" s="8"/>
      <c r="B77" s="8"/>
      <c r="C77" s="8"/>
      <c r="D77" s="8"/>
      <c r="E77" s="8"/>
      <c r="F77" s="8"/>
      <c r="G77" s="26"/>
      <c r="H77" s="26"/>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1"/>
      <c r="BT77" s="1"/>
    </row>
    <row r="78" spans="1:72" ht="15.75" customHeight="1" x14ac:dyDescent="0.35">
      <c r="A78" s="8"/>
      <c r="B78" s="8"/>
      <c r="C78" s="8"/>
      <c r="D78" s="8"/>
      <c r="E78" s="8"/>
      <c r="F78" s="8"/>
      <c r="G78" s="26"/>
      <c r="H78" s="26"/>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1"/>
      <c r="BT78" s="1"/>
    </row>
    <row r="79" spans="1:72" ht="15.75" customHeight="1" x14ac:dyDescent="0.35">
      <c r="A79" s="8"/>
      <c r="B79" s="8"/>
      <c r="C79" s="8"/>
      <c r="D79" s="8"/>
      <c r="E79" s="8"/>
      <c r="F79" s="8"/>
      <c r="G79" s="26"/>
      <c r="H79" s="26"/>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1"/>
      <c r="BT79" s="1"/>
    </row>
    <row r="80" spans="1:72" ht="15.75" customHeight="1" x14ac:dyDescent="0.35">
      <c r="A80" s="8"/>
      <c r="B80" s="8"/>
      <c r="C80" s="8"/>
      <c r="D80" s="8"/>
      <c r="E80" s="8"/>
      <c r="F80" s="8"/>
      <c r="G80" s="26"/>
      <c r="H80" s="26"/>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1"/>
      <c r="BT80" s="1"/>
    </row>
    <row r="81" spans="1:72" ht="15.75" customHeight="1" x14ac:dyDescent="0.35">
      <c r="A81" s="8"/>
      <c r="B81" s="8"/>
      <c r="C81" s="8"/>
      <c r="D81" s="8"/>
      <c r="E81" s="8"/>
      <c r="F81" s="8"/>
      <c r="G81" s="26"/>
      <c r="H81" s="26"/>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1"/>
      <c r="BT81" s="1"/>
    </row>
    <row r="82" spans="1:72" ht="15.75" customHeight="1" x14ac:dyDescent="0.35">
      <c r="A82" s="8"/>
      <c r="B82" s="8"/>
      <c r="C82" s="8"/>
      <c r="D82" s="8"/>
      <c r="E82" s="8"/>
      <c r="F82" s="8"/>
      <c r="G82" s="26"/>
      <c r="H82" s="26"/>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1"/>
      <c r="BT82" s="1"/>
    </row>
    <row r="83" spans="1:72" ht="15.75" customHeight="1" x14ac:dyDescent="0.35">
      <c r="A83" s="8"/>
      <c r="B83" s="8"/>
      <c r="C83" s="8"/>
      <c r="D83" s="8"/>
      <c r="E83" s="8"/>
      <c r="F83" s="8"/>
      <c r="G83" s="26"/>
      <c r="H83" s="26"/>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1"/>
      <c r="BT83" s="1"/>
    </row>
    <row r="84" spans="1:72" ht="15.75" customHeight="1" x14ac:dyDescent="0.35">
      <c r="A84" s="8"/>
      <c r="B84" s="8"/>
      <c r="C84" s="8"/>
      <c r="D84" s="8"/>
      <c r="E84" s="8"/>
      <c r="F84" s="8"/>
      <c r="G84" s="26"/>
      <c r="H84" s="26"/>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1"/>
      <c r="BT84" s="1"/>
    </row>
    <row r="85" spans="1:72" ht="15.75" customHeight="1" x14ac:dyDescent="0.35">
      <c r="A85" s="8"/>
      <c r="B85" s="8"/>
      <c r="C85" s="8"/>
      <c r="D85" s="8"/>
      <c r="E85" s="8"/>
      <c r="F85" s="8"/>
      <c r="G85" s="26"/>
      <c r="H85" s="26"/>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1"/>
      <c r="BT85" s="1"/>
    </row>
    <row r="86" spans="1:72" ht="15.75" customHeight="1" x14ac:dyDescent="0.35">
      <c r="A86" s="8"/>
      <c r="B86" s="8"/>
      <c r="C86" s="8"/>
      <c r="D86" s="8"/>
      <c r="E86" s="8"/>
      <c r="F86" s="8"/>
      <c r="G86" s="26"/>
      <c r="H86" s="26"/>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1"/>
      <c r="BT86" s="1"/>
    </row>
    <row r="87" spans="1:72" ht="15.75" customHeight="1" x14ac:dyDescent="0.35">
      <c r="A87" s="8"/>
      <c r="B87" s="8"/>
      <c r="C87" s="8"/>
      <c r="D87" s="8"/>
      <c r="E87" s="8"/>
      <c r="F87" s="8"/>
      <c r="G87" s="26"/>
      <c r="H87" s="26"/>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1"/>
      <c r="BT87" s="1"/>
    </row>
    <row r="88" spans="1:72" ht="15.75" customHeight="1" x14ac:dyDescent="0.35">
      <c r="A88" s="8"/>
      <c r="B88" s="8"/>
      <c r="C88" s="8"/>
      <c r="D88" s="8"/>
      <c r="E88" s="8"/>
      <c r="F88" s="8"/>
      <c r="G88" s="26"/>
      <c r="H88" s="26"/>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1"/>
      <c r="BT88" s="1"/>
    </row>
    <row r="89" spans="1:72" ht="15.75" customHeight="1" x14ac:dyDescent="0.35">
      <c r="A89" s="8"/>
      <c r="B89" s="8"/>
      <c r="C89" s="8"/>
      <c r="D89" s="8"/>
      <c r="E89" s="8"/>
      <c r="F89" s="8"/>
      <c r="G89" s="26"/>
      <c r="H89" s="26"/>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1"/>
      <c r="BT89" s="1"/>
    </row>
    <row r="90" spans="1:72" ht="15.75" customHeight="1" x14ac:dyDescent="0.35">
      <c r="A90" s="8"/>
      <c r="B90" s="8"/>
      <c r="C90" s="8"/>
      <c r="D90" s="8"/>
      <c r="E90" s="8"/>
      <c r="F90" s="8"/>
      <c r="G90" s="26"/>
      <c r="H90" s="26"/>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1"/>
      <c r="BT90" s="1"/>
    </row>
    <row r="91" spans="1:72" ht="15.75" customHeight="1" x14ac:dyDescent="0.35">
      <c r="A91" s="8"/>
      <c r="B91" s="8"/>
      <c r="C91" s="8"/>
      <c r="D91" s="8"/>
      <c r="E91" s="8"/>
      <c r="F91" s="8"/>
      <c r="G91" s="26"/>
      <c r="H91" s="26"/>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1"/>
      <c r="BT91" s="1"/>
    </row>
    <row r="92" spans="1:72" ht="15.75" customHeight="1" x14ac:dyDescent="0.35">
      <c r="A92" s="8"/>
      <c r="B92" s="8"/>
      <c r="C92" s="8"/>
      <c r="D92" s="8"/>
      <c r="E92" s="8"/>
      <c r="F92" s="8"/>
      <c r="G92" s="26"/>
      <c r="H92" s="26"/>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1"/>
      <c r="BT92" s="1"/>
    </row>
    <row r="93" spans="1:72" ht="15.75" customHeight="1" x14ac:dyDescent="0.35">
      <c r="A93" s="8"/>
      <c r="B93" s="8"/>
      <c r="C93" s="8"/>
      <c r="D93" s="8"/>
      <c r="E93" s="8"/>
      <c r="F93" s="8"/>
      <c r="G93" s="26"/>
      <c r="H93" s="26"/>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1"/>
      <c r="BT93" s="1"/>
    </row>
    <row r="94" spans="1:72" ht="15.75" customHeight="1" x14ac:dyDescent="0.35">
      <c r="A94" s="8"/>
      <c r="B94" s="8"/>
      <c r="C94" s="8"/>
      <c r="D94" s="8"/>
      <c r="E94" s="8"/>
      <c r="F94" s="8"/>
      <c r="G94" s="26"/>
      <c r="H94" s="26"/>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1"/>
      <c r="BT94" s="1"/>
    </row>
    <row r="95" spans="1:72" ht="15.75" customHeight="1" x14ac:dyDescent="0.35">
      <c r="A95" s="8"/>
      <c r="B95" s="8"/>
      <c r="C95" s="8"/>
      <c r="D95" s="8"/>
      <c r="E95" s="8"/>
      <c r="F95" s="8"/>
      <c r="G95" s="26"/>
      <c r="H95" s="26"/>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1"/>
      <c r="BT95" s="1"/>
    </row>
    <row r="96" spans="1:72" ht="15.75" customHeight="1" x14ac:dyDescent="0.35">
      <c r="A96" s="8"/>
      <c r="B96" s="8"/>
      <c r="C96" s="8"/>
      <c r="D96" s="8"/>
      <c r="E96" s="8"/>
      <c r="F96" s="8"/>
      <c r="G96" s="26"/>
      <c r="H96" s="26"/>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1"/>
      <c r="BT96" s="1"/>
    </row>
    <row r="97" spans="1:72" ht="15.75" customHeight="1" x14ac:dyDescent="0.35">
      <c r="A97" s="8"/>
      <c r="B97" s="8"/>
      <c r="C97" s="8"/>
      <c r="D97" s="8"/>
      <c r="E97" s="8"/>
      <c r="F97" s="8"/>
      <c r="G97" s="26"/>
      <c r="H97" s="26"/>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1"/>
      <c r="BT97" s="1"/>
    </row>
    <row r="98" spans="1:72" ht="15.75" customHeight="1" x14ac:dyDescent="0.35">
      <c r="A98" s="8"/>
      <c r="B98" s="8"/>
      <c r="C98" s="8"/>
      <c r="D98" s="8"/>
      <c r="E98" s="8"/>
      <c r="F98" s="8"/>
      <c r="G98" s="26"/>
      <c r="H98" s="26"/>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1"/>
      <c r="BT98" s="1"/>
    </row>
    <row r="99" spans="1:72" ht="15.75" customHeight="1" x14ac:dyDescent="0.35">
      <c r="A99" s="8"/>
      <c r="B99" s="8"/>
      <c r="C99" s="8"/>
      <c r="D99" s="8"/>
      <c r="E99" s="8"/>
      <c r="F99" s="8"/>
      <c r="G99" s="26"/>
      <c r="H99" s="26"/>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1"/>
      <c r="BT99" s="1"/>
    </row>
    <row r="100" spans="1:72" ht="15.75" customHeight="1" x14ac:dyDescent="0.35">
      <c r="A100" s="8"/>
      <c r="B100" s="8"/>
      <c r="C100" s="8"/>
      <c r="D100" s="8"/>
      <c r="E100" s="8"/>
      <c r="F100" s="8"/>
      <c r="G100" s="26"/>
      <c r="H100" s="26"/>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1"/>
      <c r="BT100" s="1"/>
    </row>
    <row r="101" spans="1:72" ht="15.75" customHeight="1" x14ac:dyDescent="0.35">
      <c r="A101" s="8"/>
      <c r="B101" s="8"/>
      <c r="C101" s="8"/>
      <c r="D101" s="8"/>
      <c r="E101" s="8"/>
      <c r="F101" s="8"/>
      <c r="G101" s="26"/>
      <c r="H101" s="26"/>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1"/>
      <c r="BT101" s="1"/>
    </row>
    <row r="102" spans="1:72" ht="15.75" customHeight="1" x14ac:dyDescent="0.35">
      <c r="A102" s="8"/>
      <c r="B102" s="8"/>
      <c r="C102" s="8"/>
      <c r="D102" s="8"/>
      <c r="E102" s="8"/>
      <c r="F102" s="8"/>
      <c r="G102" s="26"/>
      <c r="H102" s="26"/>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1"/>
      <c r="BT102" s="1"/>
    </row>
    <row r="103" spans="1:72" ht="15.75" customHeight="1" x14ac:dyDescent="0.35">
      <c r="A103" s="8"/>
      <c r="B103" s="8"/>
      <c r="C103" s="8"/>
      <c r="D103" s="8"/>
      <c r="E103" s="8"/>
      <c r="F103" s="8"/>
      <c r="G103" s="26"/>
      <c r="H103" s="26"/>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1"/>
      <c r="BT103" s="1"/>
    </row>
    <row r="104" spans="1:72" ht="15.75" customHeight="1" x14ac:dyDescent="0.35">
      <c r="A104" s="8"/>
      <c r="B104" s="8"/>
      <c r="C104" s="8"/>
      <c r="D104" s="8"/>
      <c r="E104" s="8"/>
      <c r="F104" s="8"/>
      <c r="G104" s="26"/>
      <c r="H104" s="26"/>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1"/>
      <c r="BT104" s="1"/>
    </row>
    <row r="105" spans="1:72" ht="15.75" customHeight="1" x14ac:dyDescent="0.35">
      <c r="A105" s="8"/>
      <c r="B105" s="8"/>
      <c r="C105" s="8"/>
      <c r="D105" s="8"/>
      <c r="E105" s="8"/>
      <c r="F105" s="8"/>
      <c r="G105" s="26"/>
      <c r="H105" s="26"/>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1"/>
      <c r="BT105" s="1"/>
    </row>
    <row r="106" spans="1:72" ht="15.75" customHeight="1" x14ac:dyDescent="0.35">
      <c r="A106" s="8"/>
      <c r="B106" s="8"/>
      <c r="C106" s="8"/>
      <c r="D106" s="8"/>
      <c r="E106" s="8"/>
      <c r="F106" s="8"/>
      <c r="G106" s="26"/>
      <c r="H106" s="26"/>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1"/>
      <c r="BT106" s="1"/>
    </row>
    <row r="107" spans="1:72" ht="15.75" customHeight="1" x14ac:dyDescent="0.35">
      <c r="A107" s="8"/>
      <c r="B107" s="8"/>
      <c r="C107" s="8"/>
      <c r="D107" s="8"/>
      <c r="E107" s="8"/>
      <c r="F107" s="8"/>
      <c r="G107" s="26"/>
      <c r="H107" s="26"/>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1"/>
      <c r="BT107" s="1"/>
    </row>
    <row r="108" spans="1:72" ht="15.75" customHeight="1" x14ac:dyDescent="0.35">
      <c r="A108" s="8"/>
      <c r="B108" s="8"/>
      <c r="C108" s="8"/>
      <c r="D108" s="8"/>
      <c r="E108" s="8"/>
      <c r="F108" s="8"/>
      <c r="G108" s="26"/>
      <c r="H108" s="26"/>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1"/>
      <c r="BT108" s="1"/>
    </row>
    <row r="109" spans="1:72" ht="15.75" customHeight="1" x14ac:dyDescent="0.35">
      <c r="A109" s="8"/>
      <c r="B109" s="8"/>
      <c r="C109" s="8"/>
      <c r="D109" s="8"/>
      <c r="E109" s="8"/>
      <c r="F109" s="8"/>
      <c r="G109" s="26"/>
      <c r="H109" s="26"/>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1"/>
      <c r="BT109" s="1"/>
    </row>
    <row r="110" spans="1:72" ht="15.75" customHeight="1" x14ac:dyDescent="0.35">
      <c r="A110" s="8"/>
      <c r="B110" s="8"/>
      <c r="C110" s="8"/>
      <c r="D110" s="8"/>
      <c r="E110" s="8"/>
      <c r="F110" s="8"/>
      <c r="G110" s="26"/>
      <c r="H110" s="26"/>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1"/>
      <c r="BT110" s="1"/>
    </row>
    <row r="111" spans="1:72" ht="15.75" customHeight="1" x14ac:dyDescent="0.35">
      <c r="A111" s="8"/>
      <c r="B111" s="8"/>
      <c r="C111" s="8"/>
      <c r="D111" s="8"/>
      <c r="E111" s="8"/>
      <c r="F111" s="8"/>
      <c r="G111" s="26"/>
      <c r="H111" s="26"/>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1"/>
      <c r="BT111" s="1"/>
    </row>
    <row r="112" spans="1:72" ht="15.75" customHeight="1" x14ac:dyDescent="0.35">
      <c r="A112" s="8"/>
      <c r="B112" s="8"/>
      <c r="C112" s="8"/>
      <c r="D112" s="8"/>
      <c r="E112" s="8"/>
      <c r="F112" s="8"/>
      <c r="G112" s="26"/>
      <c r="H112" s="26"/>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1"/>
      <c r="BT112" s="1"/>
    </row>
    <row r="113" spans="1:72" ht="15.75" customHeight="1" x14ac:dyDescent="0.35">
      <c r="A113" s="8"/>
      <c r="B113" s="8"/>
      <c r="C113" s="8"/>
      <c r="D113" s="8"/>
      <c r="E113" s="8"/>
      <c r="F113" s="8"/>
      <c r="G113" s="26"/>
      <c r="H113" s="26"/>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1"/>
      <c r="BT113" s="1"/>
    </row>
    <row r="114" spans="1:72" ht="15.75" customHeight="1" x14ac:dyDescent="0.35">
      <c r="A114" s="8"/>
      <c r="B114" s="8"/>
      <c r="C114" s="8"/>
      <c r="D114" s="8"/>
      <c r="E114" s="8"/>
      <c r="F114" s="8"/>
      <c r="G114" s="26"/>
      <c r="H114" s="26"/>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1"/>
      <c r="BT114" s="1"/>
    </row>
    <row r="115" spans="1:72" ht="15.75" customHeight="1" x14ac:dyDescent="0.35">
      <c r="A115" s="8"/>
      <c r="B115" s="8"/>
      <c r="C115" s="8"/>
      <c r="D115" s="8"/>
      <c r="E115" s="8"/>
      <c r="F115" s="8"/>
      <c r="G115" s="26"/>
      <c r="H115" s="26"/>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1"/>
      <c r="BT115" s="1"/>
    </row>
    <row r="116" spans="1:72" ht="15.75" customHeight="1" x14ac:dyDescent="0.35">
      <c r="A116" s="8"/>
      <c r="B116" s="8"/>
      <c r="C116" s="8"/>
      <c r="D116" s="8"/>
      <c r="E116" s="8"/>
      <c r="F116" s="8"/>
      <c r="G116" s="26"/>
      <c r="H116" s="26"/>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1"/>
      <c r="BT116" s="1"/>
    </row>
    <row r="117" spans="1:72" ht="15.75" customHeight="1" x14ac:dyDescent="0.35">
      <c r="A117" s="8"/>
      <c r="B117" s="8"/>
      <c r="C117" s="8"/>
      <c r="D117" s="8"/>
      <c r="E117" s="8"/>
      <c r="F117" s="8"/>
      <c r="G117" s="26"/>
      <c r="H117" s="26"/>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1"/>
      <c r="BT117" s="1"/>
    </row>
    <row r="118" spans="1:72" ht="15.75" customHeight="1" x14ac:dyDescent="0.35">
      <c r="A118" s="8"/>
      <c r="B118" s="8"/>
      <c r="C118" s="8"/>
      <c r="D118" s="8"/>
      <c r="E118" s="8"/>
      <c r="F118" s="8"/>
      <c r="G118" s="26"/>
      <c r="H118" s="26"/>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1"/>
      <c r="BT118" s="1"/>
    </row>
    <row r="119" spans="1:72" ht="15.75" customHeight="1" x14ac:dyDescent="0.35">
      <c r="A119" s="8"/>
      <c r="B119" s="8"/>
      <c r="C119" s="8"/>
      <c r="D119" s="8"/>
      <c r="E119" s="8"/>
      <c r="F119" s="8"/>
      <c r="G119" s="26"/>
      <c r="H119" s="26"/>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1"/>
      <c r="BT119" s="1"/>
    </row>
    <row r="120" spans="1:72" ht="15.75" customHeight="1" x14ac:dyDescent="0.35">
      <c r="A120" s="8"/>
      <c r="B120" s="8"/>
      <c r="C120" s="8"/>
      <c r="D120" s="8"/>
      <c r="E120" s="8"/>
      <c r="F120" s="8"/>
      <c r="G120" s="26"/>
      <c r="H120" s="26"/>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1"/>
      <c r="BT120" s="1"/>
    </row>
    <row r="121" spans="1:72" ht="15.75" customHeight="1" x14ac:dyDescent="0.35">
      <c r="A121" s="8"/>
      <c r="B121" s="8"/>
      <c r="C121" s="8"/>
      <c r="D121" s="8"/>
      <c r="E121" s="8"/>
      <c r="F121" s="8"/>
      <c r="G121" s="26"/>
      <c r="H121" s="26"/>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1"/>
      <c r="BT121" s="1"/>
    </row>
    <row r="122" spans="1:72" ht="15.75" customHeight="1" x14ac:dyDescent="0.35">
      <c r="A122" s="8"/>
      <c r="B122" s="8"/>
      <c r="C122" s="8"/>
      <c r="D122" s="8"/>
      <c r="E122" s="8"/>
      <c r="F122" s="8"/>
      <c r="G122" s="26"/>
      <c r="H122" s="26"/>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1"/>
      <c r="BT122" s="1"/>
    </row>
    <row r="123" spans="1:72" ht="15.75" customHeight="1" x14ac:dyDescent="0.35">
      <c r="A123" s="8"/>
      <c r="B123" s="8"/>
      <c r="C123" s="8"/>
      <c r="D123" s="8"/>
      <c r="E123" s="8"/>
      <c r="F123" s="8"/>
      <c r="G123" s="26"/>
      <c r="H123" s="26"/>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1"/>
      <c r="BT123" s="1"/>
    </row>
    <row r="124" spans="1:72" ht="15.75" customHeight="1" x14ac:dyDescent="0.35">
      <c r="A124" s="8"/>
      <c r="B124" s="8"/>
      <c r="C124" s="8"/>
      <c r="D124" s="8"/>
      <c r="E124" s="8"/>
      <c r="F124" s="8"/>
      <c r="G124" s="26"/>
      <c r="H124" s="26"/>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1"/>
      <c r="BT124" s="1"/>
    </row>
    <row r="125" spans="1:72" ht="15.75" customHeight="1" x14ac:dyDescent="0.35">
      <c r="A125" s="8"/>
      <c r="B125" s="8"/>
      <c r="C125" s="8"/>
      <c r="D125" s="8"/>
      <c r="E125" s="8"/>
      <c r="F125" s="8"/>
      <c r="G125" s="26"/>
      <c r="H125" s="26"/>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1"/>
      <c r="BT125" s="1"/>
    </row>
    <row r="126" spans="1:72" ht="15.75" customHeight="1" x14ac:dyDescent="0.35">
      <c r="A126" s="8"/>
      <c r="B126" s="8"/>
      <c r="C126" s="8"/>
      <c r="D126" s="8"/>
      <c r="E126" s="8"/>
      <c r="F126" s="8"/>
      <c r="G126" s="26"/>
      <c r="H126" s="26"/>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1"/>
      <c r="BT126" s="1"/>
    </row>
    <row r="127" spans="1:72" ht="15.75" customHeight="1" x14ac:dyDescent="0.35">
      <c r="A127" s="8"/>
      <c r="B127" s="8"/>
      <c r="C127" s="8"/>
      <c r="D127" s="8"/>
      <c r="E127" s="8"/>
      <c r="F127" s="8"/>
      <c r="G127" s="26"/>
      <c r="H127" s="26"/>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1"/>
      <c r="BT127" s="1"/>
    </row>
    <row r="128" spans="1:72" ht="15.75" customHeight="1" x14ac:dyDescent="0.35">
      <c r="A128" s="8"/>
      <c r="B128" s="8"/>
      <c r="C128" s="8"/>
      <c r="D128" s="8"/>
      <c r="E128" s="8"/>
      <c r="F128" s="8"/>
      <c r="G128" s="26"/>
      <c r="H128" s="26"/>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1"/>
      <c r="BT128" s="1"/>
    </row>
    <row r="129" spans="1:72" ht="15.75" customHeight="1" x14ac:dyDescent="0.35">
      <c r="A129" s="8"/>
      <c r="B129" s="8"/>
      <c r="C129" s="8"/>
      <c r="D129" s="8"/>
      <c r="E129" s="8"/>
      <c r="F129" s="8"/>
      <c r="G129" s="26"/>
      <c r="H129" s="26"/>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1"/>
      <c r="BT129" s="1"/>
    </row>
    <row r="130" spans="1:72" ht="15.75" customHeight="1" x14ac:dyDescent="0.35">
      <c r="A130" s="8"/>
      <c r="B130" s="8"/>
      <c r="C130" s="8"/>
      <c r="D130" s="8"/>
      <c r="E130" s="8"/>
      <c r="F130" s="8"/>
      <c r="G130" s="26"/>
      <c r="H130" s="26"/>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1"/>
      <c r="BT130" s="1"/>
    </row>
    <row r="131" spans="1:72" ht="15.75" customHeight="1" x14ac:dyDescent="0.35">
      <c r="A131" s="8"/>
      <c r="B131" s="8"/>
      <c r="C131" s="8"/>
      <c r="D131" s="8"/>
      <c r="E131" s="8"/>
      <c r="F131" s="8"/>
      <c r="G131" s="26"/>
      <c r="H131" s="26"/>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1"/>
      <c r="BT131" s="1"/>
    </row>
    <row r="132" spans="1:72" ht="15.75" customHeight="1" x14ac:dyDescent="0.35">
      <c r="A132" s="8"/>
      <c r="B132" s="8"/>
      <c r="C132" s="8"/>
      <c r="D132" s="8"/>
      <c r="E132" s="8"/>
      <c r="F132" s="8"/>
      <c r="G132" s="26"/>
      <c r="H132" s="26"/>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1"/>
      <c r="BT132" s="1"/>
    </row>
    <row r="133" spans="1:72" ht="15.75" customHeight="1" x14ac:dyDescent="0.35">
      <c r="A133" s="8"/>
      <c r="B133" s="8"/>
      <c r="C133" s="8"/>
      <c r="D133" s="8"/>
      <c r="E133" s="8"/>
      <c r="F133" s="8"/>
      <c r="G133" s="26"/>
      <c r="H133" s="26"/>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1"/>
      <c r="BT133" s="1"/>
    </row>
    <row r="134" spans="1:72" ht="15.75" customHeight="1" x14ac:dyDescent="0.35">
      <c r="A134" s="8"/>
      <c r="B134" s="8"/>
      <c r="C134" s="8"/>
      <c r="D134" s="8"/>
      <c r="E134" s="8"/>
      <c r="F134" s="8"/>
      <c r="G134" s="26"/>
      <c r="H134" s="26"/>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1"/>
      <c r="BT134" s="1"/>
    </row>
    <row r="135" spans="1:72" ht="15.75" customHeight="1" x14ac:dyDescent="0.35">
      <c r="A135" s="8"/>
      <c r="B135" s="8"/>
      <c r="C135" s="8"/>
      <c r="D135" s="8"/>
      <c r="E135" s="8"/>
      <c r="F135" s="8"/>
      <c r="G135" s="26"/>
      <c r="H135" s="26"/>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1"/>
      <c r="BT135" s="1"/>
    </row>
    <row r="136" spans="1:72" ht="15.75" customHeight="1" x14ac:dyDescent="0.35">
      <c r="A136" s="8"/>
      <c r="B136" s="8"/>
      <c r="C136" s="8"/>
      <c r="D136" s="8"/>
      <c r="E136" s="8"/>
      <c r="F136" s="8"/>
      <c r="G136" s="26"/>
      <c r="H136" s="26"/>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1"/>
      <c r="BT136" s="1"/>
    </row>
    <row r="137" spans="1:72" ht="15.75" customHeight="1" x14ac:dyDescent="0.35">
      <c r="A137" s="8"/>
      <c r="B137" s="8"/>
      <c r="C137" s="8"/>
      <c r="D137" s="8"/>
      <c r="E137" s="8"/>
      <c r="F137" s="8"/>
      <c r="G137" s="26"/>
      <c r="H137" s="26"/>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1"/>
      <c r="BT137" s="1"/>
    </row>
    <row r="138" spans="1:72" ht="15.75" customHeight="1" x14ac:dyDescent="0.35">
      <c r="A138" s="8"/>
      <c r="B138" s="8"/>
      <c r="C138" s="8"/>
      <c r="D138" s="8"/>
      <c r="E138" s="8"/>
      <c r="F138" s="8"/>
      <c r="G138" s="26"/>
      <c r="H138" s="26"/>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1"/>
      <c r="BT138" s="1"/>
    </row>
    <row r="139" spans="1:72" ht="15.75" customHeight="1" x14ac:dyDescent="0.35">
      <c r="A139" s="8"/>
      <c r="B139" s="8"/>
      <c r="C139" s="8"/>
      <c r="D139" s="8"/>
      <c r="E139" s="8"/>
      <c r="F139" s="8"/>
      <c r="G139" s="26"/>
      <c r="H139" s="26"/>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1"/>
      <c r="BT139" s="1"/>
    </row>
    <row r="140" spans="1:72" ht="15.75" customHeight="1" x14ac:dyDescent="0.35">
      <c r="A140" s="8"/>
      <c r="B140" s="8"/>
      <c r="C140" s="8"/>
      <c r="D140" s="8"/>
      <c r="E140" s="8"/>
      <c r="F140" s="8"/>
      <c r="G140" s="26"/>
      <c r="H140" s="26"/>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1"/>
      <c r="BT140" s="1"/>
    </row>
    <row r="141" spans="1:72" ht="15.75" customHeight="1" x14ac:dyDescent="0.35">
      <c r="A141" s="8"/>
      <c r="B141" s="8"/>
      <c r="C141" s="8"/>
      <c r="D141" s="8"/>
      <c r="E141" s="8"/>
      <c r="F141" s="8"/>
      <c r="G141" s="26"/>
      <c r="H141" s="26"/>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1"/>
      <c r="BT141" s="1"/>
    </row>
    <row r="142" spans="1:72" ht="15.75" customHeight="1" x14ac:dyDescent="0.35">
      <c r="A142" s="8"/>
      <c r="B142" s="8"/>
      <c r="C142" s="8"/>
      <c r="D142" s="8"/>
      <c r="E142" s="8"/>
      <c r="F142" s="8"/>
      <c r="G142" s="26"/>
      <c r="H142" s="26"/>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1"/>
      <c r="BT142" s="1"/>
    </row>
    <row r="143" spans="1:72" ht="15.75" customHeight="1" x14ac:dyDescent="0.35">
      <c r="A143" s="8"/>
      <c r="B143" s="8"/>
      <c r="C143" s="8"/>
      <c r="D143" s="8"/>
      <c r="E143" s="8"/>
      <c r="F143" s="8"/>
      <c r="G143" s="26"/>
      <c r="H143" s="26"/>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1"/>
      <c r="BT143" s="1"/>
    </row>
    <row r="144" spans="1:72" ht="15.75" customHeight="1" x14ac:dyDescent="0.35">
      <c r="A144" s="8"/>
      <c r="B144" s="8"/>
      <c r="C144" s="8"/>
      <c r="D144" s="8"/>
      <c r="E144" s="8"/>
      <c r="F144" s="8"/>
      <c r="G144" s="26"/>
      <c r="H144" s="26"/>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1"/>
      <c r="BT144" s="1"/>
    </row>
    <row r="145" spans="1:72" ht="15.75" customHeight="1" x14ac:dyDescent="0.35">
      <c r="A145" s="8"/>
      <c r="B145" s="8"/>
      <c r="C145" s="8"/>
      <c r="D145" s="8"/>
      <c r="E145" s="8"/>
      <c r="F145" s="8"/>
      <c r="G145" s="26"/>
      <c r="H145" s="26"/>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1"/>
      <c r="BT145" s="1"/>
    </row>
    <row r="146" spans="1:72" ht="15.75" customHeight="1" x14ac:dyDescent="0.35">
      <c r="A146" s="8"/>
      <c r="B146" s="8"/>
      <c r="C146" s="8"/>
      <c r="D146" s="8"/>
      <c r="E146" s="8"/>
      <c r="F146" s="8"/>
      <c r="G146" s="26"/>
      <c r="H146" s="26"/>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1"/>
      <c r="BT146" s="1"/>
    </row>
    <row r="147" spans="1:72" ht="15.75" customHeight="1" x14ac:dyDescent="0.35">
      <c r="A147" s="8"/>
      <c r="B147" s="8"/>
      <c r="C147" s="8"/>
      <c r="D147" s="8"/>
      <c r="E147" s="8"/>
      <c r="F147" s="8"/>
      <c r="G147" s="26"/>
      <c r="H147" s="26"/>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1"/>
      <c r="BT147" s="1"/>
    </row>
    <row r="148" spans="1:72" ht="15.75" customHeight="1" x14ac:dyDescent="0.35">
      <c r="A148" s="8"/>
      <c r="B148" s="8"/>
      <c r="C148" s="8"/>
      <c r="D148" s="8"/>
      <c r="E148" s="8"/>
      <c r="F148" s="8"/>
      <c r="G148" s="26"/>
      <c r="H148" s="26"/>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1"/>
      <c r="BT148" s="1"/>
    </row>
    <row r="149" spans="1:72" ht="15.75" customHeight="1" x14ac:dyDescent="0.35">
      <c r="A149" s="8"/>
      <c r="B149" s="8"/>
      <c r="C149" s="8"/>
      <c r="D149" s="8"/>
      <c r="E149" s="8"/>
      <c r="F149" s="8"/>
      <c r="G149" s="26"/>
      <c r="H149" s="26"/>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1"/>
      <c r="BT149" s="1"/>
    </row>
    <row r="150" spans="1:72" ht="15.75" customHeight="1" x14ac:dyDescent="0.35">
      <c r="A150" s="8"/>
      <c r="B150" s="8"/>
      <c r="C150" s="8"/>
      <c r="D150" s="8"/>
      <c r="E150" s="8"/>
      <c r="F150" s="8"/>
      <c r="G150" s="26"/>
      <c r="H150" s="26"/>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1"/>
      <c r="BT150" s="1"/>
    </row>
    <row r="151" spans="1:72" ht="15.75" customHeight="1" x14ac:dyDescent="0.35">
      <c r="A151" s="8"/>
      <c r="B151" s="8"/>
      <c r="C151" s="8"/>
      <c r="D151" s="8"/>
      <c r="E151" s="8"/>
      <c r="F151" s="8"/>
      <c r="G151" s="26"/>
      <c r="H151" s="26"/>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1"/>
      <c r="BT151" s="1"/>
    </row>
    <row r="152" spans="1:72" ht="15.75" customHeight="1" x14ac:dyDescent="0.35">
      <c r="A152" s="8"/>
      <c r="B152" s="8"/>
      <c r="C152" s="8"/>
      <c r="D152" s="8"/>
      <c r="E152" s="8"/>
      <c r="F152" s="8"/>
      <c r="G152" s="26"/>
      <c r="H152" s="26"/>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1"/>
      <c r="BT152" s="1"/>
    </row>
    <row r="153" spans="1:72" ht="15.75" customHeight="1" x14ac:dyDescent="0.35">
      <c r="A153" s="8"/>
      <c r="B153" s="8"/>
      <c r="C153" s="8"/>
      <c r="D153" s="8"/>
      <c r="E153" s="8"/>
      <c r="F153" s="8"/>
      <c r="G153" s="26"/>
      <c r="H153" s="26"/>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1"/>
      <c r="BT153" s="1"/>
    </row>
    <row r="154" spans="1:72" ht="15.75" customHeight="1" x14ac:dyDescent="0.35">
      <c r="A154" s="8"/>
      <c r="B154" s="8"/>
      <c r="C154" s="8"/>
      <c r="D154" s="8"/>
      <c r="E154" s="8"/>
      <c r="F154" s="8"/>
      <c r="G154" s="26"/>
      <c r="H154" s="26"/>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1"/>
      <c r="BT154" s="1"/>
    </row>
    <row r="155" spans="1:72" ht="15.75" customHeight="1" x14ac:dyDescent="0.35">
      <c r="A155" s="8"/>
      <c r="B155" s="8"/>
      <c r="C155" s="8"/>
      <c r="D155" s="8"/>
      <c r="E155" s="8"/>
      <c r="F155" s="8"/>
      <c r="G155" s="26"/>
      <c r="H155" s="26"/>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1"/>
      <c r="BT155" s="1"/>
    </row>
    <row r="156" spans="1:72" ht="15.75" customHeight="1" x14ac:dyDescent="0.35">
      <c r="A156" s="8"/>
      <c r="B156" s="8"/>
      <c r="C156" s="8"/>
      <c r="D156" s="8"/>
      <c r="E156" s="8"/>
      <c r="F156" s="8"/>
      <c r="G156" s="26"/>
      <c r="H156" s="26"/>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1"/>
      <c r="BT156" s="1"/>
    </row>
    <row r="157" spans="1:72" ht="15.75" customHeight="1" x14ac:dyDescent="0.35">
      <c r="A157" s="8"/>
      <c r="B157" s="8"/>
      <c r="C157" s="8"/>
      <c r="D157" s="8"/>
      <c r="E157" s="8"/>
      <c r="F157" s="8"/>
      <c r="G157" s="26"/>
      <c r="H157" s="26"/>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1"/>
      <c r="BT157" s="1"/>
    </row>
    <row r="158" spans="1:72" ht="15.75" customHeight="1" x14ac:dyDescent="0.35">
      <c r="A158" s="8"/>
      <c r="B158" s="8"/>
      <c r="C158" s="8"/>
      <c r="D158" s="8"/>
      <c r="E158" s="8"/>
      <c r="F158" s="8"/>
      <c r="G158" s="26"/>
      <c r="H158" s="26"/>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1"/>
      <c r="BT158" s="1"/>
    </row>
    <row r="159" spans="1:72" ht="15.75" customHeight="1" x14ac:dyDescent="0.35">
      <c r="A159" s="8"/>
      <c r="B159" s="8"/>
      <c r="C159" s="8"/>
      <c r="D159" s="8"/>
      <c r="E159" s="8"/>
      <c r="F159" s="8"/>
      <c r="G159" s="26"/>
      <c r="H159" s="26"/>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1"/>
      <c r="BT159" s="1"/>
    </row>
    <row r="160" spans="1:72" ht="15.75" customHeight="1" x14ac:dyDescent="0.35">
      <c r="A160" s="8"/>
      <c r="B160" s="8"/>
      <c r="C160" s="8"/>
      <c r="D160" s="8"/>
      <c r="E160" s="8"/>
      <c r="F160" s="8"/>
      <c r="G160" s="26"/>
      <c r="H160" s="26"/>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1"/>
      <c r="BT160" s="1"/>
    </row>
    <row r="161" spans="1:72" ht="15.75" customHeight="1" x14ac:dyDescent="0.35">
      <c r="A161" s="8"/>
      <c r="B161" s="8"/>
      <c r="C161" s="8"/>
      <c r="D161" s="8"/>
      <c r="E161" s="8"/>
      <c r="F161" s="8"/>
      <c r="G161" s="26"/>
      <c r="H161" s="26"/>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1"/>
      <c r="BT161" s="1"/>
    </row>
    <row r="162" spans="1:72" ht="15.75" customHeight="1" x14ac:dyDescent="0.35">
      <c r="A162" s="8"/>
      <c r="B162" s="8"/>
      <c r="C162" s="8"/>
      <c r="D162" s="8"/>
      <c r="E162" s="8"/>
      <c r="F162" s="8"/>
      <c r="G162" s="26"/>
      <c r="H162" s="26"/>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1"/>
      <c r="BT162" s="1"/>
    </row>
    <row r="163" spans="1:72" ht="15.75" customHeight="1" x14ac:dyDescent="0.35">
      <c r="A163" s="8"/>
      <c r="B163" s="8"/>
      <c r="C163" s="8"/>
      <c r="D163" s="8"/>
      <c r="E163" s="8"/>
      <c r="F163" s="8"/>
      <c r="G163" s="26"/>
      <c r="H163" s="26"/>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1"/>
      <c r="BT163" s="1"/>
    </row>
    <row r="164" spans="1:72" ht="15.75" customHeight="1" x14ac:dyDescent="0.35">
      <c r="A164" s="8"/>
      <c r="B164" s="8"/>
      <c r="C164" s="8"/>
      <c r="D164" s="8"/>
      <c r="E164" s="8"/>
      <c r="F164" s="8"/>
      <c r="G164" s="26"/>
      <c r="H164" s="26"/>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1"/>
      <c r="BT164" s="1"/>
    </row>
    <row r="165" spans="1:72" ht="15.75" customHeight="1" x14ac:dyDescent="0.35">
      <c r="A165" s="8"/>
      <c r="B165" s="8"/>
      <c r="C165" s="8"/>
      <c r="D165" s="8"/>
      <c r="E165" s="8"/>
      <c r="F165" s="8"/>
      <c r="G165" s="26"/>
      <c r="H165" s="26"/>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1"/>
      <c r="BT165" s="1"/>
    </row>
    <row r="166" spans="1:72" ht="15.75" customHeight="1" x14ac:dyDescent="0.35">
      <c r="A166" s="8"/>
      <c r="B166" s="8"/>
      <c r="C166" s="8"/>
      <c r="D166" s="8"/>
      <c r="E166" s="8"/>
      <c r="F166" s="8"/>
      <c r="G166" s="26"/>
      <c r="H166" s="26"/>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1"/>
      <c r="BT166" s="1"/>
    </row>
    <row r="167" spans="1:72" ht="15.75" customHeight="1" x14ac:dyDescent="0.35">
      <c r="A167" s="8"/>
      <c r="B167" s="8"/>
      <c r="C167" s="8"/>
      <c r="D167" s="8"/>
      <c r="E167" s="8"/>
      <c r="F167" s="8"/>
      <c r="G167" s="26"/>
      <c r="H167" s="26"/>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1"/>
      <c r="BT167" s="1"/>
    </row>
    <row r="168" spans="1:72" ht="15.75" customHeight="1" x14ac:dyDescent="0.35">
      <c r="A168" s="8"/>
      <c r="B168" s="8"/>
      <c r="C168" s="8"/>
      <c r="D168" s="8"/>
      <c r="E168" s="8"/>
      <c r="F168" s="8"/>
      <c r="G168" s="26"/>
      <c r="H168" s="26"/>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1"/>
      <c r="BT168" s="1"/>
    </row>
    <row r="169" spans="1:72" ht="15.75" customHeight="1" x14ac:dyDescent="0.35">
      <c r="A169" s="8"/>
      <c r="B169" s="8"/>
      <c r="C169" s="8"/>
      <c r="D169" s="8"/>
      <c r="E169" s="8"/>
      <c r="F169" s="8"/>
      <c r="G169" s="26"/>
      <c r="H169" s="26"/>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1"/>
      <c r="BT169" s="1"/>
    </row>
    <row r="170" spans="1:72" ht="15.75" customHeight="1" x14ac:dyDescent="0.35">
      <c r="A170" s="8"/>
      <c r="B170" s="8"/>
      <c r="C170" s="8"/>
      <c r="D170" s="8"/>
      <c r="E170" s="8"/>
      <c r="F170" s="8"/>
      <c r="G170" s="26"/>
      <c r="H170" s="26"/>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1"/>
      <c r="BT170" s="1"/>
    </row>
    <row r="171" spans="1:72" ht="15.75" customHeight="1" x14ac:dyDescent="0.35">
      <c r="A171" s="8"/>
      <c r="B171" s="8"/>
      <c r="C171" s="8"/>
      <c r="D171" s="8"/>
      <c r="E171" s="8"/>
      <c r="F171" s="8"/>
      <c r="G171" s="26"/>
      <c r="H171" s="26"/>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1"/>
      <c r="BT171" s="1"/>
    </row>
    <row r="172" spans="1:72" ht="15.75" customHeight="1" x14ac:dyDescent="0.35">
      <c r="A172" s="8"/>
      <c r="B172" s="8"/>
      <c r="C172" s="8"/>
      <c r="D172" s="8"/>
      <c r="E172" s="8"/>
      <c r="F172" s="8"/>
      <c r="G172" s="26"/>
      <c r="H172" s="26"/>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1"/>
      <c r="BT172" s="1"/>
    </row>
    <row r="173" spans="1:72" ht="15.75" customHeight="1" x14ac:dyDescent="0.35">
      <c r="A173" s="8"/>
      <c r="B173" s="8"/>
      <c r="C173" s="8"/>
      <c r="D173" s="8"/>
      <c r="E173" s="8"/>
      <c r="F173" s="8"/>
      <c r="G173" s="26"/>
      <c r="H173" s="26"/>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1"/>
      <c r="BT173" s="1"/>
    </row>
    <row r="174" spans="1:72" ht="15.75" customHeight="1" x14ac:dyDescent="0.35">
      <c r="A174" s="8"/>
      <c r="B174" s="8"/>
      <c r="C174" s="8"/>
      <c r="D174" s="8"/>
      <c r="E174" s="8"/>
      <c r="F174" s="8"/>
      <c r="G174" s="26"/>
      <c r="H174" s="26"/>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1"/>
      <c r="BT174" s="1"/>
    </row>
    <row r="175" spans="1:72" ht="15.75" customHeight="1" x14ac:dyDescent="0.35">
      <c r="A175" s="8"/>
      <c r="B175" s="8"/>
      <c r="C175" s="8"/>
      <c r="D175" s="8"/>
      <c r="E175" s="8"/>
      <c r="F175" s="8"/>
      <c r="G175" s="26"/>
      <c r="H175" s="26"/>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1"/>
      <c r="BT175" s="1"/>
    </row>
    <row r="176" spans="1:72" ht="15.75" customHeight="1" x14ac:dyDescent="0.35">
      <c r="A176" s="8"/>
      <c r="B176" s="8"/>
      <c r="C176" s="8"/>
      <c r="D176" s="8"/>
      <c r="E176" s="8"/>
      <c r="F176" s="8"/>
      <c r="G176" s="26"/>
      <c r="H176" s="26"/>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1"/>
      <c r="BT176" s="1"/>
    </row>
    <row r="177" spans="1:72" ht="15.75" customHeight="1" x14ac:dyDescent="0.35">
      <c r="A177" s="8"/>
      <c r="B177" s="8"/>
      <c r="C177" s="8"/>
      <c r="D177" s="8"/>
      <c r="E177" s="8"/>
      <c r="F177" s="8"/>
      <c r="G177" s="26"/>
      <c r="H177" s="26"/>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1"/>
      <c r="BT177" s="1"/>
    </row>
    <row r="178" spans="1:72" ht="15.75" customHeight="1" x14ac:dyDescent="0.35">
      <c r="A178" s="8"/>
      <c r="B178" s="8"/>
      <c r="C178" s="8"/>
      <c r="D178" s="8"/>
      <c r="E178" s="8"/>
      <c r="F178" s="8"/>
      <c r="G178" s="26"/>
      <c r="H178" s="26"/>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1"/>
      <c r="BT178" s="1"/>
    </row>
    <row r="179" spans="1:72" ht="15.75" customHeight="1" x14ac:dyDescent="0.35">
      <c r="A179" s="8"/>
      <c r="B179" s="8"/>
      <c r="C179" s="8"/>
      <c r="D179" s="8"/>
      <c r="E179" s="8"/>
      <c r="F179" s="8"/>
      <c r="G179" s="26"/>
      <c r="H179" s="26"/>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1"/>
      <c r="BT179" s="1"/>
    </row>
    <row r="180" spans="1:72" ht="15.75" customHeight="1" x14ac:dyDescent="0.35">
      <c r="A180" s="8"/>
      <c r="B180" s="8"/>
      <c r="C180" s="8"/>
      <c r="D180" s="8"/>
      <c r="E180" s="8"/>
      <c r="F180" s="8"/>
      <c r="G180" s="26"/>
      <c r="H180" s="26"/>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1"/>
      <c r="BT180" s="1"/>
    </row>
    <row r="181" spans="1:72" ht="15.75" customHeight="1" x14ac:dyDescent="0.35">
      <c r="A181" s="8"/>
      <c r="B181" s="8"/>
      <c r="C181" s="8"/>
      <c r="D181" s="8"/>
      <c r="E181" s="8"/>
      <c r="F181" s="8"/>
      <c r="G181" s="26"/>
      <c r="H181" s="26"/>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1"/>
      <c r="BT181" s="1"/>
    </row>
    <row r="182" spans="1:72" ht="15.75" customHeight="1" x14ac:dyDescent="0.35">
      <c r="A182" s="8"/>
      <c r="B182" s="8"/>
      <c r="C182" s="8"/>
      <c r="D182" s="8"/>
      <c r="E182" s="8"/>
      <c r="F182" s="8"/>
      <c r="G182" s="26"/>
      <c r="H182" s="26"/>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1"/>
      <c r="BT182" s="1"/>
    </row>
    <row r="183" spans="1:72" ht="15.75" customHeight="1" x14ac:dyDescent="0.35">
      <c r="A183" s="8"/>
      <c r="B183" s="8"/>
      <c r="C183" s="8"/>
      <c r="D183" s="8"/>
      <c r="E183" s="8"/>
      <c r="F183" s="8"/>
      <c r="G183" s="26"/>
      <c r="H183" s="26"/>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1"/>
      <c r="BT183" s="1"/>
    </row>
    <row r="184" spans="1:72" ht="15.75" customHeight="1" x14ac:dyDescent="0.35">
      <c r="A184" s="8"/>
      <c r="B184" s="8"/>
      <c r="C184" s="8"/>
      <c r="D184" s="8"/>
      <c r="E184" s="8"/>
      <c r="F184" s="8"/>
      <c r="G184" s="26"/>
      <c r="H184" s="26"/>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1"/>
      <c r="BT184" s="1"/>
    </row>
    <row r="185" spans="1:72" ht="15.75" customHeight="1" x14ac:dyDescent="0.35">
      <c r="A185" s="8"/>
      <c r="B185" s="8"/>
      <c r="C185" s="8"/>
      <c r="D185" s="8"/>
      <c r="E185" s="8"/>
      <c r="F185" s="8"/>
      <c r="G185" s="26"/>
      <c r="H185" s="26"/>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1"/>
      <c r="BT185" s="1"/>
    </row>
    <row r="186" spans="1:72" ht="15.75" customHeight="1" x14ac:dyDescent="0.35">
      <c r="A186" s="8"/>
      <c r="B186" s="8"/>
      <c r="C186" s="8"/>
      <c r="D186" s="8"/>
      <c r="E186" s="8"/>
      <c r="F186" s="8"/>
      <c r="G186" s="26"/>
      <c r="H186" s="26"/>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1"/>
      <c r="BT186" s="1"/>
    </row>
    <row r="187" spans="1:72" ht="15.75" customHeight="1" x14ac:dyDescent="0.35">
      <c r="A187" s="8"/>
      <c r="B187" s="8"/>
      <c r="C187" s="8"/>
      <c r="D187" s="8"/>
      <c r="E187" s="8"/>
      <c r="F187" s="8"/>
      <c r="G187" s="26"/>
      <c r="H187" s="26"/>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1"/>
      <c r="BT187" s="1"/>
    </row>
    <row r="188" spans="1:72" ht="15.75" customHeight="1" x14ac:dyDescent="0.35">
      <c r="A188" s="8"/>
      <c r="B188" s="8"/>
      <c r="C188" s="8"/>
      <c r="D188" s="8"/>
      <c r="E188" s="8"/>
      <c r="F188" s="8"/>
      <c r="G188" s="26"/>
      <c r="H188" s="26"/>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1"/>
      <c r="BT188" s="1"/>
    </row>
    <row r="189" spans="1:72" ht="15.75" customHeight="1" x14ac:dyDescent="0.35">
      <c r="A189" s="8"/>
      <c r="B189" s="8"/>
      <c r="C189" s="8"/>
      <c r="D189" s="8"/>
      <c r="E189" s="8"/>
      <c r="F189" s="8"/>
      <c r="G189" s="26"/>
      <c r="H189" s="26"/>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1"/>
      <c r="BT189" s="1"/>
    </row>
    <row r="190" spans="1:72" ht="15.75" customHeight="1" x14ac:dyDescent="0.35">
      <c r="A190" s="8"/>
      <c r="B190" s="8"/>
      <c r="C190" s="8"/>
      <c r="D190" s="8"/>
      <c r="E190" s="8"/>
      <c r="F190" s="8"/>
      <c r="G190" s="26"/>
      <c r="H190" s="26"/>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1"/>
      <c r="BT190" s="1"/>
    </row>
    <row r="191" spans="1:72" ht="15.75" customHeight="1" x14ac:dyDescent="0.35">
      <c r="A191" s="8"/>
      <c r="B191" s="8"/>
      <c r="C191" s="8"/>
      <c r="D191" s="8"/>
      <c r="E191" s="8"/>
      <c r="F191" s="8"/>
      <c r="G191" s="26"/>
      <c r="H191" s="26"/>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1"/>
      <c r="BT191" s="1"/>
    </row>
    <row r="192" spans="1:72" ht="15.75" customHeight="1" x14ac:dyDescent="0.35">
      <c r="A192" s="8"/>
      <c r="B192" s="8"/>
      <c r="C192" s="8"/>
      <c r="D192" s="8"/>
      <c r="E192" s="8"/>
      <c r="F192" s="8"/>
      <c r="G192" s="26"/>
      <c r="H192" s="26"/>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1"/>
      <c r="BT192" s="1"/>
    </row>
    <row r="193" spans="1:72" ht="15.75" customHeight="1" x14ac:dyDescent="0.35">
      <c r="A193" s="8"/>
      <c r="B193" s="8"/>
      <c r="C193" s="8"/>
      <c r="D193" s="8"/>
      <c r="E193" s="8"/>
      <c r="F193" s="8"/>
      <c r="G193" s="26"/>
      <c r="H193" s="26"/>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1"/>
      <c r="BT193" s="1"/>
    </row>
    <row r="194" spans="1:72" ht="15.75" customHeight="1" x14ac:dyDescent="0.35">
      <c r="A194" s="8"/>
      <c r="B194" s="8"/>
      <c r="C194" s="8"/>
      <c r="D194" s="8"/>
      <c r="E194" s="8"/>
      <c r="F194" s="8"/>
      <c r="G194" s="26"/>
      <c r="H194" s="26"/>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1"/>
      <c r="BT194" s="1"/>
    </row>
    <row r="195" spans="1:72" ht="15.75" customHeight="1" x14ac:dyDescent="0.35">
      <c r="A195" s="8"/>
      <c r="B195" s="8"/>
      <c r="C195" s="8"/>
      <c r="D195" s="8"/>
      <c r="E195" s="8"/>
      <c r="F195" s="8"/>
      <c r="G195" s="26"/>
      <c r="H195" s="26"/>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1"/>
      <c r="BT195" s="1"/>
    </row>
    <row r="196" spans="1:72" ht="15.75" customHeight="1" x14ac:dyDescent="0.35">
      <c r="A196" s="8"/>
      <c r="B196" s="8"/>
      <c r="C196" s="8"/>
      <c r="D196" s="8"/>
      <c r="E196" s="8"/>
      <c r="F196" s="8"/>
      <c r="G196" s="26"/>
      <c r="H196" s="26"/>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1"/>
      <c r="BT196" s="1"/>
    </row>
    <row r="197" spans="1:72" ht="15.75" customHeight="1" x14ac:dyDescent="0.35">
      <c r="A197" s="8"/>
      <c r="B197" s="8"/>
      <c r="C197" s="8"/>
      <c r="D197" s="8"/>
      <c r="E197" s="8"/>
      <c r="F197" s="8"/>
      <c r="G197" s="26"/>
      <c r="H197" s="26"/>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1"/>
      <c r="BT197" s="1"/>
    </row>
    <row r="198" spans="1:72" ht="15.75" customHeight="1" x14ac:dyDescent="0.35">
      <c r="A198" s="8"/>
      <c r="B198" s="8"/>
      <c r="C198" s="8"/>
      <c r="D198" s="8"/>
      <c r="E198" s="8"/>
      <c r="F198" s="8"/>
      <c r="G198" s="26"/>
      <c r="H198" s="26"/>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1"/>
      <c r="BT198" s="1"/>
    </row>
    <row r="199" spans="1:72" ht="15.75" customHeight="1" x14ac:dyDescent="0.35">
      <c r="A199" s="8"/>
      <c r="B199" s="8"/>
      <c r="C199" s="8"/>
      <c r="D199" s="8"/>
      <c r="E199" s="8"/>
      <c r="F199" s="8"/>
      <c r="G199" s="26"/>
      <c r="H199" s="26"/>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1"/>
      <c r="BT199" s="1"/>
    </row>
    <row r="200" spans="1:72" ht="15.75" customHeight="1" x14ac:dyDescent="0.35">
      <c r="A200" s="8"/>
      <c r="B200" s="8"/>
      <c r="C200" s="8"/>
      <c r="D200" s="8"/>
      <c r="E200" s="8"/>
      <c r="F200" s="8"/>
      <c r="G200" s="26"/>
      <c r="H200" s="26"/>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1"/>
      <c r="BT200" s="1"/>
    </row>
    <row r="201" spans="1:72" ht="15.75" customHeight="1" x14ac:dyDescent="0.35">
      <c r="A201" s="8"/>
      <c r="B201" s="8"/>
      <c r="C201" s="8"/>
      <c r="D201" s="8"/>
      <c r="E201" s="8"/>
      <c r="F201" s="8"/>
      <c r="G201" s="26"/>
      <c r="H201" s="26"/>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1"/>
      <c r="BT201" s="1"/>
    </row>
    <row r="202" spans="1:72" ht="15.75" customHeight="1" x14ac:dyDescent="0.35">
      <c r="A202" s="8"/>
      <c r="B202" s="8"/>
      <c r="C202" s="8"/>
      <c r="D202" s="8"/>
      <c r="E202" s="8"/>
      <c r="F202" s="8"/>
      <c r="G202" s="26"/>
      <c r="H202" s="26"/>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1"/>
      <c r="BT202" s="1"/>
    </row>
    <row r="203" spans="1:72" ht="15.75" customHeight="1" x14ac:dyDescent="0.35">
      <c r="A203" s="8"/>
      <c r="B203" s="8"/>
      <c r="C203" s="8"/>
      <c r="D203" s="8"/>
      <c r="E203" s="8"/>
      <c r="F203" s="8"/>
      <c r="G203" s="26"/>
      <c r="H203" s="26"/>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1"/>
      <c r="BT203" s="1"/>
    </row>
    <row r="204" spans="1:72" ht="15.75" customHeight="1" x14ac:dyDescent="0.35">
      <c r="A204" s="8"/>
      <c r="B204" s="8"/>
      <c r="C204" s="8"/>
      <c r="D204" s="8"/>
      <c r="E204" s="8"/>
      <c r="F204" s="8"/>
      <c r="G204" s="26"/>
      <c r="H204" s="26"/>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1"/>
      <c r="BT204" s="1"/>
    </row>
    <row r="205" spans="1:72" ht="15.75" customHeight="1" x14ac:dyDescent="0.35">
      <c r="A205" s="8"/>
      <c r="B205" s="8"/>
      <c r="C205" s="8"/>
      <c r="D205" s="8"/>
      <c r="E205" s="8"/>
      <c r="F205" s="8"/>
      <c r="G205" s="26"/>
      <c r="H205" s="26"/>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1"/>
      <c r="BT205" s="1"/>
    </row>
    <row r="206" spans="1:72" ht="15.75" customHeight="1" x14ac:dyDescent="0.35">
      <c r="A206" s="8"/>
      <c r="B206" s="8"/>
      <c r="C206" s="8"/>
      <c r="D206" s="8"/>
      <c r="E206" s="8"/>
      <c r="F206" s="8"/>
      <c r="G206" s="26"/>
      <c r="H206" s="26"/>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1"/>
      <c r="BT206" s="1"/>
    </row>
    <row r="207" spans="1:72" ht="15.75" customHeight="1" x14ac:dyDescent="0.35">
      <c r="A207" s="8"/>
      <c r="B207" s="8"/>
      <c r="C207" s="8"/>
      <c r="D207" s="8"/>
      <c r="E207" s="8"/>
      <c r="F207" s="8"/>
      <c r="G207" s="26"/>
      <c r="H207" s="26"/>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1"/>
      <c r="BT207" s="1"/>
    </row>
    <row r="208" spans="1:72" ht="15.75" customHeight="1" x14ac:dyDescent="0.35">
      <c r="A208" s="8"/>
      <c r="B208" s="8"/>
      <c r="C208" s="8"/>
      <c r="D208" s="8"/>
      <c r="E208" s="8"/>
      <c r="F208" s="8"/>
      <c r="G208" s="26"/>
      <c r="H208" s="26"/>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1"/>
      <c r="BT208" s="1"/>
    </row>
    <row r="209" spans="1:72" ht="15.75" customHeight="1" x14ac:dyDescent="0.35">
      <c r="A209" s="8"/>
      <c r="B209" s="8"/>
      <c r="C209" s="8"/>
      <c r="D209" s="8"/>
      <c r="E209" s="8"/>
      <c r="F209" s="8"/>
      <c r="G209" s="26"/>
      <c r="H209" s="26"/>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1"/>
      <c r="BT209" s="1"/>
    </row>
    <row r="210" spans="1:72" ht="15.75" customHeight="1" x14ac:dyDescent="0.35">
      <c r="A210" s="8"/>
      <c r="B210" s="8"/>
      <c r="C210" s="8"/>
      <c r="D210" s="8"/>
      <c r="E210" s="8"/>
      <c r="F210" s="8"/>
      <c r="G210" s="26"/>
      <c r="H210" s="26"/>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1"/>
      <c r="BT210" s="1"/>
    </row>
    <row r="211" spans="1:72" ht="15.75" customHeight="1" x14ac:dyDescent="0.35">
      <c r="A211" s="8"/>
      <c r="B211" s="8"/>
      <c r="C211" s="8"/>
      <c r="D211" s="8"/>
      <c r="E211" s="8"/>
      <c r="F211" s="8"/>
      <c r="G211" s="26"/>
      <c r="H211" s="26"/>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1"/>
      <c r="BT211" s="1"/>
    </row>
    <row r="212" spans="1:72" ht="15.75" customHeight="1" x14ac:dyDescent="0.35">
      <c r="A212" s="8"/>
      <c r="B212" s="8"/>
      <c r="C212" s="8"/>
      <c r="D212" s="8"/>
      <c r="E212" s="8"/>
      <c r="F212" s="8"/>
      <c r="G212" s="26"/>
      <c r="H212" s="26"/>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1"/>
      <c r="BT212" s="1"/>
    </row>
    <row r="213" spans="1:72" ht="15.75" customHeight="1" x14ac:dyDescent="0.35">
      <c r="A213" s="8"/>
      <c r="B213" s="8"/>
      <c r="C213" s="8"/>
      <c r="D213" s="8"/>
      <c r="E213" s="8"/>
      <c r="F213" s="8"/>
      <c r="G213" s="26"/>
      <c r="H213" s="26"/>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1"/>
      <c r="BT213" s="1"/>
    </row>
    <row r="214" spans="1:72" ht="15.75" customHeight="1" x14ac:dyDescent="0.35">
      <c r="A214" s="8"/>
      <c r="B214" s="8"/>
      <c r="C214" s="8"/>
      <c r="D214" s="8"/>
      <c r="E214" s="8"/>
      <c r="F214" s="8"/>
      <c r="G214" s="26"/>
      <c r="H214" s="26"/>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1"/>
      <c r="BT214" s="1"/>
    </row>
    <row r="215" spans="1:72" ht="15.75" customHeight="1" x14ac:dyDescent="0.35">
      <c r="A215" s="8"/>
      <c r="B215" s="8"/>
      <c r="C215" s="8"/>
      <c r="D215" s="8"/>
      <c r="E215" s="8"/>
      <c r="F215" s="8"/>
      <c r="G215" s="26"/>
      <c r="H215" s="26"/>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1"/>
      <c r="BT215" s="1"/>
    </row>
    <row r="216" spans="1:72" ht="15.75" customHeight="1" x14ac:dyDescent="0.35">
      <c r="A216" s="8"/>
      <c r="B216" s="8"/>
      <c r="C216" s="8"/>
      <c r="D216" s="8"/>
      <c r="E216" s="8"/>
      <c r="F216" s="8"/>
      <c r="G216" s="26"/>
      <c r="H216" s="26"/>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1"/>
      <c r="BT216" s="1"/>
    </row>
    <row r="217" spans="1:72" ht="15.75" customHeight="1" x14ac:dyDescent="0.35">
      <c r="A217" s="8"/>
      <c r="B217" s="8"/>
      <c r="C217" s="8"/>
      <c r="D217" s="8"/>
      <c r="E217" s="8"/>
      <c r="F217" s="8"/>
      <c r="G217" s="26"/>
      <c r="H217" s="26"/>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1"/>
      <c r="BT217" s="1"/>
    </row>
    <row r="218" spans="1:72" ht="15.75" customHeight="1" x14ac:dyDescent="0.35">
      <c r="A218" s="8"/>
      <c r="B218" s="8"/>
      <c r="C218" s="8"/>
      <c r="D218" s="8"/>
      <c r="E218" s="8"/>
      <c r="F218" s="8"/>
      <c r="G218" s="26"/>
      <c r="H218" s="26"/>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1"/>
      <c r="BT218" s="1"/>
    </row>
    <row r="219" spans="1:72" ht="15.75" customHeight="1" x14ac:dyDescent="0.35">
      <c r="A219" s="8"/>
      <c r="B219" s="8"/>
      <c r="C219" s="8"/>
      <c r="D219" s="8"/>
      <c r="E219" s="8"/>
      <c r="F219" s="8"/>
      <c r="G219" s="26"/>
      <c r="H219" s="26"/>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1"/>
      <c r="BT219" s="1"/>
    </row>
    <row r="220" spans="1:72" ht="15.75" customHeight="1" x14ac:dyDescent="0.35">
      <c r="A220" s="8"/>
      <c r="B220" s="8"/>
      <c r="C220" s="8"/>
      <c r="D220" s="8"/>
      <c r="E220" s="8"/>
      <c r="F220" s="8"/>
      <c r="G220" s="26"/>
      <c r="H220" s="26"/>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1"/>
      <c r="BT220" s="1"/>
    </row>
    <row r="221" spans="1:72" ht="15.75" customHeight="1" x14ac:dyDescent="0.35">
      <c r="A221" s="8"/>
      <c r="B221" s="8"/>
      <c r="C221" s="8"/>
      <c r="D221" s="8"/>
      <c r="E221" s="8"/>
      <c r="F221" s="8"/>
      <c r="G221" s="26"/>
      <c r="H221" s="26"/>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1"/>
      <c r="BT221" s="1"/>
    </row>
    <row r="222" spans="1:72" ht="15.75" customHeight="1" x14ac:dyDescent="0.35">
      <c r="A222" s="8"/>
      <c r="B222" s="8"/>
      <c r="C222" s="8"/>
      <c r="D222" s="8"/>
      <c r="E222" s="8"/>
      <c r="F222" s="8"/>
      <c r="G222" s="26"/>
      <c r="H222" s="26"/>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1"/>
      <c r="BT222" s="1"/>
    </row>
    <row r="223" spans="1:72" ht="15.75" customHeight="1" x14ac:dyDescent="0.35">
      <c r="A223" s="8"/>
      <c r="B223" s="8"/>
      <c r="C223" s="8"/>
      <c r="D223" s="8"/>
      <c r="E223" s="8"/>
      <c r="F223" s="8"/>
      <c r="G223" s="26"/>
      <c r="H223" s="26"/>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1"/>
      <c r="BT223" s="1"/>
    </row>
    <row r="224" spans="1:72" ht="15.75" customHeight="1" x14ac:dyDescent="0.35">
      <c r="A224" s="8"/>
      <c r="B224" s="8"/>
      <c r="C224" s="8"/>
      <c r="D224" s="8"/>
      <c r="E224" s="8"/>
      <c r="F224" s="8"/>
      <c r="G224" s="26"/>
      <c r="H224" s="26"/>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1"/>
      <c r="BT224" s="1"/>
    </row>
    <row r="225" spans="1:72" ht="15.75" customHeight="1" x14ac:dyDescent="0.35">
      <c r="A225" s="8"/>
      <c r="B225" s="8"/>
      <c r="C225" s="8"/>
      <c r="D225" s="8"/>
      <c r="E225" s="8"/>
      <c r="F225" s="8"/>
      <c r="G225" s="26"/>
      <c r="H225" s="26"/>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1"/>
      <c r="BT225" s="1"/>
    </row>
    <row r="226" spans="1:72" ht="15.75" customHeight="1" x14ac:dyDescent="0.35">
      <c r="A226" s="8"/>
      <c r="B226" s="8"/>
      <c r="C226" s="8"/>
      <c r="D226" s="8"/>
      <c r="E226" s="8"/>
      <c r="F226" s="8"/>
      <c r="G226" s="26"/>
      <c r="H226" s="26"/>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1"/>
      <c r="BT226" s="1"/>
    </row>
    <row r="227" spans="1:72" ht="15.75" customHeight="1" x14ac:dyDescent="0.35">
      <c r="A227" s="8"/>
      <c r="B227" s="8"/>
      <c r="C227" s="8"/>
      <c r="D227" s="8"/>
      <c r="E227" s="8"/>
      <c r="F227" s="8"/>
      <c r="G227" s="26"/>
      <c r="H227" s="26"/>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1"/>
      <c r="BT227" s="1"/>
    </row>
    <row r="228" spans="1:72" ht="15.75" customHeight="1" x14ac:dyDescent="0.35">
      <c r="A228" s="8"/>
      <c r="B228" s="8"/>
      <c r="C228" s="8"/>
      <c r="D228" s="8"/>
      <c r="E228" s="8"/>
      <c r="F228" s="8"/>
      <c r="G228" s="26"/>
      <c r="H228" s="26"/>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1"/>
      <c r="BT228" s="1"/>
    </row>
    <row r="229" spans="1:72" ht="15.75" customHeight="1" x14ac:dyDescent="0.35">
      <c r="A229" s="8"/>
      <c r="B229" s="8"/>
      <c r="C229" s="8"/>
      <c r="D229" s="8"/>
      <c r="E229" s="8"/>
      <c r="F229" s="8"/>
      <c r="G229" s="26"/>
      <c r="H229" s="26"/>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1"/>
      <c r="BT229" s="1"/>
    </row>
    <row r="230" spans="1:72" ht="15.75" customHeight="1" x14ac:dyDescent="0.35">
      <c r="A230" s="8"/>
      <c r="B230" s="8"/>
      <c r="C230" s="8"/>
      <c r="D230" s="8"/>
      <c r="E230" s="8"/>
      <c r="F230" s="8"/>
      <c r="G230" s="26"/>
      <c r="H230" s="26"/>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1"/>
      <c r="BT230" s="1"/>
    </row>
    <row r="231" spans="1:72" ht="15.75" customHeight="1" x14ac:dyDescent="0.35">
      <c r="A231" s="8"/>
      <c r="B231" s="8"/>
      <c r="C231" s="8"/>
      <c r="D231" s="8"/>
      <c r="E231" s="8"/>
      <c r="F231" s="8"/>
      <c r="G231" s="26"/>
      <c r="H231" s="26"/>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1"/>
      <c r="BT231" s="1"/>
    </row>
    <row r="232" spans="1:72" ht="15.75" customHeight="1" x14ac:dyDescent="0.35">
      <c r="A232" s="8"/>
      <c r="B232" s="8"/>
      <c r="C232" s="8"/>
      <c r="D232" s="8"/>
      <c r="E232" s="8"/>
      <c r="F232" s="8"/>
      <c r="G232" s="26"/>
      <c r="H232" s="26"/>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1"/>
      <c r="BT232" s="1"/>
    </row>
    <row r="233" spans="1:72" ht="15.75" customHeight="1" x14ac:dyDescent="0.35">
      <c r="A233" s="8"/>
      <c r="B233" s="8"/>
      <c r="C233" s="8"/>
      <c r="D233" s="8"/>
      <c r="E233" s="8"/>
      <c r="F233" s="8"/>
      <c r="G233" s="26"/>
      <c r="H233" s="26"/>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1"/>
      <c r="BT233" s="1"/>
    </row>
    <row r="234" spans="1:72" ht="15.75" customHeight="1" x14ac:dyDescent="0.35">
      <c r="A234" s="8"/>
      <c r="B234" s="8"/>
      <c r="C234" s="8"/>
      <c r="D234" s="8"/>
      <c r="E234" s="8"/>
      <c r="F234" s="8"/>
      <c r="G234" s="26"/>
      <c r="H234" s="26"/>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1"/>
      <c r="BT234" s="1"/>
    </row>
    <row r="235" spans="1:72" ht="15.75" customHeight="1" x14ac:dyDescent="0.35">
      <c r="A235" s="8"/>
      <c r="B235" s="8"/>
      <c r="C235" s="8"/>
      <c r="D235" s="8"/>
      <c r="E235" s="8"/>
      <c r="F235" s="8"/>
      <c r="G235" s="26"/>
      <c r="H235" s="26"/>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1"/>
      <c r="BT235" s="1"/>
    </row>
    <row r="236" spans="1:72" ht="15.75" customHeight="1" x14ac:dyDescent="0.35">
      <c r="A236" s="8"/>
      <c r="B236" s="8"/>
      <c r="C236" s="8"/>
      <c r="D236" s="8"/>
      <c r="E236" s="8"/>
      <c r="F236" s="8"/>
      <c r="G236" s="26"/>
      <c r="H236" s="26"/>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1"/>
      <c r="BT236" s="1"/>
    </row>
    <row r="237" spans="1:72" ht="15.75" customHeight="1" x14ac:dyDescent="0.35">
      <c r="A237" s="8"/>
      <c r="B237" s="8"/>
      <c r="C237" s="8"/>
      <c r="D237" s="8"/>
      <c r="E237" s="8"/>
      <c r="F237" s="8"/>
      <c r="G237" s="26"/>
      <c r="H237" s="26"/>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1"/>
      <c r="BT237" s="1"/>
    </row>
    <row r="238" spans="1:72" ht="15.75" customHeight="1" x14ac:dyDescent="0.35">
      <c r="A238" s="8"/>
      <c r="B238" s="8"/>
      <c r="C238" s="8"/>
      <c r="D238" s="8"/>
      <c r="E238" s="8"/>
      <c r="F238" s="8"/>
      <c r="G238" s="26"/>
      <c r="H238" s="26"/>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1"/>
      <c r="BT238" s="1"/>
    </row>
    <row r="239" spans="1:72" ht="15.75" customHeight="1" x14ac:dyDescent="0.35">
      <c r="A239" s="8"/>
      <c r="B239" s="8"/>
      <c r="C239" s="8"/>
      <c r="D239" s="8"/>
      <c r="E239" s="8"/>
      <c r="F239" s="8"/>
      <c r="G239" s="26"/>
      <c r="H239" s="26"/>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1"/>
      <c r="BT239" s="1"/>
    </row>
    <row r="240" spans="1:72" ht="15.75" customHeight="1" x14ac:dyDescent="0.35">
      <c r="A240" s="8"/>
      <c r="B240" s="8"/>
      <c r="C240" s="8"/>
      <c r="D240" s="8"/>
      <c r="E240" s="8"/>
      <c r="F240" s="8"/>
      <c r="G240" s="26"/>
      <c r="H240" s="26"/>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1"/>
      <c r="BT240" s="1"/>
    </row>
    <row r="241" spans="1:72" ht="15.75" customHeight="1" x14ac:dyDescent="0.35">
      <c r="A241" s="8"/>
      <c r="B241" s="8"/>
      <c r="C241" s="8"/>
      <c r="D241" s="8"/>
      <c r="E241" s="8"/>
      <c r="F241" s="8"/>
      <c r="G241" s="26"/>
      <c r="H241" s="26"/>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1"/>
      <c r="BT241" s="1"/>
    </row>
    <row r="242" spans="1:72" ht="15.75" customHeight="1" x14ac:dyDescent="0.35">
      <c r="A242" s="8"/>
      <c r="B242" s="8"/>
      <c r="C242" s="8"/>
      <c r="D242" s="8"/>
      <c r="E242" s="8"/>
      <c r="F242" s="8"/>
      <c r="G242" s="26"/>
      <c r="H242" s="26"/>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1"/>
      <c r="BT242" s="1"/>
    </row>
    <row r="243" spans="1:72" ht="15.75" customHeight="1" x14ac:dyDescent="0.35">
      <c r="A243" s="8"/>
      <c r="B243" s="8"/>
      <c r="C243" s="8"/>
      <c r="D243" s="8"/>
      <c r="E243" s="8"/>
      <c r="F243" s="8"/>
      <c r="G243" s="26"/>
      <c r="H243" s="26"/>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1"/>
      <c r="BT243" s="1"/>
    </row>
    <row r="244" spans="1:72" ht="15.75" customHeight="1" x14ac:dyDescent="0.35">
      <c r="A244" s="8"/>
      <c r="B244" s="8"/>
      <c r="C244" s="8"/>
      <c r="D244" s="8"/>
      <c r="E244" s="8"/>
      <c r="F244" s="8"/>
      <c r="G244" s="26"/>
      <c r="H244" s="26"/>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1"/>
      <c r="BT244" s="1"/>
    </row>
    <row r="245" spans="1:72" ht="15.75" customHeight="1" x14ac:dyDescent="0.35">
      <c r="A245" s="8"/>
      <c r="B245" s="8"/>
      <c r="C245" s="8"/>
      <c r="D245" s="8"/>
      <c r="E245" s="8"/>
      <c r="F245" s="8"/>
      <c r="G245" s="26"/>
      <c r="H245" s="26"/>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1"/>
      <c r="BT245" s="1"/>
    </row>
    <row r="246" spans="1:72" ht="15.75" customHeight="1" x14ac:dyDescent="0.35">
      <c r="A246" s="8"/>
      <c r="B246" s="8"/>
      <c r="C246" s="8"/>
      <c r="D246" s="8"/>
      <c r="E246" s="8"/>
      <c r="F246" s="8"/>
      <c r="G246" s="26"/>
      <c r="H246" s="26"/>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1"/>
      <c r="BT246" s="1"/>
    </row>
    <row r="247" spans="1:72" ht="15.75" customHeight="1" x14ac:dyDescent="0.35">
      <c r="A247" s="8"/>
      <c r="B247" s="8"/>
      <c r="C247" s="8"/>
      <c r="D247" s="8"/>
      <c r="E247" s="8"/>
      <c r="F247" s="8"/>
      <c r="G247" s="26"/>
      <c r="H247" s="26"/>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1"/>
      <c r="BT247" s="1"/>
    </row>
    <row r="248" spans="1:72" ht="15.75" customHeight="1" x14ac:dyDescent="0.35">
      <c r="A248" s="8"/>
      <c r="B248" s="8"/>
      <c r="C248" s="8"/>
      <c r="D248" s="8"/>
      <c r="E248" s="8"/>
      <c r="F248" s="8"/>
      <c r="G248" s="26"/>
      <c r="H248" s="26"/>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1"/>
      <c r="BT248" s="1"/>
    </row>
    <row r="249" spans="1:72" ht="15.75" customHeight="1" x14ac:dyDescent="0.35">
      <c r="A249" s="8"/>
      <c r="B249" s="8"/>
      <c r="C249" s="8"/>
      <c r="D249" s="8"/>
      <c r="E249" s="8"/>
      <c r="F249" s="8"/>
      <c r="G249" s="26"/>
      <c r="H249" s="26"/>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1"/>
      <c r="BT249" s="1"/>
    </row>
    <row r="250" spans="1:72" ht="15.75" customHeight="1" x14ac:dyDescent="0.35">
      <c r="A250" s="8"/>
      <c r="B250" s="8"/>
      <c r="C250" s="8"/>
      <c r="D250" s="8"/>
      <c r="E250" s="8"/>
      <c r="F250" s="8"/>
      <c r="G250" s="26"/>
      <c r="H250" s="26"/>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1"/>
      <c r="BT250" s="1"/>
    </row>
    <row r="251" spans="1:72" ht="15.75" customHeight="1" x14ac:dyDescent="0.35">
      <c r="A251" s="8"/>
      <c r="B251" s="8"/>
      <c r="C251" s="8"/>
      <c r="D251" s="8"/>
      <c r="E251" s="8"/>
      <c r="F251" s="8"/>
      <c r="G251" s="26"/>
      <c r="H251" s="26"/>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1"/>
      <c r="BT251" s="1"/>
    </row>
    <row r="252" spans="1:72" ht="15.75" customHeight="1" x14ac:dyDescent="0.35">
      <c r="A252" s="8"/>
      <c r="B252" s="8"/>
      <c r="C252" s="8"/>
      <c r="D252" s="8"/>
      <c r="E252" s="8"/>
      <c r="F252" s="8"/>
      <c r="G252" s="26"/>
      <c r="H252" s="26"/>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1"/>
      <c r="BT252" s="1"/>
    </row>
    <row r="253" spans="1:72" ht="15.75" customHeight="1" x14ac:dyDescent="0.35">
      <c r="A253" s="8"/>
      <c r="B253" s="8"/>
      <c r="C253" s="8"/>
      <c r="D253" s="8"/>
      <c r="E253" s="8"/>
      <c r="F253" s="8"/>
      <c r="G253" s="26"/>
      <c r="H253" s="26"/>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1"/>
      <c r="BT253" s="1"/>
    </row>
    <row r="254" spans="1:72" ht="15.75" customHeight="1" x14ac:dyDescent="0.35">
      <c r="A254" s="8"/>
      <c r="B254" s="8"/>
      <c r="C254" s="8"/>
      <c r="D254" s="8"/>
      <c r="E254" s="8"/>
      <c r="F254" s="8"/>
      <c r="G254" s="26"/>
      <c r="H254" s="26"/>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1"/>
      <c r="BT254" s="1"/>
    </row>
    <row r="255" spans="1:72" ht="15.75" customHeight="1" x14ac:dyDescent="0.35">
      <c r="A255" s="8"/>
      <c r="B255" s="8"/>
      <c r="C255" s="8"/>
      <c r="D255" s="8"/>
      <c r="E255" s="8"/>
      <c r="F255" s="8"/>
      <c r="G255" s="26"/>
      <c r="H255" s="26"/>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1"/>
      <c r="BT255" s="1"/>
    </row>
    <row r="256" spans="1:72" ht="15.75" customHeight="1" x14ac:dyDescent="0.35">
      <c r="A256" s="8"/>
      <c r="B256" s="8"/>
      <c r="C256" s="8"/>
      <c r="D256" s="8"/>
      <c r="E256" s="8"/>
      <c r="F256" s="8"/>
      <c r="G256" s="26"/>
      <c r="H256" s="26"/>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1"/>
      <c r="BT256" s="1"/>
    </row>
    <row r="257" spans="1:72" ht="15.75" customHeight="1" x14ac:dyDescent="0.35">
      <c r="A257" s="8"/>
      <c r="B257" s="8"/>
      <c r="C257" s="8"/>
      <c r="D257" s="8"/>
      <c r="E257" s="8"/>
      <c r="F257" s="8"/>
      <c r="G257" s="26"/>
      <c r="H257" s="26"/>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1"/>
      <c r="BT257" s="1"/>
    </row>
    <row r="258" spans="1:72" ht="15.75" customHeight="1" x14ac:dyDescent="0.35">
      <c r="A258" s="8"/>
      <c r="B258" s="8"/>
      <c r="C258" s="8"/>
      <c r="D258" s="8"/>
      <c r="E258" s="8"/>
      <c r="F258" s="8"/>
      <c r="G258" s="26"/>
      <c r="H258" s="26"/>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1"/>
      <c r="BT258" s="1"/>
    </row>
    <row r="259" spans="1:72" ht="15.75" customHeight="1" x14ac:dyDescent="0.35">
      <c r="A259" s="8"/>
      <c r="B259" s="8"/>
      <c r="C259" s="8"/>
      <c r="D259" s="8"/>
      <c r="E259" s="8"/>
      <c r="F259" s="8"/>
      <c r="G259" s="26"/>
      <c r="H259" s="26"/>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1"/>
      <c r="BT259" s="1"/>
    </row>
    <row r="260" spans="1:72" ht="15.75" customHeight="1" x14ac:dyDescent="0.35">
      <c r="A260" s="8"/>
      <c r="B260" s="8"/>
      <c r="C260" s="8"/>
      <c r="D260" s="8"/>
      <c r="E260" s="8"/>
      <c r="F260" s="8"/>
      <c r="G260" s="26"/>
      <c r="H260" s="26"/>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1"/>
      <c r="BT260" s="1"/>
    </row>
    <row r="261" spans="1:72" ht="15.75" customHeight="1" x14ac:dyDescent="0.35">
      <c r="A261" s="8"/>
      <c r="B261" s="8"/>
      <c r="C261" s="8"/>
      <c r="D261" s="8"/>
      <c r="E261" s="8"/>
      <c r="F261" s="8"/>
      <c r="G261" s="26"/>
      <c r="H261" s="26"/>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1"/>
      <c r="BT261" s="1"/>
    </row>
    <row r="262" spans="1:72" ht="15.75" customHeight="1" x14ac:dyDescent="0.35">
      <c r="A262" s="8"/>
      <c r="B262" s="8"/>
      <c r="C262" s="8"/>
      <c r="D262" s="8"/>
      <c r="E262" s="8"/>
      <c r="F262" s="8"/>
      <c r="G262" s="26"/>
      <c r="H262" s="26"/>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1"/>
      <c r="BT262" s="1"/>
    </row>
    <row r="263" spans="1:72" ht="15.75" customHeight="1" x14ac:dyDescent="0.35">
      <c r="A263" s="8"/>
      <c r="B263" s="8"/>
      <c r="C263" s="8"/>
      <c r="D263" s="8"/>
      <c r="E263" s="8"/>
      <c r="F263" s="8"/>
      <c r="G263" s="26"/>
      <c r="H263" s="26"/>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1"/>
      <c r="BT263" s="1"/>
    </row>
    <row r="264" spans="1:72" ht="15.75" customHeight="1" x14ac:dyDescent="0.35">
      <c r="A264" s="8"/>
      <c r="B264" s="8"/>
      <c r="C264" s="8"/>
      <c r="D264" s="8"/>
      <c r="E264" s="8"/>
      <c r="F264" s="8"/>
      <c r="G264" s="26"/>
      <c r="H264" s="26"/>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1"/>
      <c r="BT264" s="1"/>
    </row>
    <row r="265" spans="1:72" ht="15.75" customHeight="1" x14ac:dyDescent="0.35">
      <c r="A265" s="8"/>
      <c r="B265" s="8"/>
      <c r="C265" s="8"/>
      <c r="D265" s="8"/>
      <c r="E265" s="8"/>
      <c r="F265" s="8"/>
      <c r="G265" s="26"/>
      <c r="H265" s="26"/>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1"/>
      <c r="BT265" s="1"/>
    </row>
    <row r="266" spans="1:72" ht="15.75" customHeight="1" x14ac:dyDescent="0.35">
      <c r="A266" s="8"/>
      <c r="B266" s="8"/>
      <c r="C266" s="8"/>
      <c r="D266" s="8"/>
      <c r="E266" s="8"/>
      <c r="F266" s="8"/>
      <c r="G266" s="26"/>
      <c r="H266" s="26"/>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1"/>
      <c r="BT266" s="1"/>
    </row>
    <row r="267" spans="1:72" ht="15.75" customHeight="1" x14ac:dyDescent="0.35">
      <c r="A267" s="8"/>
      <c r="B267" s="8"/>
      <c r="C267" s="8"/>
      <c r="D267" s="8"/>
      <c r="E267" s="8"/>
      <c r="F267" s="8"/>
      <c r="G267" s="26"/>
      <c r="H267" s="26"/>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1"/>
      <c r="BT267" s="1"/>
    </row>
    <row r="268" spans="1:72" ht="15.75" customHeight="1" x14ac:dyDescent="0.35">
      <c r="A268" s="8"/>
      <c r="B268" s="8"/>
      <c r="C268" s="8"/>
      <c r="D268" s="8"/>
      <c r="E268" s="8"/>
      <c r="F268" s="8"/>
      <c r="G268" s="26"/>
      <c r="H268" s="26"/>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1"/>
      <c r="BT268" s="1"/>
    </row>
    <row r="269" spans="1:72" ht="15.75" customHeight="1" x14ac:dyDescent="0.35">
      <c r="A269" s="8"/>
      <c r="B269" s="8"/>
      <c r="C269" s="8"/>
      <c r="D269" s="8"/>
      <c r="E269" s="8"/>
      <c r="F269" s="8"/>
      <c r="G269" s="26"/>
      <c r="H269" s="26"/>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1"/>
      <c r="BT269" s="1"/>
    </row>
    <row r="270" spans="1:72" ht="15.75" customHeight="1" x14ac:dyDescent="0.35">
      <c r="A270" s="8"/>
      <c r="B270" s="8"/>
      <c r="C270" s="8"/>
      <c r="D270" s="8"/>
      <c r="E270" s="8"/>
      <c r="F270" s="8"/>
      <c r="G270" s="26"/>
      <c r="H270" s="26"/>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1"/>
      <c r="BT270" s="1"/>
    </row>
    <row r="271" spans="1:72" ht="15.75" customHeight="1" x14ac:dyDescent="0.35">
      <c r="A271" s="8"/>
      <c r="B271" s="8"/>
      <c r="C271" s="8"/>
      <c r="D271" s="8"/>
      <c r="E271" s="8"/>
      <c r="F271" s="8"/>
      <c r="G271" s="26"/>
      <c r="H271" s="26"/>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1"/>
      <c r="BT271" s="1"/>
    </row>
    <row r="272" spans="1:72" ht="15.75" customHeight="1" x14ac:dyDescent="0.35">
      <c r="A272" s="8"/>
      <c r="B272" s="8"/>
      <c r="C272" s="8"/>
      <c r="D272" s="8"/>
      <c r="E272" s="8"/>
      <c r="F272" s="8"/>
      <c r="G272" s="26"/>
      <c r="H272" s="26"/>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1"/>
      <c r="BT272" s="1"/>
    </row>
    <row r="273" spans="1:72" ht="15.75" customHeight="1" x14ac:dyDescent="0.35">
      <c r="A273" s="8"/>
      <c r="B273" s="8"/>
      <c r="C273" s="8"/>
      <c r="D273" s="8"/>
      <c r="E273" s="8"/>
      <c r="F273" s="8"/>
      <c r="G273" s="26"/>
      <c r="H273" s="26"/>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1"/>
      <c r="BT273" s="1"/>
    </row>
    <row r="274" spans="1:72" ht="15.75" customHeight="1" x14ac:dyDescent="0.35">
      <c r="A274" s="8"/>
      <c r="B274" s="8"/>
      <c r="C274" s="8"/>
      <c r="D274" s="8"/>
      <c r="E274" s="8"/>
      <c r="F274" s="8"/>
      <c r="G274" s="26"/>
      <c r="H274" s="26"/>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1"/>
      <c r="BT274" s="1"/>
    </row>
    <row r="275" spans="1:72" ht="15.75" customHeight="1" x14ac:dyDescent="0.35">
      <c r="A275" s="8"/>
      <c r="B275" s="8"/>
      <c r="C275" s="8"/>
      <c r="D275" s="8"/>
      <c r="E275" s="8"/>
      <c r="F275" s="8"/>
      <c r="G275" s="26"/>
      <c r="H275" s="26"/>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1"/>
      <c r="BT275" s="1"/>
    </row>
    <row r="276" spans="1:72" ht="15.75" customHeight="1" x14ac:dyDescent="0.35">
      <c r="A276" s="8"/>
      <c r="B276" s="8"/>
      <c r="C276" s="8"/>
      <c r="D276" s="8"/>
      <c r="E276" s="8"/>
      <c r="F276" s="8"/>
      <c r="G276" s="26"/>
      <c r="H276" s="26"/>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1"/>
      <c r="BT276" s="1"/>
    </row>
    <row r="277" spans="1:72" ht="15.75" customHeight="1" x14ac:dyDescent="0.35">
      <c r="A277" s="8"/>
      <c r="B277" s="8"/>
      <c r="C277" s="8"/>
      <c r="D277" s="8"/>
      <c r="E277" s="8"/>
      <c r="F277" s="8"/>
      <c r="G277" s="26"/>
      <c r="H277" s="26"/>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1"/>
      <c r="BT277" s="1"/>
    </row>
    <row r="278" spans="1:72" ht="15.75" customHeight="1" x14ac:dyDescent="0.35">
      <c r="A278" s="8"/>
      <c r="B278" s="8"/>
      <c r="C278" s="8"/>
      <c r="D278" s="8"/>
      <c r="E278" s="8"/>
      <c r="F278" s="8"/>
      <c r="G278" s="26"/>
      <c r="H278" s="26"/>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1"/>
      <c r="BT278" s="1"/>
    </row>
    <row r="279" spans="1:72" ht="15.75" customHeight="1" x14ac:dyDescent="0.35">
      <c r="A279" s="8"/>
      <c r="B279" s="8"/>
      <c r="C279" s="8"/>
      <c r="D279" s="8"/>
      <c r="E279" s="8"/>
      <c r="F279" s="8"/>
      <c r="G279" s="26"/>
      <c r="H279" s="26"/>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1"/>
      <c r="BT279" s="1"/>
    </row>
    <row r="280" spans="1:72" ht="15.75" customHeight="1" x14ac:dyDescent="0.35">
      <c r="A280" s="8"/>
      <c r="B280" s="8"/>
      <c r="C280" s="8"/>
      <c r="D280" s="8"/>
      <c r="E280" s="8"/>
      <c r="F280" s="8"/>
      <c r="G280" s="26"/>
      <c r="H280" s="26"/>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1"/>
      <c r="BT280" s="1"/>
    </row>
    <row r="281" spans="1:72" ht="15.75" customHeight="1" x14ac:dyDescent="0.35">
      <c r="A281" s="8"/>
      <c r="B281" s="8"/>
      <c r="C281" s="8"/>
      <c r="D281" s="8"/>
      <c r="E281" s="8"/>
      <c r="F281" s="8"/>
      <c r="G281" s="26"/>
      <c r="H281" s="26"/>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1"/>
      <c r="BT281" s="1"/>
    </row>
    <row r="282" spans="1:72" ht="15.75" customHeight="1" x14ac:dyDescent="0.35">
      <c r="A282" s="8"/>
      <c r="B282" s="8"/>
      <c r="C282" s="8"/>
      <c r="D282" s="8"/>
      <c r="E282" s="8"/>
      <c r="F282" s="8"/>
      <c r="G282" s="26"/>
      <c r="H282" s="26"/>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1"/>
      <c r="BT282" s="1"/>
    </row>
    <row r="283" spans="1:72" ht="15.75" customHeight="1" x14ac:dyDescent="0.35">
      <c r="A283" s="8"/>
      <c r="B283" s="8"/>
      <c r="C283" s="8"/>
      <c r="D283" s="8"/>
      <c r="E283" s="8"/>
      <c r="F283" s="8"/>
      <c r="G283" s="26"/>
      <c r="H283" s="26"/>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1"/>
      <c r="BT283" s="1"/>
    </row>
    <row r="284" spans="1:72" ht="15.75" customHeight="1" x14ac:dyDescent="0.35">
      <c r="A284" s="8"/>
      <c r="B284" s="8"/>
      <c r="C284" s="8"/>
      <c r="D284" s="8"/>
      <c r="E284" s="8"/>
      <c r="F284" s="8"/>
      <c r="G284" s="26"/>
      <c r="H284" s="26"/>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1"/>
      <c r="BT284" s="1"/>
    </row>
    <row r="285" spans="1:72" ht="15.75" customHeight="1" x14ac:dyDescent="0.35">
      <c r="A285" s="8"/>
      <c r="B285" s="8"/>
      <c r="C285" s="8"/>
      <c r="D285" s="8"/>
      <c r="E285" s="8"/>
      <c r="F285" s="8"/>
      <c r="G285" s="26"/>
      <c r="H285" s="26"/>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1"/>
      <c r="BT285" s="1"/>
    </row>
    <row r="286" spans="1:72" ht="15.75" customHeight="1" x14ac:dyDescent="0.35">
      <c r="A286" s="8"/>
      <c r="B286" s="8"/>
      <c r="C286" s="8"/>
      <c r="D286" s="8"/>
      <c r="E286" s="8"/>
      <c r="F286" s="8"/>
      <c r="G286" s="26"/>
      <c r="H286" s="26"/>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1"/>
      <c r="BT286" s="1"/>
    </row>
    <row r="287" spans="1:72" ht="15.75" customHeight="1" x14ac:dyDescent="0.35">
      <c r="A287" s="8"/>
      <c r="B287" s="8"/>
      <c r="C287" s="8"/>
      <c r="D287" s="8"/>
      <c r="E287" s="8"/>
      <c r="F287" s="8"/>
      <c r="G287" s="26"/>
      <c r="H287" s="26"/>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1"/>
      <c r="BT287" s="1"/>
    </row>
    <row r="288" spans="1:72" ht="15.75" customHeight="1" x14ac:dyDescent="0.35">
      <c r="A288" s="8"/>
      <c r="B288" s="8"/>
      <c r="C288" s="8"/>
      <c r="D288" s="8"/>
      <c r="E288" s="8"/>
      <c r="F288" s="8"/>
      <c r="G288" s="26"/>
      <c r="H288" s="26"/>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1"/>
      <c r="BT288" s="1"/>
    </row>
    <row r="289" spans="1:72" ht="15.75" customHeight="1" x14ac:dyDescent="0.35">
      <c r="A289" s="8"/>
      <c r="B289" s="8"/>
      <c r="C289" s="8"/>
      <c r="D289" s="8"/>
      <c r="E289" s="8"/>
      <c r="F289" s="8"/>
      <c r="G289" s="26"/>
      <c r="H289" s="26"/>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1"/>
      <c r="BT289" s="1"/>
    </row>
    <row r="290" spans="1:72" ht="15.75" customHeight="1" x14ac:dyDescent="0.35">
      <c r="A290" s="8"/>
      <c r="B290" s="8"/>
      <c r="C290" s="8"/>
      <c r="D290" s="8"/>
      <c r="E290" s="8"/>
      <c r="F290" s="8"/>
      <c r="G290" s="26"/>
      <c r="H290" s="26"/>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1"/>
      <c r="BT290" s="1"/>
    </row>
    <row r="291" spans="1:72" ht="15.75" customHeight="1" x14ac:dyDescent="0.35">
      <c r="A291" s="8"/>
      <c r="B291" s="8"/>
      <c r="C291" s="8"/>
      <c r="D291" s="8"/>
      <c r="E291" s="8"/>
      <c r="F291" s="8"/>
      <c r="G291" s="26"/>
      <c r="H291" s="26"/>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1"/>
      <c r="BT291" s="1"/>
    </row>
    <row r="292" spans="1:72" ht="15.75" customHeight="1" x14ac:dyDescent="0.35">
      <c r="A292" s="8"/>
      <c r="B292" s="8"/>
      <c r="C292" s="8"/>
      <c r="D292" s="8"/>
      <c r="E292" s="8"/>
      <c r="F292" s="8"/>
      <c r="G292" s="26"/>
      <c r="H292" s="26"/>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1"/>
      <c r="BT292" s="1"/>
    </row>
    <row r="293" spans="1:72" ht="15.75" customHeight="1" x14ac:dyDescent="0.35">
      <c r="A293" s="8"/>
      <c r="B293" s="8"/>
      <c r="C293" s="8"/>
      <c r="D293" s="8"/>
      <c r="E293" s="8"/>
      <c r="F293" s="8"/>
      <c r="G293" s="26"/>
      <c r="H293" s="26"/>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1"/>
      <c r="BT293" s="1"/>
    </row>
    <row r="294" spans="1:72" ht="15.75" customHeight="1" x14ac:dyDescent="0.35">
      <c r="A294" s="8"/>
      <c r="B294" s="8"/>
      <c r="C294" s="8"/>
      <c r="D294" s="8"/>
      <c r="E294" s="8"/>
      <c r="F294" s="8"/>
      <c r="G294" s="26"/>
      <c r="H294" s="26"/>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1"/>
      <c r="BT294" s="1"/>
    </row>
    <row r="295" spans="1:72" ht="15.75" customHeight="1" x14ac:dyDescent="0.35">
      <c r="A295" s="8"/>
      <c r="B295" s="8"/>
      <c r="C295" s="8"/>
      <c r="D295" s="8"/>
      <c r="E295" s="8"/>
      <c r="F295" s="8"/>
      <c r="G295" s="26"/>
      <c r="H295" s="26"/>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1"/>
      <c r="BT295" s="1"/>
    </row>
    <row r="296" spans="1:72" ht="15.75" customHeight="1" x14ac:dyDescent="0.35">
      <c r="A296" s="8"/>
      <c r="B296" s="8"/>
      <c r="C296" s="8"/>
      <c r="D296" s="8"/>
      <c r="E296" s="8"/>
      <c r="F296" s="8"/>
      <c r="G296" s="26"/>
      <c r="H296" s="26"/>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1"/>
      <c r="BT296" s="1"/>
    </row>
    <row r="297" spans="1:72" ht="15.75" customHeight="1" x14ac:dyDescent="0.35">
      <c r="A297" s="8"/>
      <c r="B297" s="8"/>
      <c r="C297" s="8"/>
      <c r="D297" s="8"/>
      <c r="E297" s="8"/>
      <c r="F297" s="8"/>
      <c r="G297" s="26"/>
      <c r="H297" s="26"/>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1"/>
      <c r="BT297" s="1"/>
    </row>
    <row r="298" spans="1:72" ht="15.75" customHeight="1" x14ac:dyDescent="0.35">
      <c r="A298" s="8"/>
      <c r="B298" s="8"/>
      <c r="C298" s="8"/>
      <c r="D298" s="8"/>
      <c r="E298" s="8"/>
      <c r="F298" s="8"/>
      <c r="G298" s="26"/>
      <c r="H298" s="26"/>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1"/>
      <c r="BT298" s="1"/>
    </row>
    <row r="299" spans="1:72" ht="15.75" customHeight="1" x14ac:dyDescent="0.35">
      <c r="A299" s="8"/>
      <c r="B299" s="8"/>
      <c r="C299" s="8"/>
      <c r="D299" s="8"/>
      <c r="E299" s="8"/>
      <c r="F299" s="8"/>
      <c r="G299" s="26"/>
      <c r="H299" s="26"/>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1"/>
      <c r="BT299" s="1"/>
    </row>
    <row r="300" spans="1:72" ht="15.75" customHeight="1" x14ac:dyDescent="0.35">
      <c r="A300" s="8"/>
      <c r="B300" s="8"/>
      <c r="C300" s="8"/>
      <c r="D300" s="8"/>
      <c r="E300" s="8"/>
      <c r="F300" s="8"/>
      <c r="G300" s="26"/>
      <c r="H300" s="26"/>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1"/>
      <c r="BT300" s="1"/>
    </row>
    <row r="301" spans="1:72" ht="15.75" customHeight="1" x14ac:dyDescent="0.35">
      <c r="A301" s="8"/>
      <c r="B301" s="8"/>
      <c r="C301" s="8"/>
      <c r="D301" s="8"/>
      <c r="E301" s="8"/>
      <c r="F301" s="8"/>
      <c r="G301" s="26"/>
      <c r="H301" s="26"/>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1"/>
      <c r="BT301" s="1"/>
    </row>
    <row r="302" spans="1:72" ht="15.75" customHeight="1" x14ac:dyDescent="0.35">
      <c r="A302" s="8"/>
      <c r="B302" s="8"/>
      <c r="C302" s="8"/>
      <c r="D302" s="8"/>
      <c r="E302" s="8"/>
      <c r="F302" s="8"/>
      <c r="G302" s="26"/>
      <c r="H302" s="26"/>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1"/>
      <c r="BT302" s="1"/>
    </row>
    <row r="303" spans="1:72" ht="15.75" customHeight="1" x14ac:dyDescent="0.35">
      <c r="A303" s="8"/>
      <c r="B303" s="8"/>
      <c r="C303" s="8"/>
      <c r="D303" s="8"/>
      <c r="E303" s="8"/>
      <c r="F303" s="8"/>
      <c r="G303" s="26"/>
      <c r="H303" s="26"/>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1"/>
      <c r="BT303" s="1"/>
    </row>
    <row r="304" spans="1:72" ht="15.75" customHeight="1" x14ac:dyDescent="0.35">
      <c r="A304" s="8"/>
      <c r="B304" s="8"/>
      <c r="C304" s="8"/>
      <c r="D304" s="8"/>
      <c r="E304" s="8"/>
      <c r="F304" s="8"/>
      <c r="G304" s="26"/>
      <c r="H304" s="26"/>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1"/>
      <c r="BT304" s="1"/>
    </row>
    <row r="305" spans="1:72" ht="15.75" customHeight="1" x14ac:dyDescent="0.35">
      <c r="A305" s="8"/>
      <c r="B305" s="8"/>
      <c r="C305" s="8"/>
      <c r="D305" s="8"/>
      <c r="E305" s="8"/>
      <c r="F305" s="8"/>
      <c r="G305" s="26"/>
      <c r="H305" s="26"/>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1"/>
      <c r="BT305" s="1"/>
    </row>
    <row r="306" spans="1:72" ht="15.75" customHeight="1" x14ac:dyDescent="0.35">
      <c r="A306" s="8"/>
      <c r="B306" s="8"/>
      <c r="C306" s="8"/>
      <c r="D306" s="8"/>
      <c r="E306" s="8"/>
      <c r="F306" s="8"/>
      <c r="G306" s="26"/>
      <c r="H306" s="26"/>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1"/>
      <c r="BT306" s="1"/>
    </row>
    <row r="307" spans="1:72" ht="15.75" customHeight="1" x14ac:dyDescent="0.35">
      <c r="A307" s="8"/>
      <c r="B307" s="8"/>
      <c r="C307" s="8"/>
      <c r="D307" s="8"/>
      <c r="E307" s="8"/>
      <c r="F307" s="8"/>
      <c r="G307" s="26"/>
      <c r="H307" s="26"/>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1"/>
      <c r="BT307" s="1"/>
    </row>
    <row r="308" spans="1:72" ht="15.75" customHeight="1" x14ac:dyDescent="0.35">
      <c r="A308" s="8"/>
      <c r="B308" s="8"/>
      <c r="C308" s="8"/>
      <c r="D308" s="8"/>
      <c r="E308" s="8"/>
      <c r="F308" s="8"/>
      <c r="G308" s="26"/>
      <c r="H308" s="26"/>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1"/>
      <c r="BT308" s="1"/>
    </row>
    <row r="309" spans="1:72" ht="15.75" customHeight="1" x14ac:dyDescent="0.35">
      <c r="A309" s="8"/>
      <c r="B309" s="8"/>
      <c r="C309" s="8"/>
      <c r="D309" s="8"/>
      <c r="E309" s="8"/>
      <c r="F309" s="8"/>
      <c r="G309" s="26"/>
      <c r="H309" s="26"/>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1"/>
      <c r="BT309" s="1"/>
    </row>
    <row r="310" spans="1:72" ht="15.75" customHeight="1" x14ac:dyDescent="0.35">
      <c r="A310" s="8"/>
      <c r="B310" s="8"/>
      <c r="C310" s="8"/>
      <c r="D310" s="8"/>
      <c r="E310" s="8"/>
      <c r="F310" s="8"/>
      <c r="G310" s="26"/>
      <c r="H310" s="26"/>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1"/>
      <c r="BT310" s="1"/>
    </row>
    <row r="311" spans="1:72" ht="15.75" customHeight="1" x14ac:dyDescent="0.35">
      <c r="A311" s="8"/>
      <c r="B311" s="8"/>
      <c r="C311" s="8"/>
      <c r="D311" s="8"/>
      <c r="E311" s="8"/>
      <c r="F311" s="8"/>
      <c r="G311" s="26"/>
      <c r="H311" s="26"/>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1"/>
      <c r="BT311" s="1"/>
    </row>
    <row r="312" spans="1:72" ht="15.75" customHeight="1" x14ac:dyDescent="0.35">
      <c r="A312" s="8"/>
      <c r="B312" s="8"/>
      <c r="C312" s="8"/>
      <c r="D312" s="8"/>
      <c r="E312" s="8"/>
      <c r="F312" s="8"/>
      <c r="G312" s="26"/>
      <c r="H312" s="26"/>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1"/>
      <c r="BT312" s="1"/>
    </row>
    <row r="313" spans="1:72" ht="15.75" customHeight="1" x14ac:dyDescent="0.35">
      <c r="A313" s="8"/>
      <c r="B313" s="8"/>
      <c r="C313" s="8"/>
      <c r="D313" s="8"/>
      <c r="E313" s="8"/>
      <c r="F313" s="8"/>
      <c r="G313" s="26"/>
      <c r="H313" s="26"/>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1"/>
      <c r="BT313" s="1"/>
    </row>
    <row r="314" spans="1:72" ht="15.75" customHeight="1" x14ac:dyDescent="0.35">
      <c r="A314" s="8"/>
      <c r="B314" s="8"/>
      <c r="C314" s="8"/>
      <c r="D314" s="8"/>
      <c r="E314" s="8"/>
      <c r="F314" s="8"/>
      <c r="G314" s="26"/>
      <c r="H314" s="26"/>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1"/>
      <c r="BT314" s="1"/>
    </row>
    <row r="315" spans="1:72" ht="15.75" customHeight="1" x14ac:dyDescent="0.35">
      <c r="A315" s="8"/>
      <c r="B315" s="8"/>
      <c r="C315" s="8"/>
      <c r="D315" s="8"/>
      <c r="E315" s="8"/>
      <c r="F315" s="8"/>
      <c r="G315" s="26"/>
      <c r="H315" s="26"/>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1"/>
      <c r="BT315" s="1"/>
    </row>
    <row r="316" spans="1:72" ht="15.75" customHeight="1" x14ac:dyDescent="0.35">
      <c r="A316" s="8"/>
      <c r="B316" s="8"/>
      <c r="C316" s="8"/>
      <c r="D316" s="8"/>
      <c r="E316" s="8"/>
      <c r="F316" s="8"/>
      <c r="G316" s="26"/>
      <c r="H316" s="26"/>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1"/>
      <c r="BT316" s="1"/>
    </row>
    <row r="317" spans="1:72" ht="15.75" customHeight="1" x14ac:dyDescent="0.35">
      <c r="A317" s="8"/>
      <c r="B317" s="8"/>
      <c r="C317" s="8"/>
      <c r="D317" s="8"/>
      <c r="E317" s="8"/>
      <c r="F317" s="8"/>
      <c r="G317" s="26"/>
      <c r="H317" s="26"/>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1"/>
      <c r="BT317" s="1"/>
    </row>
    <row r="318" spans="1:72" ht="15.75" customHeight="1" x14ac:dyDescent="0.35">
      <c r="A318" s="8"/>
      <c r="B318" s="8"/>
      <c r="C318" s="8"/>
      <c r="D318" s="8"/>
      <c r="E318" s="8"/>
      <c r="F318" s="8"/>
      <c r="G318" s="26"/>
      <c r="H318" s="26"/>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1"/>
      <c r="BT318" s="1"/>
    </row>
    <row r="319" spans="1:72" ht="15.75" customHeight="1" x14ac:dyDescent="0.35">
      <c r="A319" s="8"/>
      <c r="B319" s="8"/>
      <c r="C319" s="8"/>
      <c r="D319" s="8"/>
      <c r="E319" s="8"/>
      <c r="F319" s="8"/>
      <c r="G319" s="26"/>
      <c r="H319" s="26"/>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1"/>
      <c r="BT319" s="1"/>
    </row>
    <row r="320" spans="1:72" ht="15.75" customHeight="1" x14ac:dyDescent="0.35">
      <c r="A320" s="8"/>
      <c r="B320" s="8"/>
      <c r="C320" s="8"/>
      <c r="D320" s="8"/>
      <c r="E320" s="8"/>
      <c r="F320" s="8"/>
      <c r="G320" s="26"/>
      <c r="H320" s="26"/>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1"/>
      <c r="BT320" s="1"/>
    </row>
    <row r="321" spans="1:72" ht="15.75" customHeight="1" x14ac:dyDescent="0.35">
      <c r="A321" s="8"/>
      <c r="B321" s="8"/>
      <c r="C321" s="8"/>
      <c r="D321" s="8"/>
      <c r="E321" s="8"/>
      <c r="F321" s="8"/>
      <c r="G321" s="26"/>
      <c r="H321" s="26"/>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1"/>
      <c r="BT321" s="1"/>
    </row>
    <row r="322" spans="1:72" ht="15.75" customHeight="1" x14ac:dyDescent="0.35">
      <c r="A322" s="8"/>
      <c r="B322" s="8"/>
      <c r="C322" s="8"/>
      <c r="D322" s="8"/>
      <c r="E322" s="8"/>
      <c r="F322" s="8"/>
      <c r="G322" s="26"/>
      <c r="H322" s="26"/>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1"/>
      <c r="BT322" s="1"/>
    </row>
    <row r="323" spans="1:72" ht="15.75" customHeight="1" x14ac:dyDescent="0.35">
      <c r="A323" s="8"/>
      <c r="B323" s="8"/>
      <c r="C323" s="8"/>
      <c r="D323" s="8"/>
      <c r="E323" s="8"/>
      <c r="F323" s="8"/>
      <c r="G323" s="26"/>
      <c r="H323" s="26"/>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1"/>
      <c r="BT323" s="1"/>
    </row>
    <row r="324" spans="1:72" ht="15.75" customHeight="1" x14ac:dyDescent="0.35">
      <c r="A324" s="8"/>
      <c r="B324" s="8"/>
      <c r="C324" s="8"/>
      <c r="D324" s="8"/>
      <c r="E324" s="8"/>
      <c r="F324" s="8"/>
      <c r="G324" s="26"/>
      <c r="H324" s="26"/>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1"/>
      <c r="BT324" s="1"/>
    </row>
    <row r="325" spans="1:72" ht="15.75" customHeight="1" x14ac:dyDescent="0.35">
      <c r="A325" s="8"/>
      <c r="B325" s="8"/>
      <c r="C325" s="8"/>
      <c r="D325" s="8"/>
      <c r="E325" s="8"/>
      <c r="F325" s="8"/>
      <c r="G325" s="26"/>
      <c r="H325" s="26"/>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1"/>
      <c r="BT325" s="1"/>
    </row>
    <row r="326" spans="1:72" ht="15.75" customHeight="1" x14ac:dyDescent="0.35">
      <c r="A326" s="8"/>
      <c r="B326" s="8"/>
      <c r="C326" s="8"/>
      <c r="D326" s="8"/>
      <c r="E326" s="8"/>
      <c r="F326" s="8"/>
      <c r="G326" s="26"/>
      <c r="H326" s="26"/>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1"/>
      <c r="BT326" s="1"/>
    </row>
    <row r="327" spans="1:72" ht="15.75" customHeight="1" x14ac:dyDescent="0.35">
      <c r="A327" s="8"/>
      <c r="B327" s="8"/>
      <c r="C327" s="8"/>
      <c r="D327" s="8"/>
      <c r="E327" s="8"/>
      <c r="F327" s="8"/>
      <c r="G327" s="26"/>
      <c r="H327" s="26"/>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1"/>
      <c r="BT327" s="1"/>
    </row>
    <row r="328" spans="1:72" ht="15.75" customHeight="1" x14ac:dyDescent="0.35">
      <c r="A328" s="8"/>
      <c r="B328" s="8"/>
      <c r="C328" s="8"/>
      <c r="D328" s="8"/>
      <c r="E328" s="8"/>
      <c r="F328" s="8"/>
      <c r="G328" s="26"/>
      <c r="H328" s="26"/>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1"/>
      <c r="BT328" s="1"/>
    </row>
    <row r="329" spans="1:72" ht="15.75" customHeight="1" x14ac:dyDescent="0.35">
      <c r="A329" s="8"/>
      <c r="B329" s="8"/>
      <c r="C329" s="8"/>
      <c r="D329" s="8"/>
      <c r="E329" s="8"/>
      <c r="F329" s="8"/>
      <c r="G329" s="26"/>
      <c r="H329" s="26"/>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1"/>
      <c r="BT329" s="1"/>
    </row>
    <row r="330" spans="1:72" ht="15.75" customHeight="1" x14ac:dyDescent="0.35">
      <c r="A330" s="8"/>
      <c r="B330" s="8"/>
      <c r="C330" s="8"/>
      <c r="D330" s="8"/>
      <c r="E330" s="8"/>
      <c r="F330" s="8"/>
      <c r="G330" s="26"/>
      <c r="H330" s="26"/>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1"/>
      <c r="BT330" s="1"/>
    </row>
    <row r="331" spans="1:72" ht="15.75" customHeight="1" x14ac:dyDescent="0.35">
      <c r="A331" s="8"/>
      <c r="B331" s="8"/>
      <c r="C331" s="8"/>
      <c r="D331" s="8"/>
      <c r="E331" s="8"/>
      <c r="F331" s="8"/>
      <c r="G331" s="26"/>
      <c r="H331" s="26"/>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1"/>
      <c r="BT331" s="1"/>
    </row>
    <row r="332" spans="1:72" ht="15.75" customHeight="1" x14ac:dyDescent="0.35">
      <c r="A332" s="8"/>
      <c r="B332" s="8"/>
      <c r="C332" s="8"/>
      <c r="D332" s="8"/>
      <c r="E332" s="8"/>
      <c r="F332" s="8"/>
      <c r="G332" s="26"/>
      <c r="H332" s="26"/>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1"/>
      <c r="BT332" s="1"/>
    </row>
    <row r="333" spans="1:72" ht="15.75" customHeight="1" x14ac:dyDescent="0.35">
      <c r="A333" s="8"/>
      <c r="B333" s="8"/>
      <c r="C333" s="8"/>
      <c r="D333" s="8"/>
      <c r="E333" s="8"/>
      <c r="F333" s="8"/>
      <c r="G333" s="26"/>
      <c r="H333" s="26"/>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1"/>
      <c r="BT333" s="1"/>
    </row>
    <row r="334" spans="1:72" ht="15.75" customHeight="1" x14ac:dyDescent="0.35">
      <c r="A334" s="8"/>
      <c r="B334" s="8"/>
      <c r="C334" s="8"/>
      <c r="D334" s="8"/>
      <c r="E334" s="8"/>
      <c r="F334" s="8"/>
      <c r="G334" s="26"/>
      <c r="H334" s="26"/>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1"/>
      <c r="BT334" s="1"/>
    </row>
    <row r="335" spans="1:72" ht="15.75" customHeight="1" x14ac:dyDescent="0.35">
      <c r="A335" s="8"/>
      <c r="B335" s="8"/>
      <c r="C335" s="8"/>
      <c r="D335" s="8"/>
      <c r="E335" s="8"/>
      <c r="F335" s="8"/>
      <c r="G335" s="26"/>
      <c r="H335" s="26"/>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1"/>
      <c r="BT335" s="1"/>
    </row>
    <row r="336" spans="1:72" ht="15.75" customHeight="1" x14ac:dyDescent="0.35">
      <c r="A336" s="8"/>
      <c r="B336" s="8"/>
      <c r="C336" s="8"/>
      <c r="D336" s="8"/>
      <c r="E336" s="8"/>
      <c r="F336" s="8"/>
      <c r="G336" s="26"/>
      <c r="H336" s="26"/>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1"/>
      <c r="BT336" s="1"/>
    </row>
    <row r="337" spans="1:72" ht="15.75" customHeight="1" x14ac:dyDescent="0.35">
      <c r="A337" s="8"/>
      <c r="B337" s="8"/>
      <c r="C337" s="8"/>
      <c r="D337" s="8"/>
      <c r="E337" s="8"/>
      <c r="F337" s="8"/>
      <c r="G337" s="26"/>
      <c r="H337" s="26"/>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1"/>
      <c r="BT337" s="1"/>
    </row>
    <row r="338" spans="1:72" ht="15.75" customHeight="1" x14ac:dyDescent="0.35">
      <c r="A338" s="8"/>
      <c r="B338" s="8"/>
      <c r="C338" s="8"/>
      <c r="D338" s="8"/>
      <c r="E338" s="8"/>
      <c r="F338" s="8"/>
      <c r="G338" s="26"/>
      <c r="H338" s="26"/>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1"/>
      <c r="BT338" s="1"/>
    </row>
    <row r="339" spans="1:72" ht="15.75" customHeight="1" x14ac:dyDescent="0.35">
      <c r="A339" s="8"/>
      <c r="B339" s="8"/>
      <c r="C339" s="8"/>
      <c r="D339" s="8"/>
      <c r="E339" s="8"/>
      <c r="F339" s="8"/>
      <c r="G339" s="26"/>
      <c r="H339" s="26"/>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1"/>
      <c r="BT339" s="1"/>
    </row>
    <row r="340" spans="1:72" ht="15.75" customHeight="1" x14ac:dyDescent="0.35">
      <c r="A340" s="8"/>
      <c r="B340" s="8"/>
      <c r="C340" s="8"/>
      <c r="D340" s="8"/>
      <c r="E340" s="8"/>
      <c r="F340" s="8"/>
      <c r="G340" s="26"/>
      <c r="H340" s="26"/>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1"/>
      <c r="BT340" s="1"/>
    </row>
    <row r="341" spans="1:72" ht="15.75" customHeight="1" x14ac:dyDescent="0.35">
      <c r="A341" s="8"/>
      <c r="B341" s="8"/>
      <c r="C341" s="8"/>
      <c r="D341" s="8"/>
      <c r="E341" s="8"/>
      <c r="F341" s="8"/>
      <c r="G341" s="26"/>
      <c r="H341" s="26"/>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1"/>
      <c r="BT341" s="1"/>
    </row>
    <row r="342" spans="1:72" ht="15.75" customHeight="1" x14ac:dyDescent="0.35">
      <c r="A342" s="8"/>
      <c r="B342" s="8"/>
      <c r="C342" s="8"/>
      <c r="D342" s="8"/>
      <c r="E342" s="8"/>
      <c r="F342" s="8"/>
      <c r="G342" s="26"/>
      <c r="H342" s="26"/>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1"/>
      <c r="BT342" s="1"/>
    </row>
    <row r="343" spans="1:72" ht="15.75" customHeight="1" x14ac:dyDescent="0.35">
      <c r="A343" s="8"/>
      <c r="B343" s="8"/>
      <c r="C343" s="8"/>
      <c r="D343" s="8"/>
      <c r="E343" s="8"/>
      <c r="F343" s="8"/>
      <c r="G343" s="26"/>
      <c r="H343" s="26"/>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1"/>
      <c r="BT343" s="1"/>
    </row>
    <row r="344" spans="1:72" ht="15.75" customHeight="1" x14ac:dyDescent="0.35">
      <c r="A344" s="8"/>
      <c r="B344" s="8"/>
      <c r="C344" s="8"/>
      <c r="D344" s="8"/>
      <c r="E344" s="8"/>
      <c r="F344" s="8"/>
      <c r="G344" s="26"/>
      <c r="H344" s="26"/>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1"/>
      <c r="BT344" s="1"/>
    </row>
    <row r="345" spans="1:72" ht="15.75" customHeight="1" x14ac:dyDescent="0.35">
      <c r="A345" s="8"/>
      <c r="B345" s="8"/>
      <c r="C345" s="8"/>
      <c r="D345" s="8"/>
      <c r="E345" s="8"/>
      <c r="F345" s="8"/>
      <c r="G345" s="26"/>
      <c r="H345" s="26"/>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1"/>
      <c r="BT345" s="1"/>
    </row>
    <row r="346" spans="1:72" ht="15.75" customHeight="1" x14ac:dyDescent="0.35">
      <c r="A346" s="8"/>
      <c r="B346" s="8"/>
      <c r="C346" s="8"/>
      <c r="D346" s="8"/>
      <c r="E346" s="8"/>
      <c r="F346" s="8"/>
      <c r="G346" s="26"/>
      <c r="H346" s="26"/>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1"/>
      <c r="BT346" s="1"/>
    </row>
    <row r="347" spans="1:72" ht="15.75" customHeight="1" x14ac:dyDescent="0.35">
      <c r="A347" s="8"/>
      <c r="B347" s="8"/>
      <c r="C347" s="8"/>
      <c r="D347" s="8"/>
      <c r="E347" s="8"/>
      <c r="F347" s="8"/>
      <c r="G347" s="26"/>
      <c r="H347" s="26"/>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1"/>
      <c r="BT347" s="1"/>
    </row>
    <row r="348" spans="1:72" ht="15.75" customHeight="1" x14ac:dyDescent="0.35">
      <c r="A348" s="8"/>
      <c r="B348" s="8"/>
      <c r="C348" s="8"/>
      <c r="D348" s="8"/>
      <c r="E348" s="8"/>
      <c r="F348" s="8"/>
      <c r="G348" s="26"/>
      <c r="H348" s="26"/>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1"/>
      <c r="BT348" s="1"/>
    </row>
    <row r="349" spans="1:72" ht="15.75" customHeight="1" x14ac:dyDescent="0.35">
      <c r="A349" s="8"/>
      <c r="B349" s="8"/>
      <c r="C349" s="8"/>
      <c r="D349" s="8"/>
      <c r="E349" s="8"/>
      <c r="F349" s="8"/>
      <c r="G349" s="26"/>
      <c r="H349" s="26"/>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1"/>
      <c r="BT349" s="1"/>
    </row>
    <row r="350" spans="1:72" ht="15.75" customHeight="1" x14ac:dyDescent="0.35">
      <c r="A350" s="8"/>
      <c r="B350" s="8"/>
      <c r="C350" s="8"/>
      <c r="D350" s="8"/>
      <c r="E350" s="8"/>
      <c r="F350" s="8"/>
      <c r="G350" s="26"/>
      <c r="H350" s="26"/>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1"/>
      <c r="BT350" s="1"/>
    </row>
    <row r="351" spans="1:72" ht="15.75" customHeight="1" x14ac:dyDescent="0.35">
      <c r="A351" s="8"/>
      <c r="B351" s="8"/>
      <c r="C351" s="8"/>
      <c r="D351" s="8"/>
      <c r="E351" s="8"/>
      <c r="F351" s="8"/>
      <c r="G351" s="26"/>
      <c r="H351" s="26"/>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1"/>
      <c r="BT351" s="1"/>
    </row>
    <row r="352" spans="1:72" ht="15.75" customHeight="1" x14ac:dyDescent="0.35">
      <c r="A352" s="8"/>
      <c r="B352" s="8"/>
      <c r="C352" s="8"/>
      <c r="D352" s="8"/>
      <c r="E352" s="8"/>
      <c r="F352" s="8"/>
      <c r="G352" s="26"/>
      <c r="H352" s="26"/>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1"/>
      <c r="BT352" s="1"/>
    </row>
    <row r="353" spans="1:72" ht="15.75" customHeight="1" x14ac:dyDescent="0.35">
      <c r="A353" s="8"/>
      <c r="B353" s="8"/>
      <c r="C353" s="8"/>
      <c r="D353" s="8"/>
      <c r="E353" s="8"/>
      <c r="F353" s="8"/>
      <c r="G353" s="26"/>
      <c r="H353" s="26"/>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1"/>
      <c r="BT353" s="1"/>
    </row>
    <row r="354" spans="1:72" ht="15.75" customHeight="1" x14ac:dyDescent="0.35">
      <c r="A354" s="8"/>
      <c r="B354" s="8"/>
      <c r="C354" s="8"/>
      <c r="D354" s="8"/>
      <c r="E354" s="8"/>
      <c r="F354" s="8"/>
      <c r="G354" s="26"/>
      <c r="H354" s="26"/>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1"/>
      <c r="BT354" s="1"/>
    </row>
    <row r="355" spans="1:72" ht="15.75" customHeight="1" x14ac:dyDescent="0.35">
      <c r="A355" s="8"/>
      <c r="B355" s="8"/>
      <c r="C355" s="8"/>
      <c r="D355" s="8"/>
      <c r="E355" s="8"/>
      <c r="F355" s="8"/>
      <c r="G355" s="26"/>
      <c r="H355" s="26"/>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1"/>
      <c r="BT355" s="1"/>
    </row>
    <row r="356" spans="1:72" ht="15.75" customHeight="1" x14ac:dyDescent="0.35">
      <c r="A356" s="8"/>
      <c r="B356" s="8"/>
      <c r="C356" s="8"/>
      <c r="D356" s="8"/>
      <c r="E356" s="8"/>
      <c r="F356" s="8"/>
      <c r="G356" s="26"/>
      <c r="H356" s="26"/>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1"/>
      <c r="BT356" s="1"/>
    </row>
    <row r="357" spans="1:72" ht="15.75" customHeight="1" x14ac:dyDescent="0.35">
      <c r="A357" s="8"/>
      <c r="B357" s="8"/>
      <c r="C357" s="8"/>
      <c r="D357" s="8"/>
      <c r="E357" s="8"/>
      <c r="F357" s="8"/>
      <c r="G357" s="26"/>
      <c r="H357" s="26"/>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1"/>
      <c r="BT357" s="1"/>
    </row>
    <row r="358" spans="1:72" ht="15.75" customHeight="1" x14ac:dyDescent="0.35">
      <c r="A358" s="8"/>
      <c r="B358" s="8"/>
      <c r="C358" s="8"/>
      <c r="D358" s="8"/>
      <c r="E358" s="8"/>
      <c r="F358" s="8"/>
      <c r="G358" s="26"/>
      <c r="H358" s="26"/>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1"/>
      <c r="BT358" s="1"/>
    </row>
    <row r="359" spans="1:72" ht="15.75" customHeight="1" x14ac:dyDescent="0.35">
      <c r="A359" s="8"/>
      <c r="B359" s="8"/>
      <c r="C359" s="8"/>
      <c r="D359" s="8"/>
      <c r="E359" s="8"/>
      <c r="F359" s="8"/>
      <c r="G359" s="26"/>
      <c r="H359" s="26"/>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1"/>
      <c r="BT359" s="1"/>
    </row>
    <row r="360" spans="1:72" ht="15.75" customHeight="1" x14ac:dyDescent="0.35">
      <c r="A360" s="8"/>
      <c r="B360" s="8"/>
      <c r="C360" s="8"/>
      <c r="D360" s="8"/>
      <c r="E360" s="8"/>
      <c r="F360" s="8"/>
      <c r="G360" s="26"/>
      <c r="H360" s="26"/>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1"/>
      <c r="BT360" s="1"/>
    </row>
    <row r="361" spans="1:72" ht="15.75" customHeight="1" x14ac:dyDescent="0.35">
      <c r="A361" s="8"/>
      <c r="B361" s="8"/>
      <c r="C361" s="8"/>
      <c r="D361" s="8"/>
      <c r="E361" s="8"/>
      <c r="F361" s="8"/>
      <c r="G361" s="26"/>
      <c r="H361" s="26"/>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1"/>
      <c r="BT361" s="1"/>
    </row>
    <row r="362" spans="1:72" ht="15.75" customHeight="1" x14ac:dyDescent="0.35">
      <c r="A362" s="8"/>
      <c r="B362" s="8"/>
      <c r="C362" s="8"/>
      <c r="D362" s="8"/>
      <c r="E362" s="8"/>
      <c r="F362" s="8"/>
      <c r="G362" s="26"/>
      <c r="H362" s="26"/>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1"/>
      <c r="BT362" s="1"/>
    </row>
    <row r="363" spans="1:72" ht="15.75" customHeight="1" x14ac:dyDescent="0.35">
      <c r="A363" s="8"/>
      <c r="B363" s="8"/>
      <c r="C363" s="8"/>
      <c r="D363" s="8"/>
      <c r="E363" s="8"/>
      <c r="F363" s="8"/>
      <c r="G363" s="26"/>
      <c r="H363" s="26"/>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1"/>
      <c r="BT363" s="1"/>
    </row>
    <row r="364" spans="1:72" ht="15.75" customHeight="1" x14ac:dyDescent="0.35">
      <c r="A364" s="8"/>
      <c r="B364" s="8"/>
      <c r="C364" s="8"/>
      <c r="D364" s="8"/>
      <c r="E364" s="8"/>
      <c r="F364" s="8"/>
      <c r="G364" s="26"/>
      <c r="H364" s="26"/>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1"/>
      <c r="BT364" s="1"/>
    </row>
    <row r="365" spans="1:72" ht="15.75" customHeight="1" x14ac:dyDescent="0.35">
      <c r="A365" s="8"/>
      <c r="B365" s="8"/>
      <c r="C365" s="8"/>
      <c r="D365" s="8"/>
      <c r="E365" s="8"/>
      <c r="F365" s="8"/>
      <c r="G365" s="26"/>
      <c r="H365" s="26"/>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1"/>
      <c r="BT365" s="1"/>
    </row>
    <row r="366" spans="1:72" ht="15.75" customHeight="1" x14ac:dyDescent="0.35">
      <c r="A366" s="8"/>
      <c r="B366" s="8"/>
      <c r="C366" s="8"/>
      <c r="D366" s="8"/>
      <c r="E366" s="8"/>
      <c r="F366" s="8"/>
      <c r="G366" s="26"/>
      <c r="H366" s="26"/>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1"/>
      <c r="BT366" s="1"/>
    </row>
    <row r="367" spans="1:72" ht="15.75" customHeight="1" x14ac:dyDescent="0.35">
      <c r="A367" s="8"/>
      <c r="B367" s="8"/>
      <c r="C367" s="8"/>
      <c r="D367" s="8"/>
      <c r="E367" s="8"/>
      <c r="F367" s="8"/>
      <c r="G367" s="26"/>
      <c r="H367" s="26"/>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1"/>
      <c r="BT367" s="1"/>
    </row>
    <row r="368" spans="1:72" ht="15.75" customHeight="1" x14ac:dyDescent="0.35">
      <c r="A368" s="8"/>
      <c r="B368" s="8"/>
      <c r="C368" s="8"/>
      <c r="D368" s="8"/>
      <c r="E368" s="8"/>
      <c r="F368" s="8"/>
      <c r="G368" s="26"/>
      <c r="H368" s="26"/>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1"/>
      <c r="BT368" s="1"/>
    </row>
    <row r="369" spans="1:72" ht="15.75" customHeight="1" x14ac:dyDescent="0.35">
      <c r="A369" s="8"/>
      <c r="B369" s="8"/>
      <c r="C369" s="8"/>
      <c r="D369" s="8"/>
      <c r="E369" s="8"/>
      <c r="F369" s="8"/>
      <c r="G369" s="26"/>
      <c r="H369" s="26"/>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1"/>
      <c r="BT369" s="1"/>
    </row>
    <row r="370" spans="1:72" ht="15.75" customHeight="1" x14ac:dyDescent="0.35">
      <c r="A370" s="8"/>
      <c r="B370" s="8"/>
      <c r="C370" s="8"/>
      <c r="D370" s="8"/>
      <c r="E370" s="8"/>
      <c r="F370" s="8"/>
      <c r="G370" s="26"/>
      <c r="H370" s="26"/>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1"/>
      <c r="BT370" s="1"/>
    </row>
    <row r="371" spans="1:72" ht="15.75" customHeight="1" x14ac:dyDescent="0.35">
      <c r="A371" s="8"/>
      <c r="B371" s="8"/>
      <c r="C371" s="8"/>
      <c r="D371" s="8"/>
      <c r="E371" s="8"/>
      <c r="F371" s="8"/>
      <c r="G371" s="26"/>
      <c r="H371" s="26"/>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1"/>
      <c r="BT371" s="1"/>
    </row>
    <row r="372" spans="1:72" ht="15.75" customHeight="1" x14ac:dyDescent="0.35">
      <c r="A372" s="8"/>
      <c r="B372" s="8"/>
      <c r="C372" s="8"/>
      <c r="D372" s="8"/>
      <c r="E372" s="8"/>
      <c r="F372" s="8"/>
      <c r="G372" s="26"/>
      <c r="H372" s="26"/>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1"/>
      <c r="BT372" s="1"/>
    </row>
    <row r="373" spans="1:72" ht="15.75" customHeight="1" x14ac:dyDescent="0.35">
      <c r="A373" s="8"/>
      <c r="B373" s="8"/>
      <c r="C373" s="8"/>
      <c r="D373" s="8"/>
      <c r="E373" s="8"/>
      <c r="F373" s="8"/>
      <c r="G373" s="26"/>
      <c r="H373" s="26"/>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1"/>
      <c r="BT373" s="1"/>
    </row>
    <row r="374" spans="1:72" ht="15.75" customHeight="1" x14ac:dyDescent="0.35">
      <c r="A374" s="8"/>
      <c r="B374" s="8"/>
      <c r="C374" s="8"/>
      <c r="D374" s="8"/>
      <c r="E374" s="8"/>
      <c r="F374" s="8"/>
      <c r="G374" s="26"/>
      <c r="H374" s="26"/>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1"/>
      <c r="BT374" s="1"/>
    </row>
    <row r="375" spans="1:72" ht="15.75" customHeight="1" x14ac:dyDescent="0.35">
      <c r="A375" s="8"/>
      <c r="B375" s="8"/>
      <c r="C375" s="8"/>
      <c r="D375" s="8"/>
      <c r="E375" s="8"/>
      <c r="F375" s="8"/>
      <c r="G375" s="26"/>
      <c r="H375" s="26"/>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1"/>
      <c r="BT375" s="1"/>
    </row>
    <row r="376" spans="1:72" ht="15.75" customHeight="1" x14ac:dyDescent="0.35">
      <c r="A376" s="8"/>
      <c r="B376" s="8"/>
      <c r="C376" s="8"/>
      <c r="D376" s="8"/>
      <c r="E376" s="8"/>
      <c r="F376" s="8"/>
      <c r="G376" s="26"/>
      <c r="H376" s="26"/>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1"/>
      <c r="BT376" s="1"/>
    </row>
    <row r="377" spans="1:72" ht="15.75" customHeight="1" x14ac:dyDescent="0.35">
      <c r="A377" s="8"/>
      <c r="B377" s="8"/>
      <c r="C377" s="8"/>
      <c r="D377" s="8"/>
      <c r="E377" s="8"/>
      <c r="F377" s="8"/>
      <c r="G377" s="26"/>
      <c r="H377" s="26"/>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1"/>
      <c r="BT377" s="1"/>
    </row>
    <row r="378" spans="1:72" ht="15.75" customHeight="1" x14ac:dyDescent="0.35">
      <c r="A378" s="8"/>
      <c r="B378" s="8"/>
      <c r="C378" s="8"/>
      <c r="D378" s="8"/>
      <c r="E378" s="8"/>
      <c r="F378" s="8"/>
      <c r="G378" s="26"/>
      <c r="H378" s="26"/>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1"/>
      <c r="BT378" s="1"/>
    </row>
    <row r="379" spans="1:72" ht="15.75" customHeight="1" x14ac:dyDescent="0.35">
      <c r="A379" s="8"/>
      <c r="B379" s="8"/>
      <c r="C379" s="8"/>
      <c r="D379" s="8"/>
      <c r="E379" s="8"/>
      <c r="F379" s="8"/>
      <c r="G379" s="26"/>
      <c r="H379" s="26"/>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1"/>
      <c r="BT379" s="1"/>
    </row>
    <row r="380" spans="1:72" ht="15.75" customHeight="1" x14ac:dyDescent="0.35">
      <c r="A380" s="8"/>
      <c r="B380" s="8"/>
      <c r="C380" s="8"/>
      <c r="D380" s="8"/>
      <c r="E380" s="8"/>
      <c r="F380" s="8"/>
      <c r="G380" s="26"/>
      <c r="H380" s="26"/>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1"/>
      <c r="BT380" s="1"/>
    </row>
    <row r="381" spans="1:72" ht="15.75" customHeight="1" x14ac:dyDescent="0.35">
      <c r="A381" s="8"/>
      <c r="B381" s="8"/>
      <c r="C381" s="8"/>
      <c r="D381" s="8"/>
      <c r="E381" s="8"/>
      <c r="F381" s="8"/>
      <c r="G381" s="26"/>
      <c r="H381" s="26"/>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1"/>
      <c r="BT381" s="1"/>
    </row>
    <row r="382" spans="1:72" ht="15.75" customHeight="1" x14ac:dyDescent="0.35">
      <c r="A382" s="8"/>
      <c r="B382" s="8"/>
      <c r="C382" s="8"/>
      <c r="D382" s="8"/>
      <c r="E382" s="8"/>
      <c r="F382" s="8"/>
      <c r="G382" s="26"/>
      <c r="H382" s="26"/>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1"/>
      <c r="BT382" s="1"/>
    </row>
    <row r="383" spans="1:72" ht="15.75" customHeight="1" x14ac:dyDescent="0.35">
      <c r="A383" s="8"/>
      <c r="B383" s="8"/>
      <c r="C383" s="8"/>
      <c r="D383" s="8"/>
      <c r="E383" s="8"/>
      <c r="F383" s="8"/>
      <c r="G383" s="26"/>
      <c r="H383" s="26"/>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1"/>
      <c r="BT383" s="1"/>
    </row>
    <row r="384" spans="1:72" ht="15.75" customHeight="1" x14ac:dyDescent="0.35">
      <c r="A384" s="8"/>
      <c r="B384" s="8"/>
      <c r="C384" s="8"/>
      <c r="D384" s="8"/>
      <c r="E384" s="8"/>
      <c r="F384" s="8"/>
      <c r="G384" s="26"/>
      <c r="H384" s="26"/>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1"/>
      <c r="BT384" s="1"/>
    </row>
    <row r="385" spans="1:72" ht="15.75" customHeight="1" x14ac:dyDescent="0.35">
      <c r="A385" s="8"/>
      <c r="B385" s="8"/>
      <c r="C385" s="8"/>
      <c r="D385" s="8"/>
      <c r="E385" s="8"/>
      <c r="F385" s="8"/>
      <c r="G385" s="26"/>
      <c r="H385" s="26"/>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1"/>
      <c r="BT385" s="1"/>
    </row>
    <row r="386" spans="1:72" ht="15.75" customHeight="1" x14ac:dyDescent="0.35">
      <c r="A386" s="8"/>
      <c r="B386" s="8"/>
      <c r="C386" s="8"/>
      <c r="D386" s="8"/>
      <c r="E386" s="8"/>
      <c r="F386" s="8"/>
      <c r="G386" s="26"/>
      <c r="H386" s="26"/>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1"/>
      <c r="BT386" s="1"/>
    </row>
    <row r="387" spans="1:72" ht="15.75" customHeight="1" x14ac:dyDescent="0.35">
      <c r="A387" s="8"/>
      <c r="B387" s="8"/>
      <c r="C387" s="8"/>
      <c r="D387" s="8"/>
      <c r="E387" s="8"/>
      <c r="F387" s="8"/>
      <c r="G387" s="26"/>
      <c r="H387" s="26"/>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1"/>
      <c r="BT387" s="1"/>
    </row>
    <row r="388" spans="1:72" ht="15.75" customHeight="1" x14ac:dyDescent="0.35">
      <c r="A388" s="8"/>
      <c r="B388" s="8"/>
      <c r="C388" s="8"/>
      <c r="D388" s="8"/>
      <c r="E388" s="8"/>
      <c r="F388" s="8"/>
      <c r="G388" s="26"/>
      <c r="H388" s="26"/>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1"/>
      <c r="BT388" s="1"/>
    </row>
    <row r="389" spans="1:72" ht="15.75" customHeight="1" x14ac:dyDescent="0.35">
      <c r="A389" s="8"/>
      <c r="B389" s="8"/>
      <c r="C389" s="8"/>
      <c r="D389" s="8"/>
      <c r="E389" s="8"/>
      <c r="F389" s="8"/>
      <c r="G389" s="26"/>
      <c r="H389" s="26"/>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1"/>
      <c r="BT389" s="1"/>
    </row>
    <row r="390" spans="1:72" ht="15.75" customHeight="1" x14ac:dyDescent="0.35">
      <c r="A390" s="8"/>
      <c r="B390" s="8"/>
      <c r="C390" s="8"/>
      <c r="D390" s="8"/>
      <c r="E390" s="8"/>
      <c r="F390" s="8"/>
      <c r="G390" s="26"/>
      <c r="H390" s="26"/>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1"/>
      <c r="BT390" s="1"/>
    </row>
    <row r="391" spans="1:72" ht="15.75" customHeight="1" x14ac:dyDescent="0.35">
      <c r="A391" s="8"/>
      <c r="B391" s="8"/>
      <c r="C391" s="8"/>
      <c r="D391" s="8"/>
      <c r="E391" s="8"/>
      <c r="F391" s="8"/>
      <c r="G391" s="26"/>
      <c r="H391" s="26"/>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1"/>
      <c r="BT391" s="1"/>
    </row>
    <row r="392" spans="1:72" ht="15.75" customHeight="1" x14ac:dyDescent="0.35">
      <c r="A392" s="8"/>
      <c r="B392" s="8"/>
      <c r="C392" s="8"/>
      <c r="D392" s="8"/>
      <c r="E392" s="8"/>
      <c r="F392" s="8"/>
      <c r="G392" s="26"/>
      <c r="H392" s="26"/>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1"/>
      <c r="BT392" s="1"/>
    </row>
    <row r="393" spans="1:72" ht="15.75" customHeight="1" x14ac:dyDescent="0.35">
      <c r="A393" s="8"/>
      <c r="B393" s="8"/>
      <c r="C393" s="8"/>
      <c r="D393" s="8"/>
      <c r="E393" s="8"/>
      <c r="F393" s="8"/>
      <c r="G393" s="26"/>
      <c r="H393" s="26"/>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1"/>
      <c r="BT393" s="1"/>
    </row>
    <row r="394" spans="1:72" ht="15.75" customHeight="1" x14ac:dyDescent="0.35">
      <c r="A394" s="8"/>
      <c r="B394" s="8"/>
      <c r="C394" s="8"/>
      <c r="D394" s="8"/>
      <c r="E394" s="8"/>
      <c r="F394" s="8"/>
      <c r="G394" s="26"/>
      <c r="H394" s="26"/>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1"/>
      <c r="BT394" s="1"/>
    </row>
    <row r="395" spans="1:72" ht="15.75" customHeight="1" x14ac:dyDescent="0.35">
      <c r="A395" s="8"/>
      <c r="B395" s="8"/>
      <c r="C395" s="8"/>
      <c r="D395" s="8"/>
      <c r="E395" s="8"/>
      <c r="F395" s="8"/>
      <c r="G395" s="26"/>
      <c r="H395" s="26"/>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1"/>
      <c r="BT395" s="1"/>
    </row>
    <row r="396" spans="1:72" ht="15.75" customHeight="1" x14ac:dyDescent="0.35">
      <c r="A396" s="8"/>
      <c r="B396" s="8"/>
      <c r="C396" s="8"/>
      <c r="D396" s="8"/>
      <c r="E396" s="8"/>
      <c r="F396" s="8"/>
      <c r="G396" s="26"/>
      <c r="H396" s="26"/>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1"/>
      <c r="BT396" s="1"/>
    </row>
    <row r="397" spans="1:72" ht="15.75" customHeight="1" x14ac:dyDescent="0.35">
      <c r="A397" s="8"/>
      <c r="B397" s="8"/>
      <c r="C397" s="8"/>
      <c r="D397" s="8"/>
      <c r="E397" s="8"/>
      <c r="F397" s="8"/>
      <c r="G397" s="26"/>
      <c r="H397" s="26"/>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1"/>
      <c r="BT397" s="1"/>
    </row>
    <row r="398" spans="1:72" ht="15.75" customHeight="1" x14ac:dyDescent="0.35">
      <c r="A398" s="8"/>
      <c r="B398" s="8"/>
      <c r="C398" s="8"/>
      <c r="D398" s="8"/>
      <c r="E398" s="8"/>
      <c r="F398" s="8"/>
      <c r="G398" s="26"/>
      <c r="H398" s="26"/>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1"/>
      <c r="BT398" s="1"/>
    </row>
    <row r="399" spans="1:72" ht="15.75" customHeight="1" x14ac:dyDescent="0.35">
      <c r="A399" s="8"/>
      <c r="B399" s="8"/>
      <c r="C399" s="8"/>
      <c r="D399" s="8"/>
      <c r="E399" s="8"/>
      <c r="F399" s="8"/>
      <c r="G399" s="26"/>
      <c r="H399" s="26"/>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1"/>
      <c r="BT399" s="1"/>
    </row>
    <row r="400" spans="1:72" ht="15.75" customHeight="1" x14ac:dyDescent="0.35">
      <c r="A400" s="8"/>
      <c r="B400" s="8"/>
      <c r="C400" s="8"/>
      <c r="D400" s="8"/>
      <c r="E400" s="8"/>
      <c r="F400" s="8"/>
      <c r="G400" s="26"/>
      <c r="H400" s="26"/>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1"/>
      <c r="BT400" s="1"/>
    </row>
    <row r="401" spans="1:72" ht="15.75" customHeight="1" x14ac:dyDescent="0.35">
      <c r="A401" s="8"/>
      <c r="B401" s="8"/>
      <c r="C401" s="8"/>
      <c r="D401" s="8"/>
      <c r="E401" s="8"/>
      <c r="F401" s="8"/>
      <c r="G401" s="26"/>
      <c r="H401" s="26"/>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1"/>
      <c r="BT401" s="1"/>
    </row>
    <row r="402" spans="1:72" ht="15.75" customHeight="1" x14ac:dyDescent="0.35">
      <c r="A402" s="8"/>
      <c r="B402" s="8"/>
      <c r="C402" s="8"/>
      <c r="D402" s="8"/>
      <c r="E402" s="8"/>
      <c r="F402" s="8"/>
      <c r="G402" s="26"/>
      <c r="H402" s="26"/>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1"/>
      <c r="BT402" s="1"/>
    </row>
    <row r="403" spans="1:72" ht="15.75" customHeight="1" x14ac:dyDescent="0.35">
      <c r="A403" s="8"/>
      <c r="B403" s="8"/>
      <c r="C403" s="8"/>
      <c r="D403" s="8"/>
      <c r="E403" s="8"/>
      <c r="F403" s="8"/>
      <c r="G403" s="26"/>
      <c r="H403" s="26"/>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1"/>
      <c r="BT403" s="1"/>
    </row>
    <row r="404" spans="1:72" ht="15.75" customHeight="1" x14ac:dyDescent="0.35">
      <c r="A404" s="8"/>
      <c r="B404" s="8"/>
      <c r="C404" s="8"/>
      <c r="D404" s="8"/>
      <c r="E404" s="8"/>
      <c r="F404" s="8"/>
      <c r="G404" s="26"/>
      <c r="H404" s="26"/>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1"/>
      <c r="BT404" s="1"/>
    </row>
    <row r="405" spans="1:72" ht="15.75" customHeight="1" x14ac:dyDescent="0.35">
      <c r="A405" s="8"/>
      <c r="B405" s="8"/>
      <c r="C405" s="8"/>
      <c r="D405" s="8"/>
      <c r="E405" s="8"/>
      <c r="F405" s="8"/>
      <c r="G405" s="26"/>
      <c r="H405" s="26"/>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1"/>
      <c r="BT405" s="1"/>
    </row>
    <row r="406" spans="1:72" ht="15.75" customHeight="1" x14ac:dyDescent="0.35">
      <c r="A406" s="8"/>
      <c r="B406" s="8"/>
      <c r="C406" s="8"/>
      <c r="D406" s="8"/>
      <c r="E406" s="8"/>
      <c r="F406" s="8"/>
      <c r="G406" s="26"/>
      <c r="H406" s="26"/>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1"/>
      <c r="BT406" s="1"/>
    </row>
    <row r="407" spans="1:72" ht="15.75" customHeight="1" x14ac:dyDescent="0.35">
      <c r="A407" s="8"/>
      <c r="B407" s="8"/>
      <c r="C407" s="8"/>
      <c r="D407" s="8"/>
      <c r="E407" s="8"/>
      <c r="F407" s="8"/>
      <c r="G407" s="26"/>
      <c r="H407" s="26"/>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1"/>
      <c r="BT407" s="1"/>
    </row>
    <row r="408" spans="1:72" ht="15.75" customHeight="1" x14ac:dyDescent="0.35">
      <c r="A408" s="8"/>
      <c r="B408" s="8"/>
      <c r="C408" s="8"/>
      <c r="D408" s="8"/>
      <c r="E408" s="8"/>
      <c r="F408" s="8"/>
      <c r="G408" s="26"/>
      <c r="H408" s="26"/>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1"/>
      <c r="BT408" s="1"/>
    </row>
    <row r="409" spans="1:72" ht="15.75" customHeight="1" x14ac:dyDescent="0.35">
      <c r="A409" s="8"/>
      <c r="B409" s="8"/>
      <c r="C409" s="8"/>
      <c r="D409" s="8"/>
      <c r="E409" s="8"/>
      <c r="F409" s="8"/>
      <c r="G409" s="26"/>
      <c r="H409" s="26"/>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1"/>
      <c r="BT409" s="1"/>
    </row>
    <row r="410" spans="1:72" ht="15.75" customHeight="1" x14ac:dyDescent="0.35">
      <c r="A410" s="8"/>
      <c r="B410" s="8"/>
      <c r="C410" s="8"/>
      <c r="D410" s="8"/>
      <c r="E410" s="8"/>
      <c r="F410" s="8"/>
      <c r="G410" s="26"/>
      <c r="H410" s="26"/>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1"/>
      <c r="BT410" s="1"/>
    </row>
    <row r="411" spans="1:72" ht="15.75" customHeight="1" x14ac:dyDescent="0.35">
      <c r="A411" s="8"/>
      <c r="B411" s="8"/>
      <c r="C411" s="8"/>
      <c r="D411" s="8"/>
      <c r="E411" s="8"/>
      <c r="F411" s="8"/>
      <c r="G411" s="26"/>
      <c r="H411" s="26"/>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1"/>
      <c r="BT411" s="1"/>
    </row>
    <row r="412" spans="1:72" ht="15.75" customHeight="1" x14ac:dyDescent="0.35">
      <c r="A412" s="8"/>
      <c r="B412" s="8"/>
      <c r="C412" s="8"/>
      <c r="D412" s="8"/>
      <c r="E412" s="8"/>
      <c r="F412" s="8"/>
      <c r="G412" s="26"/>
      <c r="H412" s="26"/>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1"/>
      <c r="BT412" s="1"/>
    </row>
    <row r="413" spans="1:72" ht="15.75" customHeight="1" x14ac:dyDescent="0.35">
      <c r="A413" s="8"/>
      <c r="B413" s="8"/>
      <c r="C413" s="8"/>
      <c r="D413" s="8"/>
      <c r="E413" s="8"/>
      <c r="F413" s="8"/>
      <c r="G413" s="26"/>
      <c r="H413" s="26"/>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1"/>
      <c r="BT413" s="1"/>
    </row>
    <row r="414" spans="1:72" ht="15.75" customHeight="1" x14ac:dyDescent="0.35">
      <c r="A414" s="8"/>
      <c r="B414" s="8"/>
      <c r="C414" s="8"/>
      <c r="D414" s="8"/>
      <c r="E414" s="8"/>
      <c r="F414" s="8"/>
      <c r="G414" s="26"/>
      <c r="H414" s="26"/>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1"/>
      <c r="BT414" s="1"/>
    </row>
    <row r="415" spans="1:72" ht="15.75" customHeight="1" x14ac:dyDescent="0.35">
      <c r="A415" s="8"/>
      <c r="B415" s="8"/>
      <c r="C415" s="8"/>
      <c r="D415" s="8"/>
      <c r="E415" s="8"/>
      <c r="F415" s="8"/>
      <c r="G415" s="26"/>
      <c r="H415" s="26"/>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1"/>
      <c r="BT415" s="1"/>
    </row>
    <row r="416" spans="1:72" ht="15.75" customHeight="1" x14ac:dyDescent="0.35">
      <c r="A416" s="8"/>
      <c r="B416" s="8"/>
      <c r="C416" s="8"/>
      <c r="D416" s="8"/>
      <c r="E416" s="8"/>
      <c r="F416" s="8"/>
      <c r="G416" s="26"/>
      <c r="H416" s="26"/>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1"/>
      <c r="BT416" s="1"/>
    </row>
    <row r="417" spans="1:72" ht="15.75" customHeight="1" x14ac:dyDescent="0.35">
      <c r="A417" s="8"/>
      <c r="B417" s="8"/>
      <c r="C417" s="8"/>
      <c r="D417" s="8"/>
      <c r="E417" s="8"/>
      <c r="F417" s="8"/>
      <c r="G417" s="26"/>
      <c r="H417" s="26"/>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1"/>
      <c r="BT417" s="1"/>
    </row>
    <row r="418" spans="1:72" ht="15.75" customHeight="1" x14ac:dyDescent="0.35">
      <c r="A418" s="8"/>
      <c r="B418" s="8"/>
      <c r="C418" s="8"/>
      <c r="D418" s="8"/>
      <c r="E418" s="8"/>
      <c r="F418" s="8"/>
      <c r="G418" s="26"/>
      <c r="H418" s="26"/>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1"/>
      <c r="BT418" s="1"/>
    </row>
    <row r="419" spans="1:72" ht="15.75" customHeight="1" x14ac:dyDescent="0.35">
      <c r="A419" s="8"/>
      <c r="B419" s="8"/>
      <c r="C419" s="8"/>
      <c r="D419" s="8"/>
      <c r="E419" s="8"/>
      <c r="F419" s="8"/>
      <c r="G419" s="26"/>
      <c r="H419" s="26"/>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1"/>
      <c r="BT419" s="1"/>
    </row>
    <row r="420" spans="1:72" ht="15.75" customHeight="1" x14ac:dyDescent="0.35">
      <c r="A420" s="8"/>
      <c r="B420" s="8"/>
      <c r="C420" s="8"/>
      <c r="D420" s="8"/>
      <c r="E420" s="8"/>
      <c r="F420" s="8"/>
      <c r="G420" s="26"/>
      <c r="H420" s="26"/>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1"/>
      <c r="BT420" s="1"/>
    </row>
    <row r="421" spans="1:72" ht="15.75" customHeight="1" x14ac:dyDescent="0.35">
      <c r="A421" s="8"/>
      <c r="B421" s="8"/>
      <c r="C421" s="8"/>
      <c r="D421" s="8"/>
      <c r="E421" s="8"/>
      <c r="F421" s="8"/>
      <c r="G421" s="26"/>
      <c r="H421" s="26"/>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1"/>
      <c r="BT421" s="1"/>
    </row>
    <row r="422" spans="1:72" ht="15.75" customHeight="1" x14ac:dyDescent="0.35">
      <c r="A422" s="8"/>
      <c r="B422" s="8"/>
      <c r="C422" s="8"/>
      <c r="D422" s="8"/>
      <c r="E422" s="8"/>
      <c r="F422" s="8"/>
      <c r="G422" s="26"/>
      <c r="H422" s="26"/>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1"/>
      <c r="BT422" s="1"/>
    </row>
    <row r="423" spans="1:72" ht="15.75" customHeight="1" x14ac:dyDescent="0.35">
      <c r="A423" s="8"/>
      <c r="B423" s="8"/>
      <c r="C423" s="8"/>
      <c r="D423" s="8"/>
      <c r="E423" s="8"/>
      <c r="F423" s="8"/>
      <c r="G423" s="26"/>
      <c r="H423" s="26"/>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1"/>
      <c r="BT423" s="1"/>
    </row>
    <row r="424" spans="1:72" ht="15.75" customHeight="1" x14ac:dyDescent="0.35">
      <c r="A424" s="8"/>
      <c r="B424" s="8"/>
      <c r="C424" s="8"/>
      <c r="D424" s="8"/>
      <c r="E424" s="8"/>
      <c r="F424" s="8"/>
      <c r="G424" s="26"/>
      <c r="H424" s="26"/>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1"/>
      <c r="BT424" s="1"/>
    </row>
    <row r="425" spans="1:72" ht="15.75" customHeight="1" x14ac:dyDescent="0.35">
      <c r="A425" s="8"/>
      <c r="B425" s="8"/>
      <c r="C425" s="8"/>
      <c r="D425" s="8"/>
      <c r="E425" s="8"/>
      <c r="F425" s="8"/>
      <c r="G425" s="26"/>
      <c r="H425" s="26"/>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1"/>
      <c r="BT425" s="1"/>
    </row>
    <row r="426" spans="1:72" ht="15.75" customHeight="1" x14ac:dyDescent="0.35">
      <c r="A426" s="8"/>
      <c r="B426" s="8"/>
      <c r="C426" s="8"/>
      <c r="D426" s="8"/>
      <c r="E426" s="8"/>
      <c r="F426" s="8"/>
      <c r="G426" s="26"/>
      <c r="H426" s="26"/>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1"/>
      <c r="BT426" s="1"/>
    </row>
    <row r="427" spans="1:72" ht="15.75" customHeight="1" x14ac:dyDescent="0.35">
      <c r="A427" s="8"/>
      <c r="B427" s="8"/>
      <c r="C427" s="8"/>
      <c r="D427" s="8"/>
      <c r="E427" s="8"/>
      <c r="F427" s="8"/>
      <c r="G427" s="26"/>
      <c r="H427" s="26"/>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1"/>
      <c r="BT427" s="1"/>
    </row>
    <row r="428" spans="1:72" ht="15.75" customHeight="1" x14ac:dyDescent="0.35">
      <c r="A428" s="8"/>
      <c r="B428" s="8"/>
      <c r="C428" s="8"/>
      <c r="D428" s="8"/>
      <c r="E428" s="8"/>
      <c r="F428" s="8"/>
      <c r="G428" s="26"/>
      <c r="H428" s="26"/>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1"/>
      <c r="BT428" s="1"/>
    </row>
    <row r="429" spans="1:72" ht="15.75" customHeight="1" x14ac:dyDescent="0.35">
      <c r="A429" s="8"/>
      <c r="B429" s="8"/>
      <c r="C429" s="8"/>
      <c r="D429" s="8"/>
      <c r="E429" s="8"/>
      <c r="F429" s="8"/>
      <c r="G429" s="26"/>
      <c r="H429" s="26"/>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1"/>
      <c r="BT429" s="1"/>
    </row>
    <row r="430" spans="1:72" ht="15.75" customHeight="1" x14ac:dyDescent="0.35">
      <c r="A430" s="8"/>
      <c r="B430" s="8"/>
      <c r="C430" s="8"/>
      <c r="D430" s="8"/>
      <c r="E430" s="8"/>
      <c r="F430" s="8"/>
      <c r="G430" s="26"/>
      <c r="H430" s="26"/>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1"/>
      <c r="BT430" s="1"/>
    </row>
    <row r="431" spans="1:72" ht="15.75" customHeight="1" x14ac:dyDescent="0.35">
      <c r="A431" s="8"/>
      <c r="B431" s="8"/>
      <c r="C431" s="8"/>
      <c r="D431" s="8"/>
      <c r="E431" s="8"/>
      <c r="F431" s="8"/>
      <c r="G431" s="26"/>
      <c r="H431" s="26"/>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1"/>
      <c r="BT431" s="1"/>
    </row>
    <row r="432" spans="1:72" ht="15.75" customHeight="1" x14ac:dyDescent="0.35">
      <c r="A432" s="8"/>
      <c r="B432" s="8"/>
      <c r="C432" s="8"/>
      <c r="D432" s="8"/>
      <c r="E432" s="8"/>
      <c r="F432" s="8"/>
      <c r="G432" s="26"/>
      <c r="H432" s="26"/>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1"/>
      <c r="BT432" s="1"/>
    </row>
    <row r="433" spans="1:72" ht="15.75" customHeight="1" x14ac:dyDescent="0.35">
      <c r="A433" s="8"/>
      <c r="B433" s="8"/>
      <c r="C433" s="8"/>
      <c r="D433" s="8"/>
      <c r="E433" s="8"/>
      <c r="F433" s="8"/>
      <c r="G433" s="26"/>
      <c r="H433" s="26"/>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1"/>
      <c r="BT433" s="1"/>
    </row>
    <row r="434" spans="1:72" ht="15.75" customHeight="1" x14ac:dyDescent="0.35">
      <c r="A434" s="8"/>
      <c r="B434" s="8"/>
      <c r="C434" s="8"/>
      <c r="D434" s="8"/>
      <c r="E434" s="8"/>
      <c r="F434" s="8"/>
      <c r="G434" s="26"/>
      <c r="H434" s="26"/>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1"/>
      <c r="BT434" s="1"/>
    </row>
    <row r="435" spans="1:72" ht="15.75" customHeight="1" x14ac:dyDescent="0.35">
      <c r="A435" s="8"/>
      <c r="B435" s="8"/>
      <c r="C435" s="8"/>
      <c r="D435" s="8"/>
      <c r="E435" s="8"/>
      <c r="F435" s="8"/>
      <c r="G435" s="26"/>
      <c r="H435" s="26"/>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1"/>
      <c r="BT435" s="1"/>
    </row>
    <row r="436" spans="1:72" ht="15.75" customHeight="1" x14ac:dyDescent="0.35">
      <c r="A436" s="8"/>
      <c r="B436" s="8"/>
      <c r="C436" s="8"/>
      <c r="D436" s="8"/>
      <c r="E436" s="8"/>
      <c r="F436" s="8"/>
      <c r="G436" s="26"/>
      <c r="H436" s="26"/>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1"/>
      <c r="BT436" s="1"/>
    </row>
    <row r="437" spans="1:72" ht="15.75" customHeight="1" x14ac:dyDescent="0.35">
      <c r="A437" s="8"/>
      <c r="B437" s="8"/>
      <c r="C437" s="8"/>
      <c r="D437" s="8"/>
      <c r="E437" s="8"/>
      <c r="F437" s="8"/>
      <c r="G437" s="26"/>
      <c r="H437" s="26"/>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1"/>
      <c r="BT437" s="1"/>
    </row>
    <row r="438" spans="1:72" ht="15.75" customHeight="1" x14ac:dyDescent="0.35">
      <c r="A438" s="8"/>
      <c r="B438" s="8"/>
      <c r="C438" s="8"/>
      <c r="D438" s="8"/>
      <c r="E438" s="8"/>
      <c r="F438" s="8"/>
      <c r="G438" s="26"/>
      <c r="H438" s="26"/>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1"/>
      <c r="BT438" s="1"/>
    </row>
    <row r="439" spans="1:72" ht="15.75" customHeight="1" x14ac:dyDescent="0.35">
      <c r="A439" s="8"/>
      <c r="B439" s="8"/>
      <c r="C439" s="8"/>
      <c r="D439" s="8"/>
      <c r="E439" s="8"/>
      <c r="F439" s="8"/>
      <c r="G439" s="26"/>
      <c r="H439" s="26"/>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1"/>
      <c r="BT439" s="1"/>
    </row>
    <row r="440" spans="1:72" ht="15.75" customHeight="1" x14ac:dyDescent="0.35">
      <c r="A440" s="8"/>
      <c r="B440" s="8"/>
      <c r="C440" s="8"/>
      <c r="D440" s="8"/>
      <c r="E440" s="8"/>
      <c r="F440" s="8"/>
      <c r="G440" s="26"/>
      <c r="H440" s="26"/>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1"/>
      <c r="BT440" s="1"/>
    </row>
    <row r="441" spans="1:72" ht="15.75" customHeight="1" x14ac:dyDescent="0.35">
      <c r="A441" s="8"/>
      <c r="B441" s="8"/>
      <c r="C441" s="8"/>
      <c r="D441" s="8"/>
      <c r="E441" s="8"/>
      <c r="F441" s="8"/>
      <c r="G441" s="26"/>
      <c r="H441" s="26"/>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1"/>
      <c r="BT441" s="1"/>
    </row>
    <row r="442" spans="1:72" ht="15.75" customHeight="1" x14ac:dyDescent="0.35">
      <c r="A442" s="8"/>
      <c r="B442" s="8"/>
      <c r="C442" s="8"/>
      <c r="D442" s="8"/>
      <c r="E442" s="8"/>
      <c r="F442" s="8"/>
      <c r="G442" s="26"/>
      <c r="H442" s="26"/>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1"/>
      <c r="BT442" s="1"/>
    </row>
    <row r="443" spans="1:72" ht="15.75" customHeight="1" x14ac:dyDescent="0.35">
      <c r="A443" s="8"/>
      <c r="B443" s="8"/>
      <c r="C443" s="8"/>
      <c r="D443" s="8"/>
      <c r="E443" s="8"/>
      <c r="F443" s="8"/>
      <c r="G443" s="26"/>
      <c r="H443" s="26"/>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1"/>
      <c r="BT443" s="1"/>
    </row>
    <row r="444" spans="1:72" ht="15.75" customHeight="1" x14ac:dyDescent="0.35">
      <c r="A444" s="8"/>
      <c r="B444" s="8"/>
      <c r="C444" s="8"/>
      <c r="D444" s="8"/>
      <c r="E444" s="8"/>
      <c r="F444" s="8"/>
      <c r="G444" s="26"/>
      <c r="H444" s="26"/>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1"/>
      <c r="BT444" s="1"/>
    </row>
    <row r="445" spans="1:72" ht="15.75" customHeight="1" x14ac:dyDescent="0.35">
      <c r="A445" s="8"/>
      <c r="B445" s="8"/>
      <c r="C445" s="8"/>
      <c r="D445" s="8"/>
      <c r="E445" s="8"/>
      <c r="F445" s="8"/>
      <c r="G445" s="26"/>
      <c r="H445" s="26"/>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1"/>
      <c r="BT445" s="1"/>
    </row>
    <row r="446" spans="1:72" ht="15.75" customHeight="1" x14ac:dyDescent="0.35">
      <c r="A446" s="8"/>
      <c r="B446" s="8"/>
      <c r="C446" s="8"/>
      <c r="D446" s="8"/>
      <c r="E446" s="8"/>
      <c r="F446" s="8"/>
      <c r="G446" s="26"/>
      <c r="H446" s="26"/>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1"/>
      <c r="BT446" s="1"/>
    </row>
    <row r="447" spans="1:72" ht="15.75" customHeight="1" x14ac:dyDescent="0.35">
      <c r="A447" s="8"/>
      <c r="B447" s="8"/>
      <c r="C447" s="8"/>
      <c r="D447" s="8"/>
      <c r="E447" s="8"/>
      <c r="F447" s="8"/>
      <c r="G447" s="26"/>
      <c r="H447" s="26"/>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1"/>
      <c r="BT447" s="1"/>
    </row>
    <row r="448" spans="1:72" ht="15.75" customHeight="1" x14ac:dyDescent="0.35">
      <c r="A448" s="8"/>
      <c r="B448" s="8"/>
      <c r="C448" s="8"/>
      <c r="D448" s="8"/>
      <c r="E448" s="8"/>
      <c r="F448" s="8"/>
      <c r="G448" s="26"/>
      <c r="H448" s="26"/>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1"/>
      <c r="BT448" s="1"/>
    </row>
    <row r="449" spans="1:72" ht="15.75" customHeight="1" x14ac:dyDescent="0.35">
      <c r="A449" s="8"/>
      <c r="B449" s="8"/>
      <c r="C449" s="8"/>
      <c r="D449" s="8"/>
      <c r="E449" s="8"/>
      <c r="F449" s="8"/>
      <c r="G449" s="26"/>
      <c r="H449" s="26"/>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1"/>
      <c r="BT449" s="1"/>
    </row>
    <row r="450" spans="1:72" ht="15.75" customHeight="1" x14ac:dyDescent="0.35">
      <c r="A450" s="8"/>
      <c r="B450" s="8"/>
      <c r="C450" s="8"/>
      <c r="D450" s="8"/>
      <c r="E450" s="8"/>
      <c r="F450" s="8"/>
      <c r="G450" s="26"/>
      <c r="H450" s="26"/>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1"/>
      <c r="BT450" s="1"/>
    </row>
    <row r="451" spans="1:72" ht="15.75" customHeight="1" x14ac:dyDescent="0.35">
      <c r="A451" s="8"/>
      <c r="B451" s="8"/>
      <c r="C451" s="8"/>
      <c r="D451" s="8"/>
      <c r="E451" s="8"/>
      <c r="F451" s="8"/>
      <c r="G451" s="26"/>
      <c r="H451" s="26"/>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1"/>
      <c r="BT451" s="1"/>
    </row>
    <row r="452" spans="1:72" ht="15.75" customHeight="1" x14ac:dyDescent="0.35">
      <c r="A452" s="8"/>
      <c r="B452" s="8"/>
      <c r="C452" s="8"/>
      <c r="D452" s="8"/>
      <c r="E452" s="8"/>
      <c r="F452" s="8"/>
      <c r="G452" s="26"/>
      <c r="H452" s="26"/>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1"/>
      <c r="BT452" s="1"/>
    </row>
    <row r="453" spans="1:72" ht="15.75" customHeight="1" x14ac:dyDescent="0.35">
      <c r="A453" s="8"/>
      <c r="B453" s="8"/>
      <c r="C453" s="8"/>
      <c r="D453" s="8"/>
      <c r="E453" s="8"/>
      <c r="F453" s="8"/>
      <c r="G453" s="26"/>
      <c r="H453" s="26"/>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1"/>
      <c r="BT453" s="1"/>
    </row>
    <row r="454" spans="1:72" ht="15.75" customHeight="1" x14ac:dyDescent="0.35">
      <c r="A454" s="8"/>
      <c r="B454" s="8"/>
      <c r="C454" s="8"/>
      <c r="D454" s="8"/>
      <c r="E454" s="8"/>
      <c r="F454" s="8"/>
      <c r="G454" s="26"/>
      <c r="H454" s="26"/>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1"/>
      <c r="BT454" s="1"/>
    </row>
    <row r="455" spans="1:72" ht="15.75" customHeight="1" x14ac:dyDescent="0.35">
      <c r="A455" s="8"/>
      <c r="B455" s="8"/>
      <c r="C455" s="8"/>
      <c r="D455" s="8"/>
      <c r="E455" s="8"/>
      <c r="F455" s="8"/>
      <c r="G455" s="26"/>
      <c r="H455" s="26"/>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1"/>
      <c r="BT455" s="1"/>
    </row>
    <row r="456" spans="1:72" ht="15.75" customHeight="1" x14ac:dyDescent="0.35">
      <c r="A456" s="8"/>
      <c r="B456" s="8"/>
      <c r="C456" s="8"/>
      <c r="D456" s="8"/>
      <c r="E456" s="8"/>
      <c r="F456" s="8"/>
      <c r="G456" s="26"/>
      <c r="H456" s="26"/>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1"/>
      <c r="BT456" s="1"/>
    </row>
    <row r="457" spans="1:72" ht="15.75" customHeight="1" x14ac:dyDescent="0.35">
      <c r="A457" s="8"/>
      <c r="B457" s="8"/>
      <c r="C457" s="8"/>
      <c r="D457" s="8"/>
      <c r="E457" s="8"/>
      <c r="F457" s="8"/>
      <c r="G457" s="26"/>
      <c r="H457" s="26"/>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1"/>
      <c r="BT457" s="1"/>
    </row>
    <row r="458" spans="1:72" ht="15.75" customHeight="1" x14ac:dyDescent="0.35">
      <c r="A458" s="8"/>
      <c r="B458" s="8"/>
      <c r="C458" s="8"/>
      <c r="D458" s="8"/>
      <c r="E458" s="8"/>
      <c r="F458" s="8"/>
      <c r="G458" s="26"/>
      <c r="H458" s="26"/>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1"/>
      <c r="BT458" s="1"/>
    </row>
    <row r="459" spans="1:72" ht="15.75" customHeight="1" x14ac:dyDescent="0.35">
      <c r="A459" s="8"/>
      <c r="B459" s="8"/>
      <c r="C459" s="8"/>
      <c r="D459" s="8"/>
      <c r="E459" s="8"/>
      <c r="F459" s="8"/>
      <c r="G459" s="26"/>
      <c r="H459" s="26"/>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1"/>
      <c r="BT459" s="1"/>
    </row>
    <row r="460" spans="1:72" ht="15.75" customHeight="1" x14ac:dyDescent="0.35">
      <c r="A460" s="8"/>
      <c r="B460" s="8"/>
      <c r="C460" s="8"/>
      <c r="D460" s="8"/>
      <c r="E460" s="8"/>
      <c r="F460" s="8"/>
      <c r="G460" s="26"/>
      <c r="H460" s="26"/>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1"/>
      <c r="BT460" s="1"/>
    </row>
    <row r="461" spans="1:72" ht="15.75" customHeight="1" x14ac:dyDescent="0.35">
      <c r="A461" s="8"/>
      <c r="B461" s="8"/>
      <c r="C461" s="8"/>
      <c r="D461" s="8"/>
      <c r="E461" s="8"/>
      <c r="F461" s="8"/>
      <c r="G461" s="26"/>
      <c r="H461" s="26"/>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1"/>
      <c r="BT461" s="1"/>
    </row>
    <row r="462" spans="1:72" ht="15.75" customHeight="1" x14ac:dyDescent="0.35">
      <c r="A462" s="8"/>
      <c r="B462" s="8"/>
      <c r="C462" s="8"/>
      <c r="D462" s="8"/>
      <c r="E462" s="8"/>
      <c r="F462" s="8"/>
      <c r="G462" s="26"/>
      <c r="H462" s="26"/>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1"/>
      <c r="BT462" s="1"/>
    </row>
    <row r="463" spans="1:72" ht="15.75" customHeight="1" x14ac:dyDescent="0.35">
      <c r="A463" s="8"/>
      <c r="B463" s="8"/>
      <c r="C463" s="8"/>
      <c r="D463" s="8"/>
      <c r="E463" s="8"/>
      <c r="F463" s="8"/>
      <c r="G463" s="26"/>
      <c r="H463" s="26"/>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1"/>
      <c r="BT463" s="1"/>
    </row>
    <row r="464" spans="1:72" ht="15.75" customHeight="1" x14ac:dyDescent="0.35">
      <c r="A464" s="8"/>
      <c r="B464" s="8"/>
      <c r="C464" s="8"/>
      <c r="D464" s="8"/>
      <c r="E464" s="8"/>
      <c r="F464" s="8"/>
      <c r="G464" s="26"/>
      <c r="H464" s="26"/>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1"/>
      <c r="BT464" s="1"/>
    </row>
    <row r="465" spans="1:72" ht="15.75" customHeight="1" x14ac:dyDescent="0.35">
      <c r="A465" s="8"/>
      <c r="B465" s="8"/>
      <c r="C465" s="8"/>
      <c r="D465" s="8"/>
      <c r="E465" s="8"/>
      <c r="F465" s="8"/>
      <c r="G465" s="26"/>
      <c r="H465" s="26"/>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1"/>
      <c r="BT465" s="1"/>
    </row>
    <row r="466" spans="1:72" ht="15.75" customHeight="1" x14ac:dyDescent="0.35">
      <c r="A466" s="8"/>
      <c r="B466" s="8"/>
      <c r="C466" s="8"/>
      <c r="D466" s="8"/>
      <c r="E466" s="8"/>
      <c r="F466" s="8"/>
      <c r="G466" s="26"/>
      <c r="H466" s="26"/>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1"/>
      <c r="BT466" s="1"/>
    </row>
    <row r="467" spans="1:72" ht="15.75" customHeight="1" x14ac:dyDescent="0.35">
      <c r="A467" s="8"/>
      <c r="B467" s="8"/>
      <c r="C467" s="8"/>
      <c r="D467" s="8"/>
      <c r="E467" s="8"/>
      <c r="F467" s="8"/>
      <c r="G467" s="26"/>
      <c r="H467" s="26"/>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1"/>
      <c r="BT467" s="1"/>
    </row>
    <row r="468" spans="1:72" ht="15.75" customHeight="1" x14ac:dyDescent="0.35">
      <c r="A468" s="8"/>
      <c r="B468" s="8"/>
      <c r="C468" s="8"/>
      <c r="D468" s="8"/>
      <c r="E468" s="8"/>
      <c r="F468" s="8"/>
      <c r="G468" s="26"/>
      <c r="H468" s="26"/>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1"/>
      <c r="BT468" s="1"/>
    </row>
    <row r="469" spans="1:72" ht="15.75" customHeight="1" x14ac:dyDescent="0.35">
      <c r="A469" s="8"/>
      <c r="B469" s="8"/>
      <c r="C469" s="8"/>
      <c r="D469" s="8"/>
      <c r="E469" s="8"/>
      <c r="F469" s="8"/>
      <c r="G469" s="26"/>
      <c r="H469" s="26"/>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1"/>
      <c r="BT469" s="1"/>
    </row>
    <row r="470" spans="1:72" ht="15.75" customHeight="1" x14ac:dyDescent="0.35">
      <c r="A470" s="8"/>
      <c r="B470" s="8"/>
      <c r="C470" s="8"/>
      <c r="D470" s="8"/>
      <c r="E470" s="8"/>
      <c r="F470" s="8"/>
      <c r="G470" s="26"/>
      <c r="H470" s="26"/>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1"/>
      <c r="BT470" s="1"/>
    </row>
    <row r="471" spans="1:72" ht="15.75" customHeight="1" x14ac:dyDescent="0.35">
      <c r="A471" s="8"/>
      <c r="B471" s="8"/>
      <c r="C471" s="8"/>
      <c r="D471" s="8"/>
      <c r="E471" s="8"/>
      <c r="F471" s="8"/>
      <c r="G471" s="26"/>
      <c r="H471" s="26"/>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1"/>
      <c r="BT471" s="1"/>
    </row>
    <row r="472" spans="1:72" ht="15.75" customHeight="1" x14ac:dyDescent="0.35">
      <c r="A472" s="8"/>
      <c r="B472" s="8"/>
      <c r="C472" s="8"/>
      <c r="D472" s="8"/>
      <c r="E472" s="8"/>
      <c r="F472" s="8"/>
      <c r="G472" s="26"/>
      <c r="H472" s="26"/>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1"/>
      <c r="BT472" s="1"/>
    </row>
    <row r="473" spans="1:72" ht="15.75" customHeight="1" x14ac:dyDescent="0.35">
      <c r="A473" s="8"/>
      <c r="B473" s="8"/>
      <c r="C473" s="8"/>
      <c r="D473" s="8"/>
      <c r="E473" s="8"/>
      <c r="F473" s="8"/>
      <c r="G473" s="26"/>
      <c r="H473" s="26"/>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1"/>
      <c r="BT473" s="1"/>
    </row>
    <row r="474" spans="1:72" ht="15.75" customHeight="1" x14ac:dyDescent="0.35">
      <c r="A474" s="8"/>
      <c r="B474" s="8"/>
      <c r="C474" s="8"/>
      <c r="D474" s="8"/>
      <c r="E474" s="8"/>
      <c r="F474" s="8"/>
      <c r="G474" s="26"/>
      <c r="H474" s="26"/>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1"/>
      <c r="BT474" s="1"/>
    </row>
    <row r="475" spans="1:72" ht="15.75" customHeight="1" x14ac:dyDescent="0.35">
      <c r="A475" s="8"/>
      <c r="B475" s="8"/>
      <c r="C475" s="8"/>
      <c r="D475" s="8"/>
      <c r="E475" s="8"/>
      <c r="F475" s="8"/>
      <c r="G475" s="26"/>
      <c r="H475" s="26"/>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1"/>
      <c r="BT475" s="1"/>
    </row>
    <row r="476" spans="1:72" ht="15.75" customHeight="1" x14ac:dyDescent="0.35">
      <c r="A476" s="8"/>
      <c r="B476" s="8"/>
      <c r="C476" s="8"/>
      <c r="D476" s="8"/>
      <c r="E476" s="8"/>
      <c r="F476" s="8"/>
      <c r="G476" s="26"/>
      <c r="H476" s="26"/>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1"/>
      <c r="BT476" s="1"/>
    </row>
    <row r="477" spans="1:72" ht="15.75" customHeight="1" x14ac:dyDescent="0.35">
      <c r="A477" s="8"/>
      <c r="B477" s="8"/>
      <c r="C477" s="8"/>
      <c r="D477" s="8"/>
      <c r="E477" s="8"/>
      <c r="F477" s="8"/>
      <c r="G477" s="26"/>
      <c r="H477" s="26"/>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1"/>
      <c r="BT477" s="1"/>
    </row>
    <row r="478" spans="1:72" ht="15.75" customHeight="1" x14ac:dyDescent="0.35">
      <c r="A478" s="8"/>
      <c r="B478" s="8"/>
      <c r="C478" s="8"/>
      <c r="D478" s="8"/>
      <c r="E478" s="8"/>
      <c r="F478" s="8"/>
      <c r="G478" s="26"/>
      <c r="H478" s="26"/>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1"/>
      <c r="BT478" s="1"/>
    </row>
    <row r="479" spans="1:72" ht="15.75" customHeight="1" x14ac:dyDescent="0.35">
      <c r="A479" s="8"/>
      <c r="B479" s="8"/>
      <c r="C479" s="8"/>
      <c r="D479" s="8"/>
      <c r="E479" s="8"/>
      <c r="F479" s="8"/>
      <c r="G479" s="26"/>
      <c r="H479" s="26"/>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1"/>
      <c r="BT479" s="1"/>
    </row>
    <row r="480" spans="1:72" ht="15.75" customHeight="1" x14ac:dyDescent="0.35">
      <c r="A480" s="8"/>
      <c r="B480" s="8"/>
      <c r="C480" s="8"/>
      <c r="D480" s="8"/>
      <c r="E480" s="8"/>
      <c r="F480" s="8"/>
      <c r="G480" s="26"/>
      <c r="H480" s="26"/>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1"/>
      <c r="BT480" s="1"/>
    </row>
    <row r="481" spans="1:72" ht="15.75" customHeight="1" x14ac:dyDescent="0.35">
      <c r="A481" s="8"/>
      <c r="B481" s="8"/>
      <c r="C481" s="8"/>
      <c r="D481" s="8"/>
      <c r="E481" s="8"/>
      <c r="F481" s="8"/>
      <c r="G481" s="26"/>
      <c r="H481" s="26"/>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1"/>
      <c r="BT481" s="1"/>
    </row>
    <row r="482" spans="1:72" ht="15.75" customHeight="1" x14ac:dyDescent="0.35">
      <c r="A482" s="8"/>
      <c r="B482" s="8"/>
      <c r="C482" s="8"/>
      <c r="D482" s="8"/>
      <c r="E482" s="8"/>
      <c r="F482" s="8"/>
      <c r="G482" s="26"/>
      <c r="H482" s="26"/>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1"/>
      <c r="BT482" s="1"/>
    </row>
    <row r="483" spans="1:72" ht="15.75" customHeight="1" x14ac:dyDescent="0.35">
      <c r="A483" s="8"/>
      <c r="B483" s="8"/>
      <c r="C483" s="8"/>
      <c r="D483" s="8"/>
      <c r="E483" s="8"/>
      <c r="F483" s="8"/>
      <c r="G483" s="26"/>
      <c r="H483" s="26"/>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1"/>
      <c r="BT483" s="1"/>
    </row>
    <row r="484" spans="1:72" ht="15.75" customHeight="1" x14ac:dyDescent="0.35">
      <c r="A484" s="8"/>
      <c r="B484" s="8"/>
      <c r="C484" s="8"/>
      <c r="D484" s="8"/>
      <c r="E484" s="8"/>
      <c r="F484" s="8"/>
      <c r="G484" s="26"/>
      <c r="H484" s="26"/>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1"/>
      <c r="BT484" s="1"/>
    </row>
    <row r="485" spans="1:72" ht="15.75" customHeight="1" x14ac:dyDescent="0.35">
      <c r="A485" s="8"/>
      <c r="B485" s="8"/>
      <c r="C485" s="8"/>
      <c r="D485" s="8"/>
      <c r="E485" s="8"/>
      <c r="F485" s="8"/>
      <c r="G485" s="26"/>
      <c r="H485" s="26"/>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1"/>
      <c r="BT485" s="1"/>
    </row>
    <row r="486" spans="1:72" ht="15.75" customHeight="1" x14ac:dyDescent="0.35">
      <c r="A486" s="8"/>
      <c r="B486" s="8"/>
      <c r="C486" s="8"/>
      <c r="D486" s="8"/>
      <c r="E486" s="8"/>
      <c r="F486" s="8"/>
      <c r="G486" s="26"/>
      <c r="H486" s="26"/>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1"/>
      <c r="BT486" s="1"/>
    </row>
    <row r="487" spans="1:72" ht="15.75" customHeight="1" x14ac:dyDescent="0.35">
      <c r="A487" s="8"/>
      <c r="B487" s="8"/>
      <c r="C487" s="8"/>
      <c r="D487" s="8"/>
      <c r="E487" s="8"/>
      <c r="F487" s="8"/>
      <c r="G487" s="26"/>
      <c r="H487" s="26"/>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1"/>
      <c r="BT487" s="1"/>
    </row>
    <row r="488" spans="1:72" ht="15.75" customHeight="1" x14ac:dyDescent="0.35">
      <c r="A488" s="8"/>
      <c r="B488" s="8"/>
      <c r="C488" s="8"/>
      <c r="D488" s="8"/>
      <c r="E488" s="8"/>
      <c r="F488" s="8"/>
      <c r="G488" s="26"/>
      <c r="H488" s="26"/>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1"/>
      <c r="BT488" s="1"/>
    </row>
    <row r="489" spans="1:72" ht="15.75" customHeight="1" x14ac:dyDescent="0.35">
      <c r="A489" s="8"/>
      <c r="B489" s="8"/>
      <c r="C489" s="8"/>
      <c r="D489" s="8"/>
      <c r="E489" s="8"/>
      <c r="F489" s="8"/>
      <c r="G489" s="26"/>
      <c r="H489" s="26"/>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1"/>
      <c r="BT489" s="1"/>
    </row>
    <row r="490" spans="1:72" ht="15.75" customHeight="1" x14ac:dyDescent="0.35">
      <c r="A490" s="8"/>
      <c r="B490" s="8"/>
      <c r="C490" s="8"/>
      <c r="D490" s="8"/>
      <c r="E490" s="8"/>
      <c r="F490" s="8"/>
      <c r="G490" s="26"/>
      <c r="H490" s="26"/>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1"/>
      <c r="BT490" s="1"/>
    </row>
    <row r="491" spans="1:72" ht="15.75" customHeight="1" x14ac:dyDescent="0.35">
      <c r="A491" s="8"/>
      <c r="B491" s="8"/>
      <c r="C491" s="8"/>
      <c r="D491" s="8"/>
      <c r="E491" s="8"/>
      <c r="F491" s="8"/>
      <c r="G491" s="26"/>
      <c r="H491" s="26"/>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1"/>
      <c r="BT491" s="1"/>
    </row>
    <row r="492" spans="1:72" ht="15.75" customHeight="1" x14ac:dyDescent="0.35">
      <c r="A492" s="8"/>
      <c r="B492" s="8"/>
      <c r="C492" s="8"/>
      <c r="D492" s="8"/>
      <c r="E492" s="8"/>
      <c r="F492" s="8"/>
      <c r="G492" s="26"/>
      <c r="H492" s="26"/>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1"/>
      <c r="BT492" s="1"/>
    </row>
    <row r="493" spans="1:72" ht="15.75" customHeight="1" x14ac:dyDescent="0.35">
      <c r="A493" s="8"/>
      <c r="B493" s="8"/>
      <c r="C493" s="8"/>
      <c r="D493" s="8"/>
      <c r="E493" s="8"/>
      <c r="F493" s="8"/>
      <c r="G493" s="26"/>
      <c r="H493" s="26"/>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1"/>
      <c r="BT493" s="1"/>
    </row>
    <row r="494" spans="1:72" ht="15.75" customHeight="1" x14ac:dyDescent="0.35">
      <c r="A494" s="8"/>
      <c r="B494" s="8"/>
      <c r="C494" s="8"/>
      <c r="D494" s="8"/>
      <c r="E494" s="8"/>
      <c r="F494" s="8"/>
      <c r="G494" s="26"/>
      <c r="H494" s="26"/>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1"/>
      <c r="BT494" s="1"/>
    </row>
    <row r="495" spans="1:72" ht="15.75" customHeight="1" x14ac:dyDescent="0.35">
      <c r="A495" s="8"/>
      <c r="B495" s="8"/>
      <c r="C495" s="8"/>
      <c r="D495" s="8"/>
      <c r="E495" s="8"/>
      <c r="F495" s="8"/>
      <c r="G495" s="26"/>
      <c r="H495" s="26"/>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1"/>
      <c r="BT495" s="1"/>
    </row>
    <row r="496" spans="1:72" ht="15.75" customHeight="1" x14ac:dyDescent="0.35">
      <c r="A496" s="8"/>
      <c r="B496" s="8"/>
      <c r="C496" s="8"/>
      <c r="D496" s="8"/>
      <c r="E496" s="8"/>
      <c r="F496" s="8"/>
      <c r="G496" s="26"/>
      <c r="H496" s="26"/>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1"/>
      <c r="BT496" s="1"/>
    </row>
    <row r="497" spans="1:72" ht="15.75" customHeight="1" x14ac:dyDescent="0.35">
      <c r="A497" s="8"/>
      <c r="B497" s="8"/>
      <c r="C497" s="8"/>
      <c r="D497" s="8"/>
      <c r="E497" s="8"/>
      <c r="F497" s="8"/>
      <c r="G497" s="26"/>
      <c r="H497" s="26"/>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1"/>
      <c r="BT497" s="1"/>
    </row>
    <row r="498" spans="1:72" ht="15.75" customHeight="1" x14ac:dyDescent="0.35">
      <c r="A498" s="8"/>
      <c r="B498" s="8"/>
      <c r="C498" s="8"/>
      <c r="D498" s="8"/>
      <c r="E498" s="8"/>
      <c r="F498" s="8"/>
      <c r="G498" s="26"/>
      <c r="H498" s="26"/>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1"/>
      <c r="BT498" s="1"/>
    </row>
    <row r="499" spans="1:72" ht="15.75" customHeight="1" x14ac:dyDescent="0.35">
      <c r="A499" s="8"/>
      <c r="B499" s="8"/>
      <c r="C499" s="8"/>
      <c r="D499" s="8"/>
      <c r="E499" s="8"/>
      <c r="F499" s="8"/>
      <c r="G499" s="26"/>
      <c r="H499" s="26"/>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1"/>
      <c r="BT499" s="1"/>
    </row>
    <row r="500" spans="1:72" ht="15.75" customHeight="1" x14ac:dyDescent="0.35">
      <c r="A500" s="8"/>
      <c r="B500" s="8"/>
      <c r="C500" s="8"/>
      <c r="D500" s="8"/>
      <c r="E500" s="8"/>
      <c r="F500" s="8"/>
      <c r="G500" s="26"/>
      <c r="H500" s="26"/>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1"/>
      <c r="BT500" s="1"/>
    </row>
    <row r="501" spans="1:72" ht="15.75" customHeight="1" x14ac:dyDescent="0.35">
      <c r="A501" s="8"/>
      <c r="B501" s="8"/>
      <c r="C501" s="8"/>
      <c r="D501" s="8"/>
      <c r="E501" s="8"/>
      <c r="F501" s="8"/>
      <c r="G501" s="26"/>
      <c r="H501" s="26"/>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1"/>
      <c r="BT501" s="1"/>
    </row>
    <row r="502" spans="1:72" ht="15.75" customHeight="1" x14ac:dyDescent="0.35">
      <c r="A502" s="8"/>
      <c r="B502" s="8"/>
      <c r="C502" s="8"/>
      <c r="D502" s="8"/>
      <c r="E502" s="8"/>
      <c r="F502" s="8"/>
      <c r="G502" s="26"/>
      <c r="H502" s="26"/>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1"/>
      <c r="BT502" s="1"/>
    </row>
    <row r="503" spans="1:72" ht="15.75" customHeight="1" x14ac:dyDescent="0.35">
      <c r="A503" s="8"/>
      <c r="B503" s="8"/>
      <c r="C503" s="8"/>
      <c r="D503" s="8"/>
      <c r="E503" s="8"/>
      <c r="F503" s="8"/>
      <c r="G503" s="26"/>
      <c r="H503" s="26"/>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1"/>
      <c r="BT503" s="1"/>
    </row>
    <row r="504" spans="1:72" ht="15.75" customHeight="1" x14ac:dyDescent="0.35">
      <c r="A504" s="8"/>
      <c r="B504" s="8"/>
      <c r="C504" s="8"/>
      <c r="D504" s="8"/>
      <c r="E504" s="8"/>
      <c r="F504" s="8"/>
      <c r="G504" s="26"/>
      <c r="H504" s="26"/>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1"/>
      <c r="BT504" s="1"/>
    </row>
    <row r="505" spans="1:72" ht="15.75" customHeight="1" x14ac:dyDescent="0.35">
      <c r="A505" s="8"/>
      <c r="B505" s="8"/>
      <c r="C505" s="8"/>
      <c r="D505" s="8"/>
      <c r="E505" s="8"/>
      <c r="F505" s="8"/>
      <c r="G505" s="26"/>
      <c r="H505" s="26"/>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1"/>
      <c r="BT505" s="1"/>
    </row>
    <row r="506" spans="1:72" ht="15.75" customHeight="1" x14ac:dyDescent="0.35">
      <c r="A506" s="8"/>
      <c r="B506" s="8"/>
      <c r="C506" s="8"/>
      <c r="D506" s="8"/>
      <c r="E506" s="8"/>
      <c r="F506" s="8"/>
      <c r="G506" s="26"/>
      <c r="H506" s="26"/>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1"/>
      <c r="BT506" s="1"/>
    </row>
    <row r="507" spans="1:72" ht="15.75" customHeight="1" x14ac:dyDescent="0.35">
      <c r="A507" s="8"/>
      <c r="B507" s="8"/>
      <c r="C507" s="8"/>
      <c r="D507" s="8"/>
      <c r="E507" s="8"/>
      <c r="F507" s="8"/>
      <c r="G507" s="26"/>
      <c r="H507" s="26"/>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1"/>
      <c r="BT507" s="1"/>
    </row>
    <row r="508" spans="1:72" ht="15.75" customHeight="1" x14ac:dyDescent="0.35">
      <c r="A508" s="8"/>
      <c r="B508" s="8"/>
      <c r="C508" s="8"/>
      <c r="D508" s="8"/>
      <c r="E508" s="8"/>
      <c r="F508" s="8"/>
      <c r="G508" s="26"/>
      <c r="H508" s="26"/>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1"/>
      <c r="BT508" s="1"/>
    </row>
    <row r="509" spans="1:72" ht="15.75" customHeight="1" x14ac:dyDescent="0.35">
      <c r="A509" s="8"/>
      <c r="B509" s="8"/>
      <c r="C509" s="8"/>
      <c r="D509" s="8"/>
      <c r="E509" s="8"/>
      <c r="F509" s="8"/>
      <c r="G509" s="26"/>
      <c r="H509" s="26"/>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1"/>
      <c r="BT509" s="1"/>
    </row>
    <row r="510" spans="1:72" ht="15.75" customHeight="1" x14ac:dyDescent="0.35">
      <c r="A510" s="8"/>
      <c r="B510" s="8"/>
      <c r="C510" s="8"/>
      <c r="D510" s="8"/>
      <c r="E510" s="8"/>
      <c r="F510" s="8"/>
      <c r="G510" s="26"/>
      <c r="H510" s="26"/>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1"/>
      <c r="BT510" s="1"/>
    </row>
    <row r="511" spans="1:72" ht="15.75" customHeight="1" x14ac:dyDescent="0.35">
      <c r="A511" s="8"/>
      <c r="B511" s="8"/>
      <c r="C511" s="8"/>
      <c r="D511" s="8"/>
      <c r="E511" s="8"/>
      <c r="F511" s="8"/>
      <c r="G511" s="26"/>
      <c r="H511" s="26"/>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1"/>
      <c r="BT511" s="1"/>
    </row>
    <row r="512" spans="1:72" ht="15.75" customHeight="1" x14ac:dyDescent="0.35">
      <c r="A512" s="8"/>
      <c r="B512" s="8"/>
      <c r="C512" s="8"/>
      <c r="D512" s="8"/>
      <c r="E512" s="8"/>
      <c r="F512" s="8"/>
      <c r="G512" s="26"/>
      <c r="H512" s="26"/>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1"/>
      <c r="BT512" s="1"/>
    </row>
    <row r="513" spans="1:72" ht="15.75" customHeight="1" x14ac:dyDescent="0.35">
      <c r="A513" s="8"/>
      <c r="B513" s="8"/>
      <c r="C513" s="8"/>
      <c r="D513" s="8"/>
      <c r="E513" s="8"/>
      <c r="F513" s="8"/>
      <c r="G513" s="26"/>
      <c r="H513" s="26"/>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1"/>
      <c r="BT513" s="1"/>
    </row>
    <row r="514" spans="1:72" ht="15.75" customHeight="1" x14ac:dyDescent="0.35">
      <c r="A514" s="8"/>
      <c r="B514" s="8"/>
      <c r="C514" s="8"/>
      <c r="D514" s="8"/>
      <c r="E514" s="8"/>
      <c r="F514" s="8"/>
      <c r="G514" s="26"/>
      <c r="H514" s="26"/>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1"/>
      <c r="BT514" s="1"/>
    </row>
    <row r="515" spans="1:72" ht="15.75" customHeight="1" x14ac:dyDescent="0.35">
      <c r="A515" s="8"/>
      <c r="B515" s="8"/>
      <c r="C515" s="8"/>
      <c r="D515" s="8"/>
      <c r="E515" s="8"/>
      <c r="F515" s="8"/>
      <c r="G515" s="26"/>
      <c r="H515" s="26"/>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1"/>
      <c r="BT515" s="1"/>
    </row>
    <row r="516" spans="1:72" ht="15.75" customHeight="1" x14ac:dyDescent="0.35">
      <c r="A516" s="8"/>
      <c r="B516" s="8"/>
      <c r="C516" s="8"/>
      <c r="D516" s="8"/>
      <c r="E516" s="8"/>
      <c r="F516" s="8"/>
      <c r="G516" s="26"/>
      <c r="H516" s="26"/>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1"/>
      <c r="BT516" s="1"/>
    </row>
    <row r="517" spans="1:72" ht="15.75" customHeight="1" x14ac:dyDescent="0.35">
      <c r="A517" s="8"/>
      <c r="B517" s="8"/>
      <c r="C517" s="8"/>
      <c r="D517" s="8"/>
      <c r="E517" s="8"/>
      <c r="F517" s="8"/>
      <c r="G517" s="26"/>
      <c r="H517" s="26"/>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1"/>
      <c r="BT517" s="1"/>
    </row>
    <row r="518" spans="1:72" ht="15.75" customHeight="1" x14ac:dyDescent="0.35">
      <c r="A518" s="8"/>
      <c r="B518" s="8"/>
      <c r="C518" s="8"/>
      <c r="D518" s="8"/>
      <c r="E518" s="8"/>
      <c r="F518" s="8"/>
      <c r="G518" s="26"/>
      <c r="H518" s="26"/>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1"/>
      <c r="BT518" s="1"/>
    </row>
    <row r="519" spans="1:72" ht="15.75" customHeight="1" x14ac:dyDescent="0.35">
      <c r="A519" s="8"/>
      <c r="B519" s="8"/>
      <c r="C519" s="8"/>
      <c r="D519" s="8"/>
      <c r="E519" s="8"/>
      <c r="F519" s="8"/>
      <c r="G519" s="26"/>
      <c r="H519" s="26"/>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1"/>
      <c r="BT519" s="1"/>
    </row>
    <row r="520" spans="1:72" ht="15.75" customHeight="1" x14ac:dyDescent="0.35">
      <c r="A520" s="8"/>
      <c r="B520" s="8"/>
      <c r="C520" s="8"/>
      <c r="D520" s="8"/>
      <c r="E520" s="8"/>
      <c r="F520" s="8"/>
      <c r="G520" s="26"/>
      <c r="H520" s="26"/>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1"/>
      <c r="BT520" s="1"/>
    </row>
    <row r="521" spans="1:72" ht="15.75" customHeight="1" x14ac:dyDescent="0.35">
      <c r="A521" s="8"/>
      <c r="B521" s="8"/>
      <c r="C521" s="8"/>
      <c r="D521" s="8"/>
      <c r="E521" s="8"/>
      <c r="F521" s="8"/>
      <c r="G521" s="26"/>
      <c r="H521" s="26"/>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1"/>
      <c r="BT521" s="1"/>
    </row>
    <row r="522" spans="1:72" ht="15.75" customHeight="1" x14ac:dyDescent="0.35">
      <c r="A522" s="8"/>
      <c r="B522" s="8"/>
      <c r="C522" s="8"/>
      <c r="D522" s="8"/>
      <c r="E522" s="8"/>
      <c r="F522" s="8"/>
      <c r="G522" s="26"/>
      <c r="H522" s="26"/>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1"/>
      <c r="BT522" s="1"/>
    </row>
    <row r="523" spans="1:72" ht="15.75" customHeight="1" x14ac:dyDescent="0.35">
      <c r="A523" s="8"/>
      <c r="B523" s="8"/>
      <c r="C523" s="8"/>
      <c r="D523" s="8"/>
      <c r="E523" s="8"/>
      <c r="F523" s="8"/>
      <c r="G523" s="26"/>
      <c r="H523" s="26"/>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1"/>
      <c r="BT523" s="1"/>
    </row>
    <row r="524" spans="1:72" ht="15.75" customHeight="1" x14ac:dyDescent="0.35">
      <c r="A524" s="8"/>
      <c r="B524" s="8"/>
      <c r="C524" s="8"/>
      <c r="D524" s="8"/>
      <c r="E524" s="8"/>
      <c r="F524" s="8"/>
      <c r="G524" s="26"/>
      <c r="H524" s="26"/>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1"/>
      <c r="BT524" s="1"/>
    </row>
    <row r="525" spans="1:72" ht="15.75" customHeight="1" x14ac:dyDescent="0.35">
      <c r="A525" s="8"/>
      <c r="B525" s="8"/>
      <c r="C525" s="8"/>
      <c r="D525" s="8"/>
      <c r="E525" s="8"/>
      <c r="F525" s="8"/>
      <c r="G525" s="26"/>
      <c r="H525" s="26"/>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1"/>
      <c r="BT525" s="1"/>
    </row>
    <row r="526" spans="1:72" ht="15.75" customHeight="1" x14ac:dyDescent="0.35">
      <c r="A526" s="8"/>
      <c r="B526" s="8"/>
      <c r="C526" s="8"/>
      <c r="D526" s="8"/>
      <c r="E526" s="8"/>
      <c r="F526" s="8"/>
      <c r="G526" s="26"/>
      <c r="H526" s="26"/>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1"/>
      <c r="BT526" s="1"/>
    </row>
    <row r="527" spans="1:72" ht="15.75" customHeight="1" x14ac:dyDescent="0.35">
      <c r="A527" s="8"/>
      <c r="B527" s="8"/>
      <c r="C527" s="8"/>
      <c r="D527" s="8"/>
      <c r="E527" s="8"/>
      <c r="F527" s="8"/>
      <c r="G527" s="26"/>
      <c r="H527" s="26"/>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1"/>
      <c r="BT527" s="1"/>
    </row>
    <row r="528" spans="1:72" ht="15.75" customHeight="1" x14ac:dyDescent="0.35">
      <c r="A528" s="8"/>
      <c r="B528" s="8"/>
      <c r="C528" s="8"/>
      <c r="D528" s="8"/>
      <c r="E528" s="8"/>
      <c r="F528" s="8"/>
      <c r="G528" s="26"/>
      <c r="H528" s="26"/>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1"/>
      <c r="BT528" s="1"/>
    </row>
    <row r="529" spans="1:72" ht="15.75" customHeight="1" x14ac:dyDescent="0.35">
      <c r="A529" s="8"/>
      <c r="B529" s="8"/>
      <c r="C529" s="8"/>
      <c r="D529" s="8"/>
      <c r="E529" s="8"/>
      <c r="F529" s="8"/>
      <c r="G529" s="26"/>
      <c r="H529" s="26"/>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1"/>
      <c r="BT529" s="1"/>
    </row>
    <row r="530" spans="1:72" ht="15.75" customHeight="1" x14ac:dyDescent="0.35">
      <c r="A530" s="8"/>
      <c r="B530" s="8"/>
      <c r="C530" s="8"/>
      <c r="D530" s="8"/>
      <c r="E530" s="8"/>
      <c r="F530" s="8"/>
      <c r="G530" s="26"/>
      <c r="H530" s="26"/>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1"/>
      <c r="BT530" s="1"/>
    </row>
    <row r="531" spans="1:72" ht="15.75" customHeight="1" x14ac:dyDescent="0.35">
      <c r="A531" s="8"/>
      <c r="B531" s="8"/>
      <c r="C531" s="8"/>
      <c r="D531" s="8"/>
      <c r="E531" s="8"/>
      <c r="F531" s="8"/>
      <c r="G531" s="26"/>
      <c r="H531" s="26"/>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1"/>
      <c r="BT531" s="1"/>
    </row>
    <row r="532" spans="1:72" ht="15.75" customHeight="1" x14ac:dyDescent="0.35">
      <c r="A532" s="8"/>
      <c r="B532" s="8"/>
      <c r="C532" s="8"/>
      <c r="D532" s="8"/>
      <c r="E532" s="8"/>
      <c r="F532" s="8"/>
      <c r="G532" s="26"/>
      <c r="H532" s="26"/>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1"/>
      <c r="BT532" s="1"/>
    </row>
    <row r="533" spans="1:72" ht="15.75" customHeight="1" x14ac:dyDescent="0.35">
      <c r="A533" s="8"/>
      <c r="B533" s="8"/>
      <c r="C533" s="8"/>
      <c r="D533" s="8"/>
      <c r="E533" s="8"/>
      <c r="F533" s="8"/>
      <c r="G533" s="26"/>
      <c r="H533" s="26"/>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1"/>
      <c r="BT533" s="1"/>
    </row>
    <row r="534" spans="1:72" ht="15.75" customHeight="1" x14ac:dyDescent="0.35">
      <c r="A534" s="8"/>
      <c r="B534" s="8"/>
      <c r="C534" s="8"/>
      <c r="D534" s="8"/>
      <c r="E534" s="8"/>
      <c r="F534" s="8"/>
      <c r="G534" s="26"/>
      <c r="H534" s="26"/>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1"/>
      <c r="BT534" s="1"/>
    </row>
    <row r="535" spans="1:72" ht="15.75" customHeight="1" x14ac:dyDescent="0.35">
      <c r="A535" s="8"/>
      <c r="B535" s="8"/>
      <c r="C535" s="8"/>
      <c r="D535" s="8"/>
      <c r="E535" s="8"/>
      <c r="F535" s="8"/>
      <c r="G535" s="26"/>
      <c r="H535" s="26"/>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1"/>
      <c r="BT535" s="1"/>
    </row>
    <row r="536" spans="1:72" ht="15.75" customHeight="1" x14ac:dyDescent="0.35">
      <c r="A536" s="8"/>
      <c r="B536" s="8"/>
      <c r="C536" s="8"/>
      <c r="D536" s="8"/>
      <c r="E536" s="8"/>
      <c r="F536" s="8"/>
      <c r="G536" s="26"/>
      <c r="H536" s="26"/>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1"/>
      <c r="BT536" s="1"/>
    </row>
    <row r="537" spans="1:72" ht="15.75" customHeight="1" x14ac:dyDescent="0.35">
      <c r="A537" s="8"/>
      <c r="B537" s="8"/>
      <c r="C537" s="8"/>
      <c r="D537" s="8"/>
      <c r="E537" s="8"/>
      <c r="F537" s="8"/>
      <c r="G537" s="26"/>
      <c r="H537" s="26"/>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1"/>
      <c r="BT537" s="1"/>
    </row>
    <row r="538" spans="1:72" ht="15.75" customHeight="1" x14ac:dyDescent="0.35">
      <c r="A538" s="8"/>
      <c r="B538" s="8"/>
      <c r="C538" s="8"/>
      <c r="D538" s="8"/>
      <c r="E538" s="8"/>
      <c r="F538" s="8"/>
      <c r="G538" s="26"/>
      <c r="H538" s="26"/>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1"/>
      <c r="BT538" s="1"/>
    </row>
    <row r="539" spans="1:72" ht="15.75" customHeight="1" x14ac:dyDescent="0.35">
      <c r="A539" s="8"/>
      <c r="B539" s="8"/>
      <c r="C539" s="8"/>
      <c r="D539" s="8"/>
      <c r="E539" s="8"/>
      <c r="F539" s="8"/>
      <c r="G539" s="26"/>
      <c r="H539" s="26"/>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1"/>
      <c r="BT539" s="1"/>
    </row>
    <row r="540" spans="1:72" ht="15.75" customHeight="1" x14ac:dyDescent="0.35">
      <c r="A540" s="8"/>
      <c r="B540" s="8"/>
      <c r="C540" s="8"/>
      <c r="D540" s="8"/>
      <c r="E540" s="8"/>
      <c r="F540" s="8"/>
      <c r="G540" s="26"/>
      <c r="H540" s="26"/>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1"/>
      <c r="BT540" s="1"/>
    </row>
    <row r="541" spans="1:72" ht="15.75" customHeight="1" x14ac:dyDescent="0.35">
      <c r="A541" s="8"/>
      <c r="B541" s="8"/>
      <c r="C541" s="8"/>
      <c r="D541" s="8"/>
      <c r="E541" s="8"/>
      <c r="F541" s="8"/>
      <c r="G541" s="26"/>
      <c r="H541" s="26"/>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1"/>
      <c r="BT541" s="1"/>
    </row>
    <row r="542" spans="1:72" ht="15.75" customHeight="1" x14ac:dyDescent="0.35">
      <c r="A542" s="8"/>
      <c r="B542" s="8"/>
      <c r="C542" s="8"/>
      <c r="D542" s="8"/>
      <c r="E542" s="8"/>
      <c r="F542" s="8"/>
      <c r="G542" s="26"/>
      <c r="H542" s="26"/>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1"/>
      <c r="BT542" s="1"/>
    </row>
    <row r="543" spans="1:72" ht="15.75" customHeight="1" x14ac:dyDescent="0.35">
      <c r="A543" s="8"/>
      <c r="B543" s="8"/>
      <c r="C543" s="8"/>
      <c r="D543" s="8"/>
      <c r="E543" s="8"/>
      <c r="F543" s="8"/>
      <c r="G543" s="26"/>
      <c r="H543" s="26"/>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1"/>
      <c r="BT543" s="1"/>
    </row>
    <row r="544" spans="1:72" ht="15.75" customHeight="1" x14ac:dyDescent="0.35">
      <c r="A544" s="8"/>
      <c r="B544" s="8"/>
      <c r="C544" s="8"/>
      <c r="D544" s="8"/>
      <c r="E544" s="8"/>
      <c r="F544" s="8"/>
      <c r="G544" s="26"/>
      <c r="H544" s="26"/>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1"/>
      <c r="BT544" s="1"/>
    </row>
    <row r="545" spans="1:72" ht="15.75" customHeight="1" x14ac:dyDescent="0.35">
      <c r="A545" s="8"/>
      <c r="B545" s="8"/>
      <c r="C545" s="8"/>
      <c r="D545" s="8"/>
      <c r="E545" s="8"/>
      <c r="F545" s="8"/>
      <c r="G545" s="26"/>
      <c r="H545" s="26"/>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1"/>
      <c r="BT545" s="1"/>
    </row>
    <row r="546" spans="1:72" ht="15.75" customHeight="1" x14ac:dyDescent="0.35">
      <c r="A546" s="8"/>
      <c r="B546" s="8"/>
      <c r="C546" s="8"/>
      <c r="D546" s="8"/>
      <c r="E546" s="8"/>
      <c r="F546" s="8"/>
      <c r="G546" s="26"/>
      <c r="H546" s="26"/>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1"/>
      <c r="BT546" s="1"/>
    </row>
    <row r="547" spans="1:72" ht="15.75" customHeight="1" x14ac:dyDescent="0.35">
      <c r="A547" s="8"/>
      <c r="B547" s="8"/>
      <c r="C547" s="8"/>
      <c r="D547" s="8"/>
      <c r="E547" s="8"/>
      <c r="F547" s="8"/>
      <c r="G547" s="26"/>
      <c r="H547" s="26"/>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1"/>
      <c r="BT547" s="1"/>
    </row>
    <row r="548" spans="1:72" ht="15.75" customHeight="1" x14ac:dyDescent="0.35">
      <c r="A548" s="8"/>
      <c r="B548" s="8"/>
      <c r="C548" s="8"/>
      <c r="D548" s="8"/>
      <c r="E548" s="8"/>
      <c r="F548" s="8"/>
      <c r="G548" s="26"/>
      <c r="H548" s="26"/>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1"/>
      <c r="BT548" s="1"/>
    </row>
    <row r="549" spans="1:72" ht="15.75" customHeight="1" x14ac:dyDescent="0.35">
      <c r="A549" s="8"/>
      <c r="B549" s="8"/>
      <c r="C549" s="8"/>
      <c r="D549" s="8"/>
      <c r="E549" s="8"/>
      <c r="F549" s="8"/>
      <c r="G549" s="26"/>
      <c r="H549" s="26"/>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1"/>
      <c r="BT549" s="1"/>
    </row>
    <row r="550" spans="1:72" ht="15.75" customHeight="1" x14ac:dyDescent="0.35">
      <c r="A550" s="8"/>
      <c r="B550" s="8"/>
      <c r="C550" s="8"/>
      <c r="D550" s="8"/>
      <c r="E550" s="8"/>
      <c r="F550" s="8"/>
      <c r="G550" s="26"/>
      <c r="H550" s="26"/>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1"/>
      <c r="BT550" s="1"/>
    </row>
    <row r="551" spans="1:72" ht="15.75" customHeight="1" x14ac:dyDescent="0.35">
      <c r="A551" s="8"/>
      <c r="B551" s="8"/>
      <c r="C551" s="8"/>
      <c r="D551" s="8"/>
      <c r="E551" s="8"/>
      <c r="F551" s="8"/>
      <c r="G551" s="26"/>
      <c r="H551" s="26"/>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1"/>
      <c r="BT551" s="1"/>
    </row>
    <row r="552" spans="1:72" ht="15.75" customHeight="1" x14ac:dyDescent="0.35">
      <c r="A552" s="8"/>
      <c r="B552" s="8"/>
      <c r="C552" s="8"/>
      <c r="D552" s="8"/>
      <c r="E552" s="8"/>
      <c r="F552" s="8"/>
      <c r="G552" s="26"/>
      <c r="H552" s="26"/>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1"/>
      <c r="BT552" s="1"/>
    </row>
    <row r="553" spans="1:72" ht="15.75" customHeight="1" x14ac:dyDescent="0.35">
      <c r="A553" s="8"/>
      <c r="B553" s="8"/>
      <c r="C553" s="8"/>
      <c r="D553" s="8"/>
      <c r="E553" s="8"/>
      <c r="F553" s="8"/>
      <c r="G553" s="26"/>
      <c r="H553" s="26"/>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1"/>
      <c r="BT553" s="1"/>
    </row>
    <row r="554" spans="1:72" ht="15.75" customHeight="1" x14ac:dyDescent="0.35">
      <c r="A554" s="8"/>
      <c r="B554" s="8"/>
      <c r="C554" s="8"/>
      <c r="D554" s="8"/>
      <c r="E554" s="8"/>
      <c r="F554" s="8"/>
      <c r="G554" s="26"/>
      <c r="H554" s="26"/>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1"/>
      <c r="BT554" s="1"/>
    </row>
    <row r="555" spans="1:72" ht="15.75" customHeight="1" x14ac:dyDescent="0.35">
      <c r="A555" s="8"/>
      <c r="B555" s="8"/>
      <c r="C555" s="8"/>
      <c r="D555" s="8"/>
      <c r="E555" s="8"/>
      <c r="F555" s="8"/>
      <c r="G555" s="26"/>
      <c r="H555" s="26"/>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1"/>
      <c r="BT555" s="1"/>
    </row>
    <row r="556" spans="1:72" ht="15.75" customHeight="1" x14ac:dyDescent="0.35">
      <c r="A556" s="8"/>
      <c r="B556" s="8"/>
      <c r="C556" s="8"/>
      <c r="D556" s="8"/>
      <c r="E556" s="8"/>
      <c r="F556" s="8"/>
      <c r="G556" s="26"/>
      <c r="H556" s="26"/>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1"/>
      <c r="BT556" s="1"/>
    </row>
    <row r="557" spans="1:72" ht="15.75" customHeight="1" x14ac:dyDescent="0.35">
      <c r="A557" s="8"/>
      <c r="B557" s="8"/>
      <c r="C557" s="8"/>
      <c r="D557" s="8"/>
      <c r="E557" s="8"/>
      <c r="F557" s="8"/>
      <c r="G557" s="26"/>
      <c r="H557" s="26"/>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1"/>
      <c r="BT557" s="1"/>
    </row>
    <row r="558" spans="1:72" ht="15.75" customHeight="1" x14ac:dyDescent="0.35">
      <c r="A558" s="8"/>
      <c r="B558" s="8"/>
      <c r="C558" s="8"/>
      <c r="D558" s="8"/>
      <c r="E558" s="8"/>
      <c r="F558" s="8"/>
      <c r="G558" s="26"/>
      <c r="H558" s="26"/>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1"/>
      <c r="BT558" s="1"/>
    </row>
    <row r="559" spans="1:72" ht="15.75" customHeight="1" x14ac:dyDescent="0.35">
      <c r="A559" s="8"/>
      <c r="B559" s="8"/>
      <c r="C559" s="8"/>
      <c r="D559" s="8"/>
      <c r="E559" s="8"/>
      <c r="F559" s="8"/>
      <c r="G559" s="26"/>
      <c r="H559" s="26"/>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1"/>
      <c r="BT559" s="1"/>
    </row>
    <row r="560" spans="1:72" ht="15.75" customHeight="1" x14ac:dyDescent="0.35">
      <c r="A560" s="8"/>
      <c r="B560" s="8"/>
      <c r="C560" s="8"/>
      <c r="D560" s="8"/>
      <c r="E560" s="8"/>
      <c r="F560" s="8"/>
      <c r="G560" s="26"/>
      <c r="H560" s="26"/>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1"/>
      <c r="BT560" s="1"/>
    </row>
    <row r="561" spans="1:72" ht="15.75" customHeight="1" x14ac:dyDescent="0.35">
      <c r="A561" s="8"/>
      <c r="B561" s="8"/>
      <c r="C561" s="8"/>
      <c r="D561" s="8"/>
      <c r="E561" s="8"/>
      <c r="F561" s="8"/>
      <c r="G561" s="26"/>
      <c r="H561" s="26"/>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1"/>
      <c r="BT561" s="1"/>
    </row>
    <row r="562" spans="1:72" ht="15.75" customHeight="1" x14ac:dyDescent="0.35">
      <c r="A562" s="8"/>
      <c r="B562" s="8"/>
      <c r="C562" s="8"/>
      <c r="D562" s="8"/>
      <c r="E562" s="8"/>
      <c r="F562" s="8"/>
      <c r="G562" s="26"/>
      <c r="H562" s="26"/>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1"/>
      <c r="BT562" s="1"/>
    </row>
    <row r="563" spans="1:72" ht="15.75" customHeight="1" x14ac:dyDescent="0.35">
      <c r="A563" s="8"/>
      <c r="B563" s="8"/>
      <c r="C563" s="8"/>
      <c r="D563" s="8"/>
      <c r="E563" s="8"/>
      <c r="F563" s="8"/>
      <c r="G563" s="26"/>
      <c r="H563" s="26"/>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1"/>
      <c r="BT563" s="1"/>
    </row>
    <row r="564" spans="1:72" ht="15.75" customHeight="1" x14ac:dyDescent="0.35">
      <c r="A564" s="8"/>
      <c r="B564" s="8"/>
      <c r="C564" s="8"/>
      <c r="D564" s="8"/>
      <c r="E564" s="8"/>
      <c r="F564" s="8"/>
      <c r="G564" s="26"/>
      <c r="H564" s="26"/>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1"/>
      <c r="BT564" s="1"/>
    </row>
    <row r="565" spans="1:72" ht="15.75" customHeight="1" x14ac:dyDescent="0.35">
      <c r="A565" s="8"/>
      <c r="B565" s="8"/>
      <c r="C565" s="8"/>
      <c r="D565" s="8"/>
      <c r="E565" s="8"/>
      <c r="F565" s="8"/>
      <c r="G565" s="26"/>
      <c r="H565" s="26"/>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1"/>
      <c r="BT565" s="1"/>
    </row>
    <row r="566" spans="1:72" ht="15.75" customHeight="1" x14ac:dyDescent="0.35">
      <c r="A566" s="8"/>
      <c r="B566" s="8"/>
      <c r="C566" s="8"/>
      <c r="D566" s="8"/>
      <c r="E566" s="8"/>
      <c r="F566" s="8"/>
      <c r="G566" s="26"/>
      <c r="H566" s="26"/>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1"/>
      <c r="BT566" s="1"/>
    </row>
    <row r="567" spans="1:72" ht="15.75" customHeight="1" x14ac:dyDescent="0.35">
      <c r="A567" s="8"/>
      <c r="B567" s="8"/>
      <c r="C567" s="8"/>
      <c r="D567" s="8"/>
      <c r="E567" s="8"/>
      <c r="F567" s="8"/>
      <c r="G567" s="26"/>
      <c r="H567" s="26"/>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1"/>
      <c r="BT567" s="1"/>
    </row>
    <row r="568" spans="1:72" ht="15.75" customHeight="1" x14ac:dyDescent="0.35">
      <c r="A568" s="8"/>
      <c r="B568" s="8"/>
      <c r="C568" s="8"/>
      <c r="D568" s="8"/>
      <c r="E568" s="8"/>
      <c r="F568" s="8"/>
      <c r="G568" s="26"/>
      <c r="H568" s="26"/>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1"/>
      <c r="BT568" s="1"/>
    </row>
    <row r="569" spans="1:72" ht="15.75" customHeight="1" x14ac:dyDescent="0.35">
      <c r="A569" s="8"/>
      <c r="B569" s="8"/>
      <c r="C569" s="8"/>
      <c r="D569" s="8"/>
      <c r="E569" s="8"/>
      <c r="F569" s="8"/>
      <c r="G569" s="26"/>
      <c r="H569" s="26"/>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1"/>
      <c r="BT569" s="1"/>
    </row>
    <row r="570" spans="1:72" ht="15.75" customHeight="1" x14ac:dyDescent="0.35">
      <c r="A570" s="8"/>
      <c r="B570" s="8"/>
      <c r="C570" s="8"/>
      <c r="D570" s="8"/>
      <c r="E570" s="8"/>
      <c r="F570" s="8"/>
      <c r="G570" s="26"/>
      <c r="H570" s="26"/>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1"/>
      <c r="BT570" s="1"/>
    </row>
    <row r="571" spans="1:72" ht="15.75" customHeight="1" x14ac:dyDescent="0.35">
      <c r="A571" s="8"/>
      <c r="B571" s="8"/>
      <c r="C571" s="8"/>
      <c r="D571" s="8"/>
      <c r="E571" s="8"/>
      <c r="F571" s="8"/>
      <c r="G571" s="26"/>
      <c r="H571" s="26"/>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1"/>
      <c r="BT571" s="1"/>
    </row>
    <row r="572" spans="1:72" ht="15.75" customHeight="1" x14ac:dyDescent="0.35">
      <c r="A572" s="8"/>
      <c r="B572" s="8"/>
      <c r="C572" s="8"/>
      <c r="D572" s="8"/>
      <c r="E572" s="8"/>
      <c r="F572" s="8"/>
      <c r="G572" s="26"/>
      <c r="H572" s="26"/>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1"/>
      <c r="BT572" s="1"/>
    </row>
    <row r="573" spans="1:72" ht="15.75" customHeight="1" x14ac:dyDescent="0.35">
      <c r="A573" s="8"/>
      <c r="B573" s="8"/>
      <c r="C573" s="8"/>
      <c r="D573" s="8"/>
      <c r="E573" s="8"/>
      <c r="F573" s="8"/>
      <c r="G573" s="26"/>
      <c r="H573" s="26"/>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1"/>
      <c r="BT573" s="1"/>
    </row>
    <row r="574" spans="1:72" ht="15.75" customHeight="1" x14ac:dyDescent="0.35">
      <c r="A574" s="8"/>
      <c r="B574" s="8"/>
      <c r="C574" s="8"/>
      <c r="D574" s="8"/>
      <c r="E574" s="8"/>
      <c r="F574" s="8"/>
      <c r="G574" s="26"/>
      <c r="H574" s="26"/>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1"/>
      <c r="BT574" s="1"/>
    </row>
    <row r="575" spans="1:72" ht="15.75" customHeight="1" x14ac:dyDescent="0.35">
      <c r="A575" s="8"/>
      <c r="B575" s="8"/>
      <c r="C575" s="8"/>
      <c r="D575" s="8"/>
      <c r="E575" s="8"/>
      <c r="F575" s="8"/>
      <c r="G575" s="26"/>
      <c r="H575" s="26"/>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1"/>
      <c r="BT575" s="1"/>
    </row>
    <row r="576" spans="1:72" ht="15.75" customHeight="1" x14ac:dyDescent="0.35">
      <c r="A576" s="8"/>
      <c r="B576" s="8"/>
      <c r="C576" s="8"/>
      <c r="D576" s="8"/>
      <c r="E576" s="8"/>
      <c r="F576" s="8"/>
      <c r="G576" s="26"/>
      <c r="H576" s="26"/>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1"/>
      <c r="BT576" s="1"/>
    </row>
    <row r="577" spans="1:72" ht="15.75" customHeight="1" x14ac:dyDescent="0.35">
      <c r="A577" s="8"/>
      <c r="B577" s="8"/>
      <c r="C577" s="8"/>
      <c r="D577" s="8"/>
      <c r="E577" s="8"/>
      <c r="F577" s="8"/>
      <c r="G577" s="26"/>
      <c r="H577" s="26"/>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1"/>
      <c r="BT577" s="1"/>
    </row>
    <row r="578" spans="1:72" ht="15.75" customHeight="1" x14ac:dyDescent="0.35">
      <c r="A578" s="8"/>
      <c r="B578" s="8"/>
      <c r="C578" s="8"/>
      <c r="D578" s="8"/>
      <c r="E578" s="8"/>
      <c r="F578" s="8"/>
      <c r="G578" s="26"/>
      <c r="H578" s="26"/>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1"/>
      <c r="BT578" s="1"/>
    </row>
    <row r="579" spans="1:72" ht="15.75" customHeight="1" x14ac:dyDescent="0.35">
      <c r="A579" s="8"/>
      <c r="B579" s="8"/>
      <c r="C579" s="8"/>
      <c r="D579" s="8"/>
      <c r="E579" s="8"/>
      <c r="F579" s="8"/>
      <c r="G579" s="26"/>
      <c r="H579" s="26"/>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1"/>
      <c r="BT579" s="1"/>
    </row>
    <row r="580" spans="1:72" ht="15.75" customHeight="1" x14ac:dyDescent="0.35">
      <c r="A580" s="8"/>
      <c r="B580" s="8"/>
      <c r="C580" s="8"/>
      <c r="D580" s="8"/>
      <c r="E580" s="8"/>
      <c r="F580" s="8"/>
      <c r="G580" s="26"/>
      <c r="H580" s="26"/>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1"/>
      <c r="BT580" s="1"/>
    </row>
    <row r="581" spans="1:72" ht="15.75" customHeight="1" x14ac:dyDescent="0.35">
      <c r="A581" s="8"/>
      <c r="B581" s="8"/>
      <c r="C581" s="8"/>
      <c r="D581" s="8"/>
      <c r="E581" s="8"/>
      <c r="F581" s="8"/>
      <c r="G581" s="26"/>
      <c r="H581" s="26"/>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1"/>
      <c r="BT581" s="1"/>
    </row>
    <row r="582" spans="1:72" ht="15.75" customHeight="1" x14ac:dyDescent="0.35">
      <c r="A582" s="8"/>
      <c r="B582" s="8"/>
      <c r="C582" s="8"/>
      <c r="D582" s="8"/>
      <c r="E582" s="8"/>
      <c r="F582" s="8"/>
      <c r="G582" s="26"/>
      <c r="H582" s="26"/>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1"/>
      <c r="BT582" s="1"/>
    </row>
    <row r="583" spans="1:72" ht="15.75" customHeight="1" x14ac:dyDescent="0.35">
      <c r="A583" s="8"/>
      <c r="B583" s="8"/>
      <c r="C583" s="8"/>
      <c r="D583" s="8"/>
      <c r="E583" s="8"/>
      <c r="F583" s="8"/>
      <c r="G583" s="26"/>
      <c r="H583" s="26"/>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1"/>
      <c r="BT583" s="1"/>
    </row>
    <row r="584" spans="1:72" ht="15.75" customHeight="1" x14ac:dyDescent="0.35">
      <c r="A584" s="8"/>
      <c r="B584" s="8"/>
      <c r="C584" s="8"/>
      <c r="D584" s="8"/>
      <c r="E584" s="8"/>
      <c r="F584" s="8"/>
      <c r="G584" s="26"/>
      <c r="H584" s="26"/>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1"/>
      <c r="BT584" s="1"/>
    </row>
    <row r="585" spans="1:72" ht="15.75" customHeight="1" x14ac:dyDescent="0.35">
      <c r="A585" s="8"/>
      <c r="B585" s="8"/>
      <c r="C585" s="8"/>
      <c r="D585" s="8"/>
      <c r="E585" s="8"/>
      <c r="F585" s="8"/>
      <c r="G585" s="26"/>
      <c r="H585" s="26"/>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1"/>
      <c r="BT585" s="1"/>
    </row>
    <row r="586" spans="1:72" ht="15.75" customHeight="1" x14ac:dyDescent="0.35">
      <c r="A586" s="8"/>
      <c r="B586" s="8"/>
      <c r="C586" s="8"/>
      <c r="D586" s="8"/>
      <c r="E586" s="8"/>
      <c r="F586" s="8"/>
      <c r="G586" s="26"/>
      <c r="H586" s="26"/>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1"/>
      <c r="BT586" s="1"/>
    </row>
    <row r="587" spans="1:72" ht="15.75" customHeight="1" x14ac:dyDescent="0.35">
      <c r="A587" s="8"/>
      <c r="B587" s="8"/>
      <c r="C587" s="8"/>
      <c r="D587" s="8"/>
      <c r="E587" s="8"/>
      <c r="F587" s="8"/>
      <c r="G587" s="26"/>
      <c r="H587" s="26"/>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1"/>
      <c r="BT587" s="1"/>
    </row>
    <row r="588" spans="1:72" ht="15.75" customHeight="1" x14ac:dyDescent="0.35">
      <c r="A588" s="8"/>
      <c r="B588" s="8"/>
      <c r="C588" s="8"/>
      <c r="D588" s="8"/>
      <c r="E588" s="8"/>
      <c r="F588" s="8"/>
      <c r="G588" s="26"/>
      <c r="H588" s="26"/>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1"/>
      <c r="BT588" s="1"/>
    </row>
    <row r="589" spans="1:72" ht="15.75" customHeight="1" x14ac:dyDescent="0.35">
      <c r="A589" s="8"/>
      <c r="B589" s="8"/>
      <c r="C589" s="8"/>
      <c r="D589" s="8"/>
      <c r="E589" s="8"/>
      <c r="F589" s="8"/>
      <c r="G589" s="26"/>
      <c r="H589" s="26"/>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1"/>
      <c r="BT589" s="1"/>
    </row>
    <row r="590" spans="1:72" ht="15.75" customHeight="1" x14ac:dyDescent="0.35">
      <c r="A590" s="8"/>
      <c r="B590" s="8"/>
      <c r="C590" s="8"/>
      <c r="D590" s="8"/>
      <c r="E590" s="8"/>
      <c r="F590" s="8"/>
      <c r="G590" s="26"/>
      <c r="H590" s="26"/>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1"/>
      <c r="BT590" s="1"/>
    </row>
    <row r="591" spans="1:72" ht="15.75" customHeight="1" x14ac:dyDescent="0.35">
      <c r="A591" s="8"/>
      <c r="B591" s="8"/>
      <c r="C591" s="8"/>
      <c r="D591" s="8"/>
      <c r="E591" s="8"/>
      <c r="F591" s="8"/>
      <c r="G591" s="26"/>
      <c r="H591" s="26"/>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1"/>
      <c r="BT591" s="1"/>
    </row>
    <row r="592" spans="1:72" ht="15.75" customHeight="1" x14ac:dyDescent="0.35">
      <c r="A592" s="8"/>
      <c r="B592" s="8"/>
      <c r="C592" s="8"/>
      <c r="D592" s="8"/>
      <c r="E592" s="8"/>
      <c r="F592" s="8"/>
      <c r="G592" s="26"/>
      <c r="H592" s="26"/>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1"/>
      <c r="BT592" s="1"/>
    </row>
    <row r="593" spans="1:72" ht="15.75" customHeight="1" x14ac:dyDescent="0.35">
      <c r="A593" s="8"/>
      <c r="B593" s="8"/>
      <c r="C593" s="8"/>
      <c r="D593" s="8"/>
      <c r="E593" s="8"/>
      <c r="F593" s="8"/>
      <c r="G593" s="26"/>
      <c r="H593" s="26"/>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1"/>
      <c r="BT593" s="1"/>
    </row>
    <row r="594" spans="1:72" ht="15.75" customHeight="1" x14ac:dyDescent="0.35">
      <c r="A594" s="8"/>
      <c r="B594" s="8"/>
      <c r="C594" s="8"/>
      <c r="D594" s="8"/>
      <c r="E594" s="8"/>
      <c r="F594" s="8"/>
      <c r="G594" s="26"/>
      <c r="H594" s="26"/>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1"/>
      <c r="BT594" s="1"/>
    </row>
    <row r="595" spans="1:72" ht="15.75" customHeight="1" x14ac:dyDescent="0.35">
      <c r="A595" s="8"/>
      <c r="B595" s="8"/>
      <c r="C595" s="8"/>
      <c r="D595" s="8"/>
      <c r="E595" s="8"/>
      <c r="F595" s="8"/>
      <c r="G595" s="26"/>
      <c r="H595" s="26"/>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1"/>
      <c r="BT595" s="1"/>
    </row>
    <row r="596" spans="1:72" ht="15.75" customHeight="1" x14ac:dyDescent="0.35">
      <c r="A596" s="8"/>
      <c r="B596" s="8"/>
      <c r="C596" s="8"/>
      <c r="D596" s="8"/>
      <c r="E596" s="8"/>
      <c r="F596" s="8"/>
      <c r="G596" s="26"/>
      <c r="H596" s="26"/>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1"/>
      <c r="BT596" s="1"/>
    </row>
    <row r="597" spans="1:72" ht="15.75" customHeight="1" x14ac:dyDescent="0.35">
      <c r="A597" s="8"/>
      <c r="B597" s="8"/>
      <c r="C597" s="8"/>
      <c r="D597" s="8"/>
      <c r="E597" s="8"/>
      <c r="F597" s="8"/>
      <c r="G597" s="26"/>
      <c r="H597" s="26"/>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1"/>
      <c r="BT597" s="1"/>
    </row>
    <row r="598" spans="1:72" ht="15.75" customHeight="1" x14ac:dyDescent="0.35">
      <c r="A598" s="8"/>
      <c r="B598" s="8"/>
      <c r="C598" s="8"/>
      <c r="D598" s="8"/>
      <c r="E598" s="8"/>
      <c r="F598" s="8"/>
      <c r="G598" s="26"/>
      <c r="H598" s="26"/>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1"/>
      <c r="BT598" s="1"/>
    </row>
    <row r="599" spans="1:72" ht="15.75" customHeight="1" x14ac:dyDescent="0.35">
      <c r="A599" s="8"/>
      <c r="B599" s="8"/>
      <c r="C599" s="8"/>
      <c r="D599" s="8"/>
      <c r="E599" s="8"/>
      <c r="F599" s="8"/>
      <c r="G599" s="26"/>
      <c r="H599" s="26"/>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1"/>
      <c r="BT599" s="1"/>
    </row>
    <row r="600" spans="1:72" ht="15.75" customHeight="1" x14ac:dyDescent="0.35">
      <c r="A600" s="8"/>
      <c r="B600" s="8"/>
      <c r="C600" s="8"/>
      <c r="D600" s="8"/>
      <c r="E600" s="8"/>
      <c r="F600" s="8"/>
      <c r="G600" s="26"/>
      <c r="H600" s="26"/>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1"/>
      <c r="BT600" s="1"/>
    </row>
    <row r="601" spans="1:72" ht="15.75" customHeight="1" x14ac:dyDescent="0.35">
      <c r="A601" s="8"/>
      <c r="B601" s="8"/>
      <c r="C601" s="8"/>
      <c r="D601" s="8"/>
      <c r="E601" s="8"/>
      <c r="F601" s="8"/>
      <c r="G601" s="26"/>
      <c r="H601" s="26"/>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1"/>
      <c r="BT601" s="1"/>
    </row>
    <row r="602" spans="1:72" ht="15.75" customHeight="1" x14ac:dyDescent="0.35">
      <c r="A602" s="8"/>
      <c r="B602" s="8"/>
      <c r="C602" s="8"/>
      <c r="D602" s="8"/>
      <c r="E602" s="8"/>
      <c r="F602" s="8"/>
      <c r="G602" s="26"/>
      <c r="H602" s="26"/>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1"/>
      <c r="BT602" s="1"/>
    </row>
    <row r="603" spans="1:72" ht="15.75" customHeight="1" x14ac:dyDescent="0.35">
      <c r="A603" s="8"/>
      <c r="B603" s="8"/>
      <c r="C603" s="8"/>
      <c r="D603" s="8"/>
      <c r="E603" s="8"/>
      <c r="F603" s="8"/>
      <c r="G603" s="26"/>
      <c r="H603" s="26"/>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1"/>
      <c r="BT603" s="1"/>
    </row>
    <row r="604" spans="1:72" ht="15.75" customHeight="1" x14ac:dyDescent="0.35">
      <c r="A604" s="8"/>
      <c r="B604" s="8"/>
      <c r="C604" s="8"/>
      <c r="D604" s="8"/>
      <c r="E604" s="8"/>
      <c r="F604" s="8"/>
      <c r="G604" s="26"/>
      <c r="H604" s="26"/>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1"/>
      <c r="BT604" s="1"/>
    </row>
    <row r="605" spans="1:72" ht="15.75" customHeight="1" x14ac:dyDescent="0.35">
      <c r="A605" s="8"/>
      <c r="B605" s="8"/>
      <c r="C605" s="8"/>
      <c r="D605" s="8"/>
      <c r="E605" s="8"/>
      <c r="F605" s="8"/>
      <c r="G605" s="26"/>
      <c r="H605" s="26"/>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1"/>
      <c r="BT605" s="1"/>
    </row>
    <row r="606" spans="1:72" ht="15.75" customHeight="1" x14ac:dyDescent="0.35">
      <c r="A606" s="8"/>
      <c r="B606" s="8"/>
      <c r="C606" s="8"/>
      <c r="D606" s="8"/>
      <c r="E606" s="8"/>
      <c r="F606" s="8"/>
      <c r="G606" s="26"/>
      <c r="H606" s="26"/>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1"/>
      <c r="BT606" s="1"/>
    </row>
    <row r="607" spans="1:72" ht="15.75" customHeight="1" x14ac:dyDescent="0.35">
      <c r="A607" s="8"/>
      <c r="B607" s="8"/>
      <c r="C607" s="8"/>
      <c r="D607" s="8"/>
      <c r="E607" s="8"/>
      <c r="F607" s="8"/>
      <c r="G607" s="26"/>
      <c r="H607" s="26"/>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1"/>
      <c r="BT607" s="1"/>
    </row>
    <row r="608" spans="1:72" ht="15.75" customHeight="1" x14ac:dyDescent="0.35">
      <c r="A608" s="8"/>
      <c r="B608" s="8"/>
      <c r="C608" s="8"/>
      <c r="D608" s="8"/>
      <c r="E608" s="8"/>
      <c r="F608" s="8"/>
      <c r="G608" s="26"/>
      <c r="H608" s="26"/>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1"/>
      <c r="BT608" s="1"/>
    </row>
    <row r="609" spans="1:72" ht="15.75" customHeight="1" x14ac:dyDescent="0.35">
      <c r="A609" s="8"/>
      <c r="B609" s="8"/>
      <c r="C609" s="8"/>
      <c r="D609" s="8"/>
      <c r="E609" s="8"/>
      <c r="F609" s="8"/>
      <c r="G609" s="26"/>
      <c r="H609" s="26"/>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1"/>
      <c r="BT609" s="1"/>
    </row>
    <row r="610" spans="1:72" ht="15.75" customHeight="1" x14ac:dyDescent="0.35">
      <c r="A610" s="8"/>
      <c r="B610" s="8"/>
      <c r="C610" s="8"/>
      <c r="D610" s="8"/>
      <c r="E610" s="8"/>
      <c r="F610" s="8"/>
      <c r="G610" s="26"/>
      <c r="H610" s="26"/>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1"/>
      <c r="BT610" s="1"/>
    </row>
    <row r="611" spans="1:72" ht="15.75" customHeight="1" x14ac:dyDescent="0.35">
      <c r="A611" s="8"/>
      <c r="B611" s="8"/>
      <c r="C611" s="8"/>
      <c r="D611" s="8"/>
      <c r="E611" s="8"/>
      <c r="F611" s="8"/>
      <c r="G611" s="26"/>
      <c r="H611" s="26"/>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1"/>
      <c r="BT611" s="1"/>
    </row>
    <row r="612" spans="1:72" ht="15.75" customHeight="1" x14ac:dyDescent="0.35">
      <c r="A612" s="8"/>
      <c r="B612" s="8"/>
      <c r="C612" s="8"/>
      <c r="D612" s="8"/>
      <c r="E612" s="8"/>
      <c r="F612" s="8"/>
      <c r="G612" s="26"/>
      <c r="H612" s="26"/>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1"/>
      <c r="BT612" s="1"/>
    </row>
    <row r="613" spans="1:72" ht="15.75" customHeight="1" x14ac:dyDescent="0.35">
      <c r="A613" s="8"/>
      <c r="B613" s="8"/>
      <c r="C613" s="8"/>
      <c r="D613" s="8"/>
      <c r="E613" s="8"/>
      <c r="F613" s="8"/>
      <c r="G613" s="26"/>
      <c r="H613" s="26"/>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1"/>
      <c r="BT613" s="1"/>
    </row>
    <row r="614" spans="1:72" ht="15.75" customHeight="1" x14ac:dyDescent="0.35">
      <c r="A614" s="8"/>
      <c r="B614" s="8"/>
      <c r="C614" s="8"/>
      <c r="D614" s="8"/>
      <c r="E614" s="8"/>
      <c r="F614" s="8"/>
      <c r="G614" s="26"/>
      <c r="H614" s="26"/>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1"/>
      <c r="BT614" s="1"/>
    </row>
    <row r="615" spans="1:72" ht="15.75" customHeight="1" x14ac:dyDescent="0.35">
      <c r="A615" s="8"/>
      <c r="B615" s="8"/>
      <c r="C615" s="8"/>
      <c r="D615" s="8"/>
      <c r="E615" s="8"/>
      <c r="F615" s="8"/>
      <c r="G615" s="26"/>
      <c r="H615" s="26"/>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1"/>
      <c r="BT615" s="1"/>
    </row>
    <row r="616" spans="1:72" ht="15.75" customHeight="1" x14ac:dyDescent="0.35">
      <c r="A616" s="8"/>
      <c r="B616" s="8"/>
      <c r="C616" s="8"/>
      <c r="D616" s="8"/>
      <c r="E616" s="8"/>
      <c r="F616" s="8"/>
      <c r="G616" s="26"/>
      <c r="H616" s="26"/>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1"/>
      <c r="BT616" s="1"/>
    </row>
    <row r="617" spans="1:72" ht="15.75" customHeight="1" x14ac:dyDescent="0.35">
      <c r="A617" s="8"/>
      <c r="B617" s="8"/>
      <c r="C617" s="8"/>
      <c r="D617" s="8"/>
      <c r="E617" s="8"/>
      <c r="F617" s="8"/>
      <c r="G617" s="26"/>
      <c r="H617" s="26"/>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1"/>
      <c r="BT617" s="1"/>
    </row>
    <row r="618" spans="1:72" ht="15.75" customHeight="1" x14ac:dyDescent="0.35">
      <c r="A618" s="8"/>
      <c r="B618" s="8"/>
      <c r="C618" s="8"/>
      <c r="D618" s="8"/>
      <c r="E618" s="8"/>
      <c r="F618" s="8"/>
      <c r="G618" s="26"/>
      <c r="H618" s="26"/>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1"/>
      <c r="BT618" s="1"/>
    </row>
    <row r="619" spans="1:72" ht="15.75" customHeight="1" x14ac:dyDescent="0.35">
      <c r="A619" s="8"/>
      <c r="B619" s="8"/>
      <c r="C619" s="8"/>
      <c r="D619" s="8"/>
      <c r="E619" s="8"/>
      <c r="F619" s="8"/>
      <c r="G619" s="26"/>
      <c r="H619" s="26"/>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1"/>
      <c r="BT619" s="1"/>
    </row>
    <row r="620" spans="1:72" ht="15.75" customHeight="1" x14ac:dyDescent="0.35">
      <c r="A620" s="8"/>
      <c r="B620" s="8"/>
      <c r="C620" s="8"/>
      <c r="D620" s="8"/>
      <c r="E620" s="8"/>
      <c r="F620" s="8"/>
      <c r="G620" s="26"/>
      <c r="H620" s="26"/>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1"/>
      <c r="BT620" s="1"/>
    </row>
    <row r="621" spans="1:72" ht="15.75" customHeight="1" x14ac:dyDescent="0.35">
      <c r="A621" s="8"/>
      <c r="B621" s="8"/>
      <c r="C621" s="8"/>
      <c r="D621" s="8"/>
      <c r="E621" s="8"/>
      <c r="F621" s="8"/>
      <c r="G621" s="26"/>
      <c r="H621" s="26"/>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1"/>
      <c r="BT621" s="1"/>
    </row>
    <row r="622" spans="1:72" ht="15.75" customHeight="1" x14ac:dyDescent="0.35">
      <c r="A622" s="8"/>
      <c r="B622" s="8"/>
      <c r="C622" s="8"/>
      <c r="D622" s="8"/>
      <c r="E622" s="8"/>
      <c r="F622" s="8"/>
      <c r="G622" s="26"/>
      <c r="H622" s="26"/>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1"/>
      <c r="BT622" s="1"/>
    </row>
    <row r="623" spans="1:72" ht="15.75" customHeight="1" x14ac:dyDescent="0.35">
      <c r="A623" s="8"/>
      <c r="B623" s="8"/>
      <c r="C623" s="8"/>
      <c r="D623" s="8"/>
      <c r="E623" s="8"/>
      <c r="F623" s="8"/>
      <c r="G623" s="26"/>
      <c r="H623" s="26"/>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1"/>
      <c r="BT623" s="1"/>
    </row>
    <row r="624" spans="1:72" ht="15.75" customHeight="1" x14ac:dyDescent="0.35">
      <c r="A624" s="8"/>
      <c r="B624" s="8"/>
      <c r="C624" s="8"/>
      <c r="D624" s="8"/>
      <c r="E624" s="8"/>
      <c r="F624" s="8"/>
      <c r="G624" s="26"/>
      <c r="H624" s="26"/>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1"/>
      <c r="BT624" s="1"/>
    </row>
    <row r="625" spans="1:72" ht="15.75" customHeight="1" x14ac:dyDescent="0.35">
      <c r="A625" s="8"/>
      <c r="B625" s="8"/>
      <c r="C625" s="8"/>
      <c r="D625" s="8"/>
      <c r="E625" s="8"/>
      <c r="F625" s="8"/>
      <c r="G625" s="26"/>
      <c r="H625" s="26"/>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1"/>
      <c r="BT625" s="1"/>
    </row>
    <row r="626" spans="1:72" ht="15.75" customHeight="1" x14ac:dyDescent="0.35">
      <c r="A626" s="8"/>
      <c r="B626" s="8"/>
      <c r="C626" s="8"/>
      <c r="D626" s="8"/>
      <c r="E626" s="8"/>
      <c r="F626" s="8"/>
      <c r="G626" s="26"/>
      <c r="H626" s="26"/>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1"/>
      <c r="BT626" s="1"/>
    </row>
    <row r="627" spans="1:72" ht="15.75" customHeight="1" x14ac:dyDescent="0.35">
      <c r="A627" s="8"/>
      <c r="B627" s="8"/>
      <c r="C627" s="8"/>
      <c r="D627" s="8"/>
      <c r="E627" s="8"/>
      <c r="F627" s="8"/>
      <c r="G627" s="26"/>
      <c r="H627" s="26"/>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1"/>
      <c r="BT627" s="1"/>
    </row>
    <row r="628" spans="1:72" ht="15.75" customHeight="1" x14ac:dyDescent="0.35">
      <c r="A628" s="8"/>
      <c r="B628" s="8"/>
      <c r="C628" s="8"/>
      <c r="D628" s="8"/>
      <c r="E628" s="8"/>
      <c r="F628" s="8"/>
      <c r="G628" s="26"/>
      <c r="H628" s="26"/>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1"/>
      <c r="BT628" s="1"/>
    </row>
    <row r="629" spans="1:72" ht="15.75" customHeight="1" x14ac:dyDescent="0.35">
      <c r="A629" s="8"/>
      <c r="B629" s="8"/>
      <c r="C629" s="8"/>
      <c r="D629" s="8"/>
      <c r="E629" s="8"/>
      <c r="F629" s="8"/>
      <c r="G629" s="26"/>
      <c r="H629" s="26"/>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1"/>
      <c r="BT629" s="1"/>
    </row>
    <row r="630" spans="1:72" ht="15.75" customHeight="1" x14ac:dyDescent="0.35">
      <c r="A630" s="8"/>
      <c r="B630" s="8"/>
      <c r="C630" s="8"/>
      <c r="D630" s="8"/>
      <c r="E630" s="8"/>
      <c r="F630" s="8"/>
      <c r="G630" s="26"/>
      <c r="H630" s="26"/>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1"/>
      <c r="BT630" s="1"/>
    </row>
    <row r="631" spans="1:72" ht="15.75" customHeight="1" x14ac:dyDescent="0.35">
      <c r="A631" s="8"/>
      <c r="B631" s="8"/>
      <c r="C631" s="8"/>
      <c r="D631" s="8"/>
      <c r="E631" s="8"/>
      <c r="F631" s="8"/>
      <c r="G631" s="26"/>
      <c r="H631" s="26"/>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1"/>
      <c r="BT631" s="1"/>
    </row>
    <row r="632" spans="1:72" ht="15.75" customHeight="1" x14ac:dyDescent="0.35">
      <c r="A632" s="8"/>
      <c r="B632" s="8"/>
      <c r="C632" s="8"/>
      <c r="D632" s="8"/>
      <c r="E632" s="8"/>
      <c r="F632" s="8"/>
      <c r="G632" s="26"/>
      <c r="H632" s="26"/>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1"/>
      <c r="BT632" s="1"/>
    </row>
    <row r="633" spans="1:72" ht="15.75" customHeight="1" x14ac:dyDescent="0.35">
      <c r="A633" s="8"/>
      <c r="B633" s="8"/>
      <c r="C633" s="8"/>
      <c r="D633" s="8"/>
      <c r="E633" s="8"/>
      <c r="F633" s="8"/>
      <c r="G633" s="26"/>
      <c r="H633" s="26"/>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1"/>
      <c r="BT633" s="1"/>
    </row>
    <row r="634" spans="1:72" ht="15.75" customHeight="1" x14ac:dyDescent="0.35">
      <c r="A634" s="8"/>
      <c r="B634" s="8"/>
      <c r="C634" s="8"/>
      <c r="D634" s="8"/>
      <c r="E634" s="8"/>
      <c r="F634" s="8"/>
      <c r="G634" s="26"/>
      <c r="H634" s="26"/>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1"/>
      <c r="BT634" s="1"/>
    </row>
    <row r="635" spans="1:72" ht="15.75" customHeight="1" x14ac:dyDescent="0.35">
      <c r="A635" s="8"/>
      <c r="B635" s="8"/>
      <c r="C635" s="8"/>
      <c r="D635" s="8"/>
      <c r="E635" s="8"/>
      <c r="F635" s="8"/>
      <c r="G635" s="26"/>
      <c r="H635" s="26"/>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1"/>
      <c r="BT635" s="1"/>
    </row>
    <row r="636" spans="1:72" ht="15.75" customHeight="1" x14ac:dyDescent="0.35">
      <c r="A636" s="8"/>
      <c r="B636" s="8"/>
      <c r="C636" s="8"/>
      <c r="D636" s="8"/>
      <c r="E636" s="8"/>
      <c r="F636" s="8"/>
      <c r="G636" s="26"/>
      <c r="H636" s="26"/>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1"/>
      <c r="BT636" s="1"/>
    </row>
    <row r="637" spans="1:72" ht="15.75" customHeight="1" x14ac:dyDescent="0.35">
      <c r="A637" s="8"/>
      <c r="B637" s="8"/>
      <c r="C637" s="8"/>
      <c r="D637" s="8"/>
      <c r="E637" s="8"/>
      <c r="F637" s="8"/>
      <c r="G637" s="26"/>
      <c r="H637" s="26"/>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1"/>
      <c r="BT637" s="1"/>
    </row>
    <row r="638" spans="1:72" ht="15.75" customHeight="1" x14ac:dyDescent="0.35">
      <c r="A638" s="8"/>
      <c r="B638" s="8"/>
      <c r="C638" s="8"/>
      <c r="D638" s="8"/>
      <c r="E638" s="8"/>
      <c r="F638" s="8"/>
      <c r="G638" s="26"/>
      <c r="H638" s="26"/>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1"/>
      <c r="BT638" s="1"/>
    </row>
    <row r="639" spans="1:72" ht="15.75" customHeight="1" x14ac:dyDescent="0.35">
      <c r="A639" s="8"/>
      <c r="B639" s="8"/>
      <c r="C639" s="8"/>
      <c r="D639" s="8"/>
      <c r="E639" s="8"/>
      <c r="F639" s="8"/>
      <c r="G639" s="26"/>
      <c r="H639" s="26"/>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1"/>
      <c r="BT639" s="1"/>
    </row>
    <row r="640" spans="1:72" ht="15.75" customHeight="1" x14ac:dyDescent="0.35">
      <c r="A640" s="8"/>
      <c r="B640" s="8"/>
      <c r="C640" s="8"/>
      <c r="D640" s="8"/>
      <c r="E640" s="8"/>
      <c r="F640" s="8"/>
      <c r="G640" s="26"/>
      <c r="H640" s="26"/>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1"/>
      <c r="BT640" s="1"/>
    </row>
    <row r="641" spans="1:72" ht="15.75" customHeight="1" x14ac:dyDescent="0.35">
      <c r="A641" s="8"/>
      <c r="B641" s="8"/>
      <c r="C641" s="8"/>
      <c r="D641" s="8"/>
      <c r="E641" s="8"/>
      <c r="F641" s="8"/>
      <c r="G641" s="26"/>
      <c r="H641" s="26"/>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1"/>
      <c r="BT641" s="1"/>
    </row>
    <row r="642" spans="1:72" ht="15.75" customHeight="1" x14ac:dyDescent="0.35">
      <c r="A642" s="8"/>
      <c r="B642" s="8"/>
      <c r="C642" s="8"/>
      <c r="D642" s="8"/>
      <c r="E642" s="8"/>
      <c r="F642" s="8"/>
      <c r="G642" s="26"/>
      <c r="H642" s="26"/>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1"/>
      <c r="BT642" s="1"/>
    </row>
    <row r="643" spans="1:72" ht="15.75" customHeight="1" x14ac:dyDescent="0.35">
      <c r="A643" s="8"/>
      <c r="B643" s="8"/>
      <c r="C643" s="8"/>
      <c r="D643" s="8"/>
      <c r="E643" s="8"/>
      <c r="F643" s="8"/>
      <c r="G643" s="26"/>
      <c r="H643" s="26"/>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1"/>
      <c r="BT643" s="1"/>
    </row>
    <row r="644" spans="1:72" ht="15.75" customHeight="1" x14ac:dyDescent="0.35">
      <c r="A644" s="8"/>
      <c r="B644" s="8"/>
      <c r="C644" s="8"/>
      <c r="D644" s="8"/>
      <c r="E644" s="8"/>
      <c r="F644" s="8"/>
      <c r="G644" s="26"/>
      <c r="H644" s="26"/>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1"/>
      <c r="BT644" s="1"/>
    </row>
    <row r="645" spans="1:72" ht="15.75" customHeight="1" x14ac:dyDescent="0.35">
      <c r="A645" s="8"/>
      <c r="B645" s="8"/>
      <c r="C645" s="8"/>
      <c r="D645" s="8"/>
      <c r="E645" s="8"/>
      <c r="F645" s="8"/>
      <c r="G645" s="26"/>
      <c r="H645" s="26"/>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1"/>
      <c r="BT645" s="1"/>
    </row>
    <row r="646" spans="1:72" ht="15.75" customHeight="1" x14ac:dyDescent="0.35">
      <c r="A646" s="8"/>
      <c r="B646" s="8"/>
      <c r="C646" s="8"/>
      <c r="D646" s="8"/>
      <c r="E646" s="8"/>
      <c r="F646" s="8"/>
      <c r="G646" s="26"/>
      <c r="H646" s="26"/>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1"/>
      <c r="BT646" s="1"/>
    </row>
    <row r="647" spans="1:72" ht="15.75" customHeight="1" x14ac:dyDescent="0.35">
      <c r="A647" s="8"/>
      <c r="B647" s="8"/>
      <c r="C647" s="8"/>
      <c r="D647" s="8"/>
      <c r="E647" s="8"/>
      <c r="F647" s="8"/>
      <c r="G647" s="26"/>
      <c r="H647" s="26"/>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1"/>
      <c r="BT647" s="1"/>
    </row>
    <row r="648" spans="1:72" ht="15.75" customHeight="1" x14ac:dyDescent="0.35">
      <c r="A648" s="8"/>
      <c r="B648" s="8"/>
      <c r="C648" s="8"/>
      <c r="D648" s="8"/>
      <c r="E648" s="8"/>
      <c r="F648" s="8"/>
      <c r="G648" s="26"/>
      <c r="H648" s="26"/>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1"/>
      <c r="BT648" s="1"/>
    </row>
    <row r="649" spans="1:72" ht="15.75" customHeight="1" x14ac:dyDescent="0.35">
      <c r="A649" s="8"/>
      <c r="B649" s="8"/>
      <c r="C649" s="8"/>
      <c r="D649" s="8"/>
      <c r="E649" s="8"/>
      <c r="F649" s="8"/>
      <c r="G649" s="26"/>
      <c r="H649" s="26"/>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1"/>
      <c r="BT649" s="1"/>
    </row>
    <row r="650" spans="1:72" ht="15.75" customHeight="1" x14ac:dyDescent="0.35">
      <c r="A650" s="8"/>
      <c r="B650" s="8"/>
      <c r="C650" s="8"/>
      <c r="D650" s="8"/>
      <c r="E650" s="8"/>
      <c r="F650" s="8"/>
      <c r="G650" s="26"/>
      <c r="H650" s="26"/>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1"/>
      <c r="BT650" s="1"/>
    </row>
    <row r="651" spans="1:72" ht="15.75" customHeight="1" x14ac:dyDescent="0.35">
      <c r="A651" s="8"/>
      <c r="B651" s="8"/>
      <c r="C651" s="8"/>
      <c r="D651" s="8"/>
      <c r="E651" s="8"/>
      <c r="F651" s="8"/>
      <c r="G651" s="26"/>
      <c r="H651" s="26"/>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1"/>
      <c r="BT651" s="1"/>
    </row>
    <row r="652" spans="1:72" ht="15.75" customHeight="1" x14ac:dyDescent="0.35">
      <c r="A652" s="8"/>
      <c r="B652" s="8"/>
      <c r="C652" s="8"/>
      <c r="D652" s="8"/>
      <c r="E652" s="8"/>
      <c r="F652" s="8"/>
      <c r="G652" s="26"/>
      <c r="H652" s="26"/>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1"/>
      <c r="BT652" s="1"/>
    </row>
    <row r="653" spans="1:72" ht="15.75" customHeight="1" x14ac:dyDescent="0.35">
      <c r="A653" s="8"/>
      <c r="B653" s="8"/>
      <c r="C653" s="8"/>
      <c r="D653" s="8"/>
      <c r="E653" s="8"/>
      <c r="F653" s="8"/>
      <c r="G653" s="26"/>
      <c r="H653" s="26"/>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1"/>
      <c r="BT653" s="1"/>
    </row>
    <row r="654" spans="1:72" ht="15.75" customHeight="1" x14ac:dyDescent="0.35">
      <c r="A654" s="8"/>
      <c r="B654" s="8"/>
      <c r="C654" s="8"/>
      <c r="D654" s="8"/>
      <c r="E654" s="8"/>
      <c r="F654" s="8"/>
      <c r="G654" s="26"/>
      <c r="H654" s="26"/>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1"/>
      <c r="BT654" s="1"/>
    </row>
    <row r="655" spans="1:72" ht="15.75" customHeight="1" x14ac:dyDescent="0.35">
      <c r="A655" s="8"/>
      <c r="B655" s="8"/>
      <c r="C655" s="8"/>
      <c r="D655" s="8"/>
      <c r="E655" s="8"/>
      <c r="F655" s="8"/>
      <c r="G655" s="26"/>
      <c r="H655" s="26"/>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1"/>
      <c r="BT655" s="1"/>
    </row>
    <row r="656" spans="1:72" ht="15.75" customHeight="1" x14ac:dyDescent="0.35">
      <c r="A656" s="8"/>
      <c r="B656" s="8"/>
      <c r="C656" s="8"/>
      <c r="D656" s="8"/>
      <c r="E656" s="8"/>
      <c r="F656" s="8"/>
      <c r="G656" s="26"/>
      <c r="H656" s="26"/>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1"/>
      <c r="BT656" s="1"/>
    </row>
    <row r="657" spans="1:72" ht="15.75" customHeight="1" x14ac:dyDescent="0.35">
      <c r="A657" s="8"/>
      <c r="B657" s="8"/>
      <c r="C657" s="8"/>
      <c r="D657" s="8"/>
      <c r="E657" s="8"/>
      <c r="F657" s="8"/>
      <c r="G657" s="26"/>
      <c r="H657" s="26"/>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1"/>
      <c r="BT657" s="1"/>
    </row>
    <row r="658" spans="1:72" ht="15.75" customHeight="1" x14ac:dyDescent="0.35">
      <c r="A658" s="8"/>
      <c r="B658" s="8"/>
      <c r="C658" s="8"/>
      <c r="D658" s="8"/>
      <c r="E658" s="8"/>
      <c r="F658" s="8"/>
      <c r="G658" s="26"/>
      <c r="H658" s="26"/>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1"/>
      <c r="BT658" s="1"/>
    </row>
    <row r="659" spans="1:72" ht="15.75" customHeight="1" x14ac:dyDescent="0.35">
      <c r="A659" s="8"/>
      <c r="B659" s="8"/>
      <c r="C659" s="8"/>
      <c r="D659" s="8"/>
      <c r="E659" s="8"/>
      <c r="F659" s="8"/>
      <c r="G659" s="26"/>
      <c r="H659" s="26"/>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1"/>
      <c r="BT659" s="1"/>
    </row>
    <row r="660" spans="1:72" ht="15.75" customHeight="1" x14ac:dyDescent="0.35">
      <c r="A660" s="8"/>
      <c r="B660" s="8"/>
      <c r="C660" s="8"/>
      <c r="D660" s="8"/>
      <c r="E660" s="8"/>
      <c r="F660" s="8"/>
      <c r="G660" s="26"/>
      <c r="H660" s="26"/>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1"/>
      <c r="BT660" s="1"/>
    </row>
    <row r="661" spans="1:72" ht="15.75" customHeight="1" x14ac:dyDescent="0.35">
      <c r="A661" s="8"/>
      <c r="B661" s="8"/>
      <c r="C661" s="8"/>
      <c r="D661" s="8"/>
      <c r="E661" s="8"/>
      <c r="F661" s="8"/>
      <c r="G661" s="26"/>
      <c r="H661" s="26"/>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1"/>
      <c r="BT661" s="1"/>
    </row>
    <row r="662" spans="1:72" ht="15.75" customHeight="1" x14ac:dyDescent="0.35">
      <c r="A662" s="8"/>
      <c r="B662" s="8"/>
      <c r="C662" s="8"/>
      <c r="D662" s="8"/>
      <c r="E662" s="8"/>
      <c r="F662" s="8"/>
      <c r="G662" s="26"/>
      <c r="H662" s="26"/>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1"/>
      <c r="BT662" s="1"/>
    </row>
    <row r="663" spans="1:72" ht="15.75" customHeight="1" x14ac:dyDescent="0.35">
      <c r="A663" s="8"/>
      <c r="B663" s="8"/>
      <c r="C663" s="8"/>
      <c r="D663" s="8"/>
      <c r="E663" s="8"/>
      <c r="F663" s="8"/>
      <c r="G663" s="26"/>
      <c r="H663" s="26"/>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1"/>
      <c r="BT663" s="1"/>
    </row>
    <row r="664" spans="1:72" ht="15.75" customHeight="1" x14ac:dyDescent="0.35">
      <c r="A664" s="8"/>
      <c r="B664" s="8"/>
      <c r="C664" s="8"/>
      <c r="D664" s="8"/>
      <c r="E664" s="8"/>
      <c r="F664" s="8"/>
      <c r="G664" s="26"/>
      <c r="H664" s="26"/>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1"/>
      <c r="BT664" s="1"/>
    </row>
    <row r="665" spans="1:72" ht="15.75" customHeight="1" x14ac:dyDescent="0.35">
      <c r="A665" s="8"/>
      <c r="B665" s="8"/>
      <c r="C665" s="8"/>
      <c r="D665" s="8"/>
      <c r="E665" s="8"/>
      <c r="F665" s="8"/>
      <c r="G665" s="26"/>
      <c r="H665" s="26"/>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1"/>
      <c r="BT665" s="1"/>
    </row>
    <row r="666" spans="1:72" ht="15.75" customHeight="1" x14ac:dyDescent="0.35">
      <c r="A666" s="8"/>
      <c r="B666" s="8"/>
      <c r="C666" s="8"/>
      <c r="D666" s="8"/>
      <c r="E666" s="8"/>
      <c r="F666" s="8"/>
      <c r="G666" s="26"/>
      <c r="H666" s="26"/>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1"/>
      <c r="BT666" s="1"/>
    </row>
    <row r="667" spans="1:72" ht="15.75" customHeight="1" x14ac:dyDescent="0.35">
      <c r="A667" s="8"/>
      <c r="B667" s="8"/>
      <c r="C667" s="8"/>
      <c r="D667" s="8"/>
      <c r="E667" s="8"/>
      <c r="F667" s="8"/>
      <c r="G667" s="26"/>
      <c r="H667" s="26"/>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1"/>
      <c r="BT667" s="1"/>
    </row>
    <row r="668" spans="1:72" ht="15.75" customHeight="1" x14ac:dyDescent="0.35">
      <c r="A668" s="8"/>
      <c r="B668" s="8"/>
      <c r="C668" s="8"/>
      <c r="D668" s="8"/>
      <c r="E668" s="8"/>
      <c r="F668" s="8"/>
      <c r="G668" s="26"/>
      <c r="H668" s="26"/>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1"/>
      <c r="BT668" s="1"/>
    </row>
    <row r="669" spans="1:72" ht="15.75" customHeight="1" x14ac:dyDescent="0.35">
      <c r="A669" s="8"/>
      <c r="B669" s="8"/>
      <c r="C669" s="8"/>
      <c r="D669" s="8"/>
      <c r="E669" s="8"/>
      <c r="F669" s="8"/>
      <c r="G669" s="26"/>
      <c r="H669" s="26"/>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1"/>
      <c r="BT669" s="1"/>
    </row>
    <row r="670" spans="1:72" ht="15.75" customHeight="1" x14ac:dyDescent="0.35">
      <c r="A670" s="8"/>
      <c r="B670" s="8"/>
      <c r="C670" s="8"/>
      <c r="D670" s="8"/>
      <c r="E670" s="8"/>
      <c r="F670" s="8"/>
      <c r="G670" s="26"/>
      <c r="H670" s="26"/>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1"/>
      <c r="BT670" s="1"/>
    </row>
    <row r="671" spans="1:72" ht="15.75" customHeight="1" x14ac:dyDescent="0.35">
      <c r="A671" s="8"/>
      <c r="B671" s="8"/>
      <c r="C671" s="8"/>
      <c r="D671" s="8"/>
      <c r="E671" s="8"/>
      <c r="F671" s="8"/>
      <c r="G671" s="26"/>
      <c r="H671" s="26"/>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1"/>
      <c r="BT671" s="1"/>
    </row>
    <row r="672" spans="1:72" ht="15.75" customHeight="1" x14ac:dyDescent="0.35">
      <c r="A672" s="8"/>
      <c r="B672" s="8"/>
      <c r="C672" s="8"/>
      <c r="D672" s="8"/>
      <c r="E672" s="8"/>
      <c r="F672" s="8"/>
      <c r="G672" s="26"/>
      <c r="H672" s="26"/>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1"/>
      <c r="BT672" s="1"/>
    </row>
    <row r="673" spans="1:72" ht="15.75" customHeight="1" x14ac:dyDescent="0.35">
      <c r="A673" s="8"/>
      <c r="B673" s="8"/>
      <c r="C673" s="8"/>
      <c r="D673" s="8"/>
      <c r="E673" s="8"/>
      <c r="F673" s="8"/>
      <c r="G673" s="26"/>
      <c r="H673" s="26"/>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1"/>
      <c r="BT673" s="1"/>
    </row>
    <row r="674" spans="1:72" ht="15.75" customHeight="1" x14ac:dyDescent="0.35">
      <c r="A674" s="8"/>
      <c r="B674" s="8"/>
      <c r="C674" s="8"/>
      <c r="D674" s="8"/>
      <c r="E674" s="8"/>
      <c r="F674" s="8"/>
      <c r="G674" s="26"/>
      <c r="H674" s="26"/>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1"/>
      <c r="BT674" s="1"/>
    </row>
    <row r="675" spans="1:72" ht="15.75" customHeight="1" x14ac:dyDescent="0.35">
      <c r="A675" s="8"/>
      <c r="B675" s="8"/>
      <c r="C675" s="8"/>
      <c r="D675" s="8"/>
      <c r="E675" s="8"/>
      <c r="F675" s="8"/>
      <c r="G675" s="26"/>
      <c r="H675" s="26"/>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1"/>
      <c r="BT675" s="1"/>
    </row>
    <row r="676" spans="1:72" ht="15.75" customHeight="1" x14ac:dyDescent="0.35">
      <c r="A676" s="8"/>
      <c r="B676" s="8"/>
      <c r="C676" s="8"/>
      <c r="D676" s="8"/>
      <c r="E676" s="8"/>
      <c r="F676" s="8"/>
      <c r="G676" s="26"/>
      <c r="H676" s="26"/>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1"/>
      <c r="BT676" s="1"/>
    </row>
    <row r="677" spans="1:72" ht="15.75" customHeight="1" x14ac:dyDescent="0.35">
      <c r="A677" s="8"/>
      <c r="B677" s="8"/>
      <c r="C677" s="8"/>
      <c r="D677" s="8"/>
      <c r="E677" s="8"/>
      <c r="F677" s="8"/>
      <c r="G677" s="26"/>
      <c r="H677" s="26"/>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1"/>
      <c r="BT677" s="1"/>
    </row>
    <row r="678" spans="1:72" ht="15.75" customHeight="1" x14ac:dyDescent="0.35">
      <c r="A678" s="8"/>
      <c r="B678" s="8"/>
      <c r="C678" s="8"/>
      <c r="D678" s="8"/>
      <c r="E678" s="8"/>
      <c r="F678" s="8"/>
      <c r="G678" s="26"/>
      <c r="H678" s="26"/>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1"/>
      <c r="BT678" s="1"/>
    </row>
    <row r="679" spans="1:72" ht="15.75" customHeight="1" x14ac:dyDescent="0.35">
      <c r="A679" s="8"/>
      <c r="B679" s="8"/>
      <c r="C679" s="8"/>
      <c r="D679" s="8"/>
      <c r="E679" s="8"/>
      <c r="F679" s="8"/>
      <c r="G679" s="26"/>
      <c r="H679" s="26"/>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1"/>
      <c r="BT679" s="1"/>
    </row>
    <row r="680" spans="1:72" ht="15.75" customHeight="1" x14ac:dyDescent="0.35">
      <c r="A680" s="8"/>
      <c r="B680" s="8"/>
      <c r="C680" s="8"/>
      <c r="D680" s="8"/>
      <c r="E680" s="8"/>
      <c r="F680" s="8"/>
      <c r="G680" s="26"/>
      <c r="H680" s="26"/>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1"/>
      <c r="BT680" s="1"/>
    </row>
    <row r="681" spans="1:72" ht="15.75" customHeight="1" x14ac:dyDescent="0.35">
      <c r="A681" s="8"/>
      <c r="B681" s="8"/>
      <c r="C681" s="8"/>
      <c r="D681" s="8"/>
      <c r="E681" s="8"/>
      <c r="F681" s="8"/>
      <c r="G681" s="26"/>
      <c r="H681" s="26"/>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1"/>
      <c r="BT681" s="1"/>
    </row>
    <row r="682" spans="1:72" ht="15.75" customHeight="1" x14ac:dyDescent="0.35">
      <c r="A682" s="8"/>
      <c r="B682" s="8"/>
      <c r="C682" s="8"/>
      <c r="D682" s="8"/>
      <c r="E682" s="8"/>
      <c r="F682" s="8"/>
      <c r="G682" s="26"/>
      <c r="H682" s="26"/>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1"/>
      <c r="BT682" s="1"/>
    </row>
    <row r="683" spans="1:72" ht="15.75" customHeight="1" x14ac:dyDescent="0.35">
      <c r="A683" s="8"/>
      <c r="B683" s="8"/>
      <c r="C683" s="8"/>
      <c r="D683" s="8"/>
      <c r="E683" s="8"/>
      <c r="F683" s="8"/>
      <c r="G683" s="26"/>
      <c r="H683" s="26"/>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1"/>
      <c r="BT683" s="1"/>
    </row>
    <row r="684" spans="1:72" ht="15.75" customHeight="1" x14ac:dyDescent="0.35">
      <c r="A684" s="8"/>
      <c r="B684" s="8"/>
      <c r="C684" s="8"/>
      <c r="D684" s="8"/>
      <c r="E684" s="8"/>
      <c r="F684" s="8"/>
      <c r="G684" s="26"/>
      <c r="H684" s="26"/>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1"/>
      <c r="BT684" s="1"/>
    </row>
    <row r="685" spans="1:72" ht="15.75" customHeight="1" x14ac:dyDescent="0.35">
      <c r="A685" s="8"/>
      <c r="B685" s="8"/>
      <c r="C685" s="8"/>
      <c r="D685" s="8"/>
      <c r="E685" s="8"/>
      <c r="F685" s="8"/>
      <c r="G685" s="26"/>
      <c r="H685" s="26"/>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1"/>
      <c r="BT685" s="1"/>
    </row>
    <row r="686" spans="1:72" ht="15.75" customHeight="1" x14ac:dyDescent="0.35">
      <c r="A686" s="8"/>
      <c r="B686" s="8"/>
      <c r="C686" s="8"/>
      <c r="D686" s="8"/>
      <c r="E686" s="8"/>
      <c r="F686" s="8"/>
      <c r="G686" s="26"/>
      <c r="H686" s="26"/>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1"/>
      <c r="BT686" s="1"/>
    </row>
    <row r="687" spans="1:72" ht="15.75" customHeight="1" x14ac:dyDescent="0.35">
      <c r="A687" s="8"/>
      <c r="B687" s="8"/>
      <c r="C687" s="8"/>
      <c r="D687" s="8"/>
      <c r="E687" s="8"/>
      <c r="F687" s="8"/>
      <c r="G687" s="26"/>
      <c r="H687" s="26"/>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1"/>
      <c r="BT687" s="1"/>
    </row>
    <row r="688" spans="1:72" ht="15.75" customHeight="1" x14ac:dyDescent="0.35">
      <c r="A688" s="8"/>
      <c r="B688" s="8"/>
      <c r="C688" s="8"/>
      <c r="D688" s="8"/>
      <c r="E688" s="8"/>
      <c r="F688" s="8"/>
      <c r="G688" s="26"/>
      <c r="H688" s="26"/>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1"/>
      <c r="BT688" s="1"/>
    </row>
    <row r="689" spans="1:72" ht="15.75" customHeight="1" x14ac:dyDescent="0.35">
      <c r="A689" s="8"/>
      <c r="B689" s="8"/>
      <c r="C689" s="8"/>
      <c r="D689" s="8"/>
      <c r="E689" s="8"/>
      <c r="F689" s="8"/>
      <c r="G689" s="26"/>
      <c r="H689" s="26"/>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1"/>
      <c r="BT689" s="1"/>
    </row>
    <row r="690" spans="1:72" ht="15.75" customHeight="1" x14ac:dyDescent="0.35">
      <c r="A690" s="8"/>
      <c r="B690" s="8"/>
      <c r="C690" s="8"/>
      <c r="D690" s="8"/>
      <c r="E690" s="8"/>
      <c r="F690" s="8"/>
      <c r="G690" s="26"/>
      <c r="H690" s="26"/>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1"/>
      <c r="BT690" s="1"/>
    </row>
    <row r="691" spans="1:72" ht="15.75" customHeight="1" x14ac:dyDescent="0.35">
      <c r="A691" s="8"/>
      <c r="B691" s="8"/>
      <c r="C691" s="8"/>
      <c r="D691" s="8"/>
      <c r="E691" s="8"/>
      <c r="F691" s="8"/>
      <c r="G691" s="26"/>
      <c r="H691" s="26"/>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1"/>
      <c r="BT691" s="1"/>
    </row>
    <row r="692" spans="1:72" ht="15.75" customHeight="1" x14ac:dyDescent="0.35">
      <c r="A692" s="8"/>
      <c r="B692" s="8"/>
      <c r="C692" s="8"/>
      <c r="D692" s="8"/>
      <c r="E692" s="8"/>
      <c r="F692" s="8"/>
      <c r="G692" s="26"/>
      <c r="H692" s="26"/>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1"/>
      <c r="BT692" s="1"/>
    </row>
    <row r="693" spans="1:72" ht="15.75" customHeight="1" x14ac:dyDescent="0.35">
      <c r="A693" s="8"/>
      <c r="B693" s="8"/>
      <c r="C693" s="8"/>
      <c r="D693" s="8"/>
      <c r="E693" s="8"/>
      <c r="F693" s="8"/>
      <c r="G693" s="26"/>
      <c r="H693" s="26"/>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1"/>
      <c r="BT693" s="1"/>
    </row>
    <row r="694" spans="1:72" ht="15.75" customHeight="1" x14ac:dyDescent="0.35">
      <c r="A694" s="8"/>
      <c r="B694" s="8"/>
      <c r="C694" s="8"/>
      <c r="D694" s="8"/>
      <c r="E694" s="8"/>
      <c r="F694" s="8"/>
      <c r="G694" s="26"/>
      <c r="H694" s="26"/>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1"/>
      <c r="BT694" s="1"/>
    </row>
    <row r="695" spans="1:72" ht="15.75" customHeight="1" x14ac:dyDescent="0.35">
      <c r="A695" s="8"/>
      <c r="B695" s="8"/>
      <c r="C695" s="8"/>
      <c r="D695" s="8"/>
      <c r="E695" s="8"/>
      <c r="F695" s="8"/>
      <c r="G695" s="26"/>
      <c r="H695" s="26"/>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1"/>
      <c r="BT695" s="1"/>
    </row>
    <row r="696" spans="1:72" ht="15.75" customHeight="1" x14ac:dyDescent="0.35">
      <c r="A696" s="8"/>
      <c r="B696" s="8"/>
      <c r="C696" s="8"/>
      <c r="D696" s="8"/>
      <c r="E696" s="8"/>
      <c r="F696" s="8"/>
      <c r="G696" s="26"/>
      <c r="H696" s="26"/>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1"/>
      <c r="BT696" s="1"/>
    </row>
    <row r="697" spans="1:72" ht="15.75" customHeight="1" x14ac:dyDescent="0.35">
      <c r="A697" s="8"/>
      <c r="B697" s="8"/>
      <c r="C697" s="8"/>
      <c r="D697" s="8"/>
      <c r="E697" s="8"/>
      <c r="F697" s="8"/>
      <c r="G697" s="26"/>
      <c r="H697" s="26"/>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1"/>
      <c r="BT697" s="1"/>
    </row>
    <row r="698" spans="1:72" ht="15.75" customHeight="1" x14ac:dyDescent="0.35">
      <c r="A698" s="8"/>
      <c r="B698" s="8"/>
      <c r="C698" s="8"/>
      <c r="D698" s="8"/>
      <c r="E698" s="8"/>
      <c r="F698" s="8"/>
      <c r="G698" s="26"/>
      <c r="H698" s="26"/>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1"/>
      <c r="BT698" s="1"/>
    </row>
    <row r="699" spans="1:72" ht="15.75" customHeight="1" x14ac:dyDescent="0.35">
      <c r="A699" s="8"/>
      <c r="B699" s="8"/>
      <c r="C699" s="8"/>
      <c r="D699" s="8"/>
      <c r="E699" s="8"/>
      <c r="F699" s="8"/>
      <c r="G699" s="26"/>
      <c r="H699" s="26"/>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1"/>
      <c r="BT699" s="1"/>
    </row>
    <row r="700" spans="1:72" ht="15.75" customHeight="1" x14ac:dyDescent="0.35">
      <c r="A700" s="8"/>
      <c r="B700" s="8"/>
      <c r="C700" s="8"/>
      <c r="D700" s="8"/>
      <c r="E700" s="8"/>
      <c r="F700" s="8"/>
      <c r="G700" s="26"/>
      <c r="H700" s="26"/>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1"/>
      <c r="BT700" s="1"/>
    </row>
    <row r="701" spans="1:72" ht="15.75" customHeight="1" x14ac:dyDescent="0.35">
      <c r="A701" s="8"/>
      <c r="B701" s="8"/>
      <c r="C701" s="8"/>
      <c r="D701" s="8"/>
      <c r="E701" s="8"/>
      <c r="F701" s="8"/>
      <c r="G701" s="26"/>
      <c r="H701" s="26"/>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1"/>
      <c r="BT701" s="1"/>
    </row>
    <row r="702" spans="1:72" ht="15.75" customHeight="1" x14ac:dyDescent="0.35">
      <c r="A702" s="8"/>
      <c r="B702" s="8"/>
      <c r="C702" s="8"/>
      <c r="D702" s="8"/>
      <c r="E702" s="8"/>
      <c r="F702" s="8"/>
      <c r="G702" s="26"/>
      <c r="H702" s="26"/>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1"/>
      <c r="BT702" s="1"/>
    </row>
    <row r="703" spans="1:72" ht="15.75" customHeight="1" x14ac:dyDescent="0.35">
      <c r="A703" s="8"/>
      <c r="B703" s="8"/>
      <c r="C703" s="8"/>
      <c r="D703" s="8"/>
      <c r="E703" s="8"/>
      <c r="F703" s="8"/>
      <c r="G703" s="26"/>
      <c r="H703" s="26"/>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1"/>
      <c r="BT703" s="1"/>
    </row>
    <row r="704" spans="1:72" ht="15.75" customHeight="1" x14ac:dyDescent="0.35">
      <c r="A704" s="8"/>
      <c r="B704" s="8"/>
      <c r="C704" s="8"/>
      <c r="D704" s="8"/>
      <c r="E704" s="8"/>
      <c r="F704" s="8"/>
      <c r="G704" s="26"/>
      <c r="H704" s="26"/>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1"/>
      <c r="BT704" s="1"/>
    </row>
    <row r="705" spans="1:72" ht="15.75" customHeight="1" x14ac:dyDescent="0.35">
      <c r="A705" s="8"/>
      <c r="B705" s="8"/>
      <c r="C705" s="8"/>
      <c r="D705" s="8"/>
      <c r="E705" s="8"/>
      <c r="F705" s="8"/>
      <c r="G705" s="26"/>
      <c r="H705" s="26"/>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1"/>
      <c r="BT705" s="1"/>
    </row>
    <row r="706" spans="1:72" ht="15.75" customHeight="1" x14ac:dyDescent="0.35">
      <c r="A706" s="8"/>
      <c r="B706" s="8"/>
      <c r="C706" s="8"/>
      <c r="D706" s="8"/>
      <c r="E706" s="8"/>
      <c r="F706" s="8"/>
      <c r="G706" s="26"/>
      <c r="H706" s="26"/>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1"/>
      <c r="BT706" s="1"/>
    </row>
    <row r="707" spans="1:72" ht="15.75" customHeight="1" x14ac:dyDescent="0.35">
      <c r="A707" s="8"/>
      <c r="B707" s="8"/>
      <c r="C707" s="8"/>
      <c r="D707" s="8"/>
      <c r="E707" s="8"/>
      <c r="F707" s="8"/>
      <c r="G707" s="26"/>
      <c r="H707" s="26"/>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1"/>
      <c r="BT707" s="1"/>
    </row>
    <row r="708" spans="1:72" ht="15.75" customHeight="1" x14ac:dyDescent="0.35">
      <c r="A708" s="8"/>
      <c r="B708" s="8"/>
      <c r="C708" s="8"/>
      <c r="D708" s="8"/>
      <c r="E708" s="8"/>
      <c r="F708" s="8"/>
      <c r="G708" s="26"/>
      <c r="H708" s="26"/>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1"/>
      <c r="BT708" s="1"/>
    </row>
    <row r="709" spans="1:72" ht="15.75" customHeight="1" x14ac:dyDescent="0.35">
      <c r="A709" s="8"/>
      <c r="B709" s="8"/>
      <c r="C709" s="8"/>
      <c r="D709" s="8"/>
      <c r="E709" s="8"/>
      <c r="F709" s="8"/>
      <c r="G709" s="26"/>
      <c r="H709" s="26"/>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1"/>
      <c r="BT709" s="1"/>
    </row>
    <row r="710" spans="1:72" ht="15.75" customHeight="1" x14ac:dyDescent="0.35">
      <c r="A710" s="8"/>
      <c r="B710" s="8"/>
      <c r="C710" s="8"/>
      <c r="D710" s="8"/>
      <c r="E710" s="8"/>
      <c r="F710" s="8"/>
      <c r="G710" s="26"/>
      <c r="H710" s="26"/>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1"/>
      <c r="BT710" s="1"/>
    </row>
    <row r="711" spans="1:72" ht="15.75" customHeight="1" x14ac:dyDescent="0.35">
      <c r="A711" s="8"/>
      <c r="B711" s="8"/>
      <c r="C711" s="8"/>
      <c r="D711" s="8"/>
      <c r="E711" s="8"/>
      <c r="F711" s="8"/>
      <c r="G711" s="26"/>
      <c r="H711" s="26"/>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1"/>
      <c r="BT711" s="1"/>
    </row>
    <row r="712" spans="1:72" ht="15.75" customHeight="1" x14ac:dyDescent="0.35">
      <c r="A712" s="8"/>
      <c r="B712" s="8"/>
      <c r="C712" s="8"/>
      <c r="D712" s="8"/>
      <c r="E712" s="8"/>
      <c r="F712" s="8"/>
      <c r="G712" s="26"/>
      <c r="H712" s="26"/>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1"/>
      <c r="BT712" s="1"/>
    </row>
    <row r="713" spans="1:72" ht="15.75" customHeight="1" x14ac:dyDescent="0.35">
      <c r="A713" s="8"/>
      <c r="B713" s="8"/>
      <c r="C713" s="8"/>
      <c r="D713" s="8"/>
      <c r="E713" s="8"/>
      <c r="F713" s="8"/>
      <c r="G713" s="26"/>
      <c r="H713" s="26"/>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1"/>
      <c r="BT713" s="1"/>
    </row>
    <row r="714" spans="1:72" ht="15.75" customHeight="1" x14ac:dyDescent="0.35">
      <c r="A714" s="8"/>
      <c r="B714" s="8"/>
      <c r="C714" s="8"/>
      <c r="D714" s="8"/>
      <c r="E714" s="8"/>
      <c r="F714" s="8"/>
      <c r="G714" s="26"/>
      <c r="H714" s="26"/>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1"/>
      <c r="BT714" s="1"/>
    </row>
    <row r="715" spans="1:72" ht="15.75" customHeight="1" x14ac:dyDescent="0.35">
      <c r="A715" s="8"/>
      <c r="B715" s="8"/>
      <c r="C715" s="8"/>
      <c r="D715" s="8"/>
      <c r="E715" s="8"/>
      <c r="F715" s="8"/>
      <c r="G715" s="26"/>
      <c r="H715" s="26"/>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1"/>
      <c r="BT715" s="1"/>
    </row>
    <row r="716" spans="1:72" ht="15.75" customHeight="1" x14ac:dyDescent="0.35">
      <c r="A716" s="8"/>
      <c r="B716" s="8"/>
      <c r="C716" s="8"/>
      <c r="D716" s="8"/>
      <c r="E716" s="8"/>
      <c r="F716" s="8"/>
      <c r="G716" s="26"/>
      <c r="H716" s="26"/>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1"/>
      <c r="BT716" s="1"/>
    </row>
    <row r="717" spans="1:72" ht="15.75" customHeight="1" x14ac:dyDescent="0.35">
      <c r="A717" s="8"/>
      <c r="B717" s="8"/>
      <c r="C717" s="8"/>
      <c r="D717" s="8"/>
      <c r="E717" s="8"/>
      <c r="F717" s="8"/>
      <c r="G717" s="26"/>
      <c r="H717" s="26"/>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1"/>
      <c r="BT717" s="1"/>
    </row>
    <row r="718" spans="1:72" ht="15.75" customHeight="1" x14ac:dyDescent="0.35">
      <c r="A718" s="8"/>
      <c r="B718" s="8"/>
      <c r="C718" s="8"/>
      <c r="D718" s="8"/>
      <c r="E718" s="8"/>
      <c r="F718" s="8"/>
      <c r="G718" s="26"/>
      <c r="H718" s="26"/>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1"/>
      <c r="BT718" s="1"/>
    </row>
    <row r="719" spans="1:72" ht="15.75" customHeight="1" x14ac:dyDescent="0.35">
      <c r="A719" s="8"/>
      <c r="B719" s="8"/>
      <c r="C719" s="8"/>
      <c r="D719" s="8"/>
      <c r="E719" s="8"/>
      <c r="F719" s="8"/>
      <c r="G719" s="26"/>
      <c r="H719" s="26"/>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1"/>
      <c r="BT719" s="1"/>
    </row>
    <row r="720" spans="1:72" ht="15.75" customHeight="1" x14ac:dyDescent="0.35">
      <c r="A720" s="8"/>
      <c r="B720" s="8"/>
      <c r="C720" s="8"/>
      <c r="D720" s="8"/>
      <c r="E720" s="8"/>
      <c r="F720" s="8"/>
      <c r="G720" s="26"/>
      <c r="H720" s="26"/>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1"/>
      <c r="BT720" s="1"/>
    </row>
    <row r="721" spans="1:72" ht="15.75" customHeight="1" x14ac:dyDescent="0.35">
      <c r="A721" s="8"/>
      <c r="B721" s="8"/>
      <c r="C721" s="8"/>
      <c r="D721" s="8"/>
      <c r="E721" s="8"/>
      <c r="F721" s="8"/>
      <c r="G721" s="26"/>
      <c r="H721" s="26"/>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1"/>
      <c r="BT721" s="1"/>
    </row>
    <row r="722" spans="1:72" ht="15.75" customHeight="1" x14ac:dyDescent="0.35">
      <c r="A722" s="8"/>
      <c r="B722" s="8"/>
      <c r="C722" s="8"/>
      <c r="D722" s="8"/>
      <c r="E722" s="8"/>
      <c r="F722" s="8"/>
      <c r="G722" s="26"/>
      <c r="H722" s="26"/>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1"/>
      <c r="BT722" s="1"/>
    </row>
    <row r="723" spans="1:72" ht="15.75" customHeight="1" x14ac:dyDescent="0.35">
      <c r="A723" s="8"/>
      <c r="B723" s="8"/>
      <c r="C723" s="8"/>
      <c r="D723" s="8"/>
      <c r="E723" s="8"/>
      <c r="F723" s="8"/>
      <c r="G723" s="26"/>
      <c r="H723" s="26"/>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1"/>
      <c r="BT723" s="1"/>
    </row>
    <row r="724" spans="1:72" ht="15.75" customHeight="1" x14ac:dyDescent="0.35">
      <c r="A724" s="8"/>
      <c r="B724" s="8"/>
      <c r="C724" s="8"/>
      <c r="D724" s="8"/>
      <c r="E724" s="8"/>
      <c r="F724" s="8"/>
      <c r="G724" s="26"/>
      <c r="H724" s="26"/>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1"/>
      <c r="BT724" s="1"/>
    </row>
    <row r="725" spans="1:72" ht="15.75" customHeight="1" x14ac:dyDescent="0.35">
      <c r="A725" s="8"/>
      <c r="B725" s="8"/>
      <c r="C725" s="8"/>
      <c r="D725" s="8"/>
      <c r="E725" s="8"/>
      <c r="F725" s="8"/>
      <c r="G725" s="26"/>
      <c r="H725" s="26"/>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1"/>
      <c r="BT725" s="1"/>
    </row>
    <row r="726" spans="1:72" ht="15.75" customHeight="1" x14ac:dyDescent="0.35">
      <c r="A726" s="8"/>
      <c r="B726" s="8"/>
      <c r="C726" s="8"/>
      <c r="D726" s="8"/>
      <c r="E726" s="8"/>
      <c r="F726" s="8"/>
      <c r="G726" s="26"/>
      <c r="H726" s="26"/>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1"/>
      <c r="BT726" s="1"/>
    </row>
    <row r="727" spans="1:72" ht="15.75" customHeight="1" x14ac:dyDescent="0.35">
      <c r="A727" s="8"/>
      <c r="B727" s="8"/>
      <c r="C727" s="8"/>
      <c r="D727" s="8"/>
      <c r="E727" s="8"/>
      <c r="F727" s="8"/>
      <c r="G727" s="26"/>
      <c r="H727" s="26"/>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1"/>
      <c r="BT727" s="1"/>
    </row>
    <row r="728" spans="1:72" ht="15.75" customHeight="1" x14ac:dyDescent="0.35">
      <c r="A728" s="8"/>
      <c r="B728" s="8"/>
      <c r="C728" s="8"/>
      <c r="D728" s="8"/>
      <c r="E728" s="8"/>
      <c r="F728" s="8"/>
      <c r="G728" s="26"/>
      <c r="H728" s="26"/>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1"/>
      <c r="BT728" s="1"/>
    </row>
    <row r="729" spans="1:72" ht="15.75" customHeight="1" x14ac:dyDescent="0.35">
      <c r="A729" s="8"/>
      <c r="B729" s="8"/>
      <c r="C729" s="8"/>
      <c r="D729" s="8"/>
      <c r="E729" s="8"/>
      <c r="F729" s="8"/>
      <c r="G729" s="26"/>
      <c r="H729" s="26"/>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1"/>
      <c r="BT729" s="1"/>
    </row>
    <row r="730" spans="1:72" ht="15.75" customHeight="1" x14ac:dyDescent="0.35">
      <c r="A730" s="8"/>
      <c r="B730" s="8"/>
      <c r="C730" s="8"/>
      <c r="D730" s="8"/>
      <c r="E730" s="8"/>
      <c r="F730" s="8"/>
      <c r="G730" s="26"/>
      <c r="H730" s="26"/>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1"/>
      <c r="BT730" s="1"/>
    </row>
    <row r="731" spans="1:72" ht="15.75" customHeight="1" x14ac:dyDescent="0.35">
      <c r="A731" s="8"/>
      <c r="B731" s="8"/>
      <c r="C731" s="8"/>
      <c r="D731" s="8"/>
      <c r="E731" s="8"/>
      <c r="F731" s="8"/>
      <c r="G731" s="26"/>
      <c r="H731" s="26"/>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1"/>
      <c r="BT731" s="1"/>
    </row>
    <row r="732" spans="1:72" ht="15.75" customHeight="1" x14ac:dyDescent="0.35">
      <c r="A732" s="8"/>
      <c r="B732" s="8"/>
      <c r="C732" s="8"/>
      <c r="D732" s="8"/>
      <c r="E732" s="8"/>
      <c r="F732" s="8"/>
      <c r="G732" s="26"/>
      <c r="H732" s="26"/>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1"/>
      <c r="BT732" s="1"/>
    </row>
    <row r="733" spans="1:72" ht="15.75" customHeight="1" x14ac:dyDescent="0.35">
      <c r="A733" s="8"/>
      <c r="B733" s="8"/>
      <c r="C733" s="8"/>
      <c r="D733" s="8"/>
      <c r="E733" s="8"/>
      <c r="F733" s="8"/>
      <c r="G733" s="26"/>
      <c r="H733" s="26"/>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1"/>
      <c r="BT733" s="1"/>
    </row>
    <row r="734" spans="1:72" ht="15.75" customHeight="1" x14ac:dyDescent="0.35">
      <c r="A734" s="8"/>
      <c r="B734" s="8"/>
      <c r="C734" s="8"/>
      <c r="D734" s="8"/>
      <c r="E734" s="8"/>
      <c r="F734" s="8"/>
      <c r="G734" s="26"/>
      <c r="H734" s="26"/>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1"/>
      <c r="BT734" s="1"/>
    </row>
    <row r="735" spans="1:72" ht="15.75" customHeight="1" x14ac:dyDescent="0.35">
      <c r="A735" s="8"/>
      <c r="B735" s="8"/>
      <c r="C735" s="8"/>
      <c r="D735" s="8"/>
      <c r="E735" s="8"/>
      <c r="F735" s="8"/>
      <c r="G735" s="26"/>
      <c r="H735" s="26"/>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1"/>
      <c r="BT735" s="1"/>
    </row>
    <row r="736" spans="1:72" ht="15.75" customHeight="1" x14ac:dyDescent="0.35">
      <c r="A736" s="8"/>
      <c r="B736" s="8"/>
      <c r="C736" s="8"/>
      <c r="D736" s="8"/>
      <c r="E736" s="8"/>
      <c r="F736" s="8"/>
      <c r="G736" s="26"/>
      <c r="H736" s="26"/>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8"/>
      <c r="BR736" s="8"/>
      <c r="BS736" s="1"/>
      <c r="BT736" s="1"/>
    </row>
    <row r="737" spans="1:72" ht="15.75" customHeight="1" x14ac:dyDescent="0.35">
      <c r="A737" s="8"/>
      <c r="B737" s="8"/>
      <c r="C737" s="8"/>
      <c r="D737" s="8"/>
      <c r="E737" s="8"/>
      <c r="F737" s="8"/>
      <c r="G737" s="26"/>
      <c r="H737" s="26"/>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c r="BR737" s="8"/>
      <c r="BS737" s="1"/>
      <c r="BT737" s="1"/>
    </row>
    <row r="738" spans="1:72" ht="15.75" customHeight="1" x14ac:dyDescent="0.35">
      <c r="A738" s="8"/>
      <c r="B738" s="8"/>
      <c r="C738" s="8"/>
      <c r="D738" s="8"/>
      <c r="E738" s="8"/>
      <c r="F738" s="8"/>
      <c r="G738" s="26"/>
      <c r="H738" s="26"/>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8"/>
      <c r="BR738" s="8"/>
      <c r="BS738" s="1"/>
      <c r="BT738" s="1"/>
    </row>
    <row r="739" spans="1:72" ht="15.75" customHeight="1" x14ac:dyDescent="0.35">
      <c r="A739" s="8"/>
      <c r="B739" s="8"/>
      <c r="C739" s="8"/>
      <c r="D739" s="8"/>
      <c r="E739" s="8"/>
      <c r="F739" s="8"/>
      <c r="G739" s="26"/>
      <c r="H739" s="26"/>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c r="BR739" s="8"/>
      <c r="BS739" s="1"/>
      <c r="BT739" s="1"/>
    </row>
    <row r="740" spans="1:72" ht="15.75" customHeight="1" x14ac:dyDescent="0.35">
      <c r="A740" s="8"/>
      <c r="B740" s="8"/>
      <c r="C740" s="8"/>
      <c r="D740" s="8"/>
      <c r="E740" s="8"/>
      <c r="F740" s="8"/>
      <c r="G740" s="26"/>
      <c r="H740" s="26"/>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c r="BR740" s="8"/>
      <c r="BS740" s="1"/>
      <c r="BT740" s="1"/>
    </row>
    <row r="741" spans="1:72" ht="15.75" customHeight="1" x14ac:dyDescent="0.35">
      <c r="A741" s="8"/>
      <c r="B741" s="8"/>
      <c r="C741" s="8"/>
      <c r="D741" s="8"/>
      <c r="E741" s="8"/>
      <c r="F741" s="8"/>
      <c r="G741" s="26"/>
      <c r="H741" s="26"/>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c r="BR741" s="8"/>
      <c r="BS741" s="1"/>
      <c r="BT741" s="1"/>
    </row>
    <row r="742" spans="1:72" ht="15.75" customHeight="1" x14ac:dyDescent="0.35">
      <c r="A742" s="8"/>
      <c r="B742" s="8"/>
      <c r="C742" s="8"/>
      <c r="D742" s="8"/>
      <c r="E742" s="8"/>
      <c r="F742" s="8"/>
      <c r="G742" s="26"/>
      <c r="H742" s="26"/>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c r="BR742" s="8"/>
      <c r="BS742" s="1"/>
      <c r="BT742" s="1"/>
    </row>
    <row r="743" spans="1:72" ht="15.75" customHeight="1" x14ac:dyDescent="0.35">
      <c r="A743" s="8"/>
      <c r="B743" s="8"/>
      <c r="C743" s="8"/>
      <c r="D743" s="8"/>
      <c r="E743" s="8"/>
      <c r="F743" s="8"/>
      <c r="G743" s="26"/>
      <c r="H743" s="26"/>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c r="BR743" s="8"/>
      <c r="BS743" s="1"/>
      <c r="BT743" s="1"/>
    </row>
    <row r="744" spans="1:72" ht="15.75" customHeight="1" x14ac:dyDescent="0.35">
      <c r="A744" s="8"/>
      <c r="B744" s="8"/>
      <c r="C744" s="8"/>
      <c r="D744" s="8"/>
      <c r="E744" s="8"/>
      <c r="F744" s="8"/>
      <c r="G744" s="26"/>
      <c r="H744" s="26"/>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8"/>
      <c r="BR744" s="8"/>
      <c r="BS744" s="1"/>
      <c r="BT744" s="1"/>
    </row>
    <row r="745" spans="1:72" ht="15.75" customHeight="1" x14ac:dyDescent="0.35">
      <c r="A745" s="8"/>
      <c r="B745" s="8"/>
      <c r="C745" s="8"/>
      <c r="D745" s="8"/>
      <c r="E745" s="8"/>
      <c r="F745" s="8"/>
      <c r="G745" s="26"/>
      <c r="H745" s="26"/>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c r="BR745" s="8"/>
      <c r="BS745" s="1"/>
      <c r="BT745" s="1"/>
    </row>
    <row r="746" spans="1:72" ht="15.75" customHeight="1" x14ac:dyDescent="0.35">
      <c r="A746" s="8"/>
      <c r="B746" s="8"/>
      <c r="C746" s="8"/>
      <c r="D746" s="8"/>
      <c r="E746" s="8"/>
      <c r="F746" s="8"/>
      <c r="G746" s="26"/>
      <c r="H746" s="26"/>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8"/>
      <c r="BR746" s="8"/>
      <c r="BS746" s="1"/>
      <c r="BT746" s="1"/>
    </row>
    <row r="747" spans="1:72" ht="15.75" customHeight="1" x14ac:dyDescent="0.35">
      <c r="A747" s="8"/>
      <c r="B747" s="8"/>
      <c r="C747" s="8"/>
      <c r="D747" s="8"/>
      <c r="E747" s="8"/>
      <c r="F747" s="8"/>
      <c r="G747" s="26"/>
      <c r="H747" s="26"/>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c r="BQ747" s="8"/>
      <c r="BR747" s="8"/>
      <c r="BS747" s="1"/>
      <c r="BT747" s="1"/>
    </row>
    <row r="748" spans="1:72" ht="15.75" customHeight="1" x14ac:dyDescent="0.35">
      <c r="A748" s="8"/>
      <c r="B748" s="8"/>
      <c r="C748" s="8"/>
      <c r="D748" s="8"/>
      <c r="E748" s="8"/>
      <c r="F748" s="8"/>
      <c r="G748" s="26"/>
      <c r="H748" s="26"/>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8"/>
      <c r="BR748" s="8"/>
      <c r="BS748" s="1"/>
      <c r="BT748" s="1"/>
    </row>
    <row r="749" spans="1:72" ht="15.75" customHeight="1" x14ac:dyDescent="0.35">
      <c r="A749" s="8"/>
      <c r="B749" s="8"/>
      <c r="C749" s="8"/>
      <c r="D749" s="8"/>
      <c r="E749" s="8"/>
      <c r="F749" s="8"/>
      <c r="G749" s="26"/>
      <c r="H749" s="26"/>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c r="BQ749" s="8"/>
      <c r="BR749" s="8"/>
      <c r="BS749" s="1"/>
      <c r="BT749" s="1"/>
    </row>
    <row r="750" spans="1:72" ht="15.75" customHeight="1" x14ac:dyDescent="0.35">
      <c r="A750" s="8"/>
      <c r="B750" s="8"/>
      <c r="C750" s="8"/>
      <c r="D750" s="8"/>
      <c r="E750" s="8"/>
      <c r="F750" s="8"/>
      <c r="G750" s="26"/>
      <c r="H750" s="26"/>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8"/>
      <c r="BR750" s="8"/>
      <c r="BS750" s="1"/>
      <c r="BT750" s="1"/>
    </row>
    <row r="751" spans="1:72" ht="15.75" customHeight="1" x14ac:dyDescent="0.35">
      <c r="A751" s="8"/>
      <c r="B751" s="8"/>
      <c r="C751" s="8"/>
      <c r="D751" s="8"/>
      <c r="E751" s="8"/>
      <c r="F751" s="8"/>
      <c r="G751" s="26"/>
      <c r="H751" s="26"/>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c r="BR751" s="8"/>
      <c r="BS751" s="1"/>
      <c r="BT751" s="1"/>
    </row>
    <row r="752" spans="1:72" ht="15.75" customHeight="1" x14ac:dyDescent="0.35">
      <c r="A752" s="8"/>
      <c r="B752" s="8"/>
      <c r="C752" s="8"/>
      <c r="D752" s="8"/>
      <c r="E752" s="8"/>
      <c r="F752" s="8"/>
      <c r="G752" s="26"/>
      <c r="H752" s="26"/>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8"/>
      <c r="BR752" s="8"/>
      <c r="BS752" s="1"/>
      <c r="BT752" s="1"/>
    </row>
    <row r="753" spans="1:72" ht="15.75" customHeight="1" x14ac:dyDescent="0.35">
      <c r="A753" s="8"/>
      <c r="B753" s="8"/>
      <c r="C753" s="8"/>
      <c r="D753" s="8"/>
      <c r="E753" s="8"/>
      <c r="F753" s="8"/>
      <c r="G753" s="26"/>
      <c r="H753" s="26"/>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c r="BQ753" s="8"/>
      <c r="BR753" s="8"/>
      <c r="BS753" s="1"/>
      <c r="BT753" s="1"/>
    </row>
    <row r="754" spans="1:72" ht="15.75" customHeight="1" x14ac:dyDescent="0.35">
      <c r="A754" s="8"/>
      <c r="B754" s="8"/>
      <c r="C754" s="8"/>
      <c r="D754" s="8"/>
      <c r="E754" s="8"/>
      <c r="F754" s="8"/>
      <c r="G754" s="26"/>
      <c r="H754" s="26"/>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c r="BQ754" s="8"/>
      <c r="BR754" s="8"/>
      <c r="BS754" s="1"/>
      <c r="BT754" s="1"/>
    </row>
    <row r="755" spans="1:72" ht="15.75" customHeight="1" x14ac:dyDescent="0.35">
      <c r="A755" s="8"/>
      <c r="B755" s="8"/>
      <c r="C755" s="8"/>
      <c r="D755" s="8"/>
      <c r="E755" s="8"/>
      <c r="F755" s="8"/>
      <c r="G755" s="26"/>
      <c r="H755" s="26"/>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c r="BQ755" s="8"/>
      <c r="BR755" s="8"/>
      <c r="BS755" s="1"/>
      <c r="BT755" s="1"/>
    </row>
    <row r="756" spans="1:72" ht="15.75" customHeight="1" x14ac:dyDescent="0.35">
      <c r="A756" s="8"/>
      <c r="B756" s="8"/>
      <c r="C756" s="8"/>
      <c r="D756" s="8"/>
      <c r="E756" s="8"/>
      <c r="F756" s="8"/>
      <c r="G756" s="26"/>
      <c r="H756" s="26"/>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c r="BQ756" s="8"/>
      <c r="BR756" s="8"/>
      <c r="BS756" s="1"/>
      <c r="BT756" s="1"/>
    </row>
    <row r="757" spans="1:72" ht="15.75" customHeight="1" x14ac:dyDescent="0.35">
      <c r="A757" s="8"/>
      <c r="B757" s="8"/>
      <c r="C757" s="8"/>
      <c r="D757" s="8"/>
      <c r="E757" s="8"/>
      <c r="F757" s="8"/>
      <c r="G757" s="26"/>
      <c r="H757" s="26"/>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c r="BQ757" s="8"/>
      <c r="BR757" s="8"/>
      <c r="BS757" s="1"/>
      <c r="BT757" s="1"/>
    </row>
    <row r="758" spans="1:72" ht="15.75" customHeight="1" x14ac:dyDescent="0.35">
      <c r="A758" s="8"/>
      <c r="B758" s="8"/>
      <c r="C758" s="8"/>
      <c r="D758" s="8"/>
      <c r="E758" s="8"/>
      <c r="F758" s="8"/>
      <c r="G758" s="26"/>
      <c r="H758" s="26"/>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c r="BQ758" s="8"/>
      <c r="BR758" s="8"/>
      <c r="BS758" s="1"/>
      <c r="BT758" s="1"/>
    </row>
    <row r="759" spans="1:72" ht="15.75" customHeight="1" x14ac:dyDescent="0.35">
      <c r="A759" s="8"/>
      <c r="B759" s="8"/>
      <c r="C759" s="8"/>
      <c r="D759" s="8"/>
      <c r="E759" s="8"/>
      <c r="F759" s="8"/>
      <c r="G759" s="26"/>
      <c r="H759" s="26"/>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c r="BQ759" s="8"/>
      <c r="BR759" s="8"/>
      <c r="BS759" s="1"/>
      <c r="BT759" s="1"/>
    </row>
    <row r="760" spans="1:72" ht="15.75" customHeight="1" x14ac:dyDescent="0.35">
      <c r="A760" s="8"/>
      <c r="B760" s="8"/>
      <c r="C760" s="8"/>
      <c r="D760" s="8"/>
      <c r="E760" s="8"/>
      <c r="F760" s="8"/>
      <c r="G760" s="26"/>
      <c r="H760" s="26"/>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c r="BQ760" s="8"/>
      <c r="BR760" s="8"/>
      <c r="BS760" s="1"/>
      <c r="BT760" s="1"/>
    </row>
    <row r="761" spans="1:72" ht="15.75" customHeight="1" x14ac:dyDescent="0.35">
      <c r="A761" s="8"/>
      <c r="B761" s="8"/>
      <c r="C761" s="8"/>
      <c r="D761" s="8"/>
      <c r="E761" s="8"/>
      <c r="F761" s="8"/>
      <c r="G761" s="26"/>
      <c r="H761" s="26"/>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c r="BQ761" s="8"/>
      <c r="BR761" s="8"/>
      <c r="BS761" s="1"/>
      <c r="BT761" s="1"/>
    </row>
    <row r="762" spans="1:72" ht="15.75" customHeight="1" x14ac:dyDescent="0.35">
      <c r="A762" s="8"/>
      <c r="B762" s="8"/>
      <c r="C762" s="8"/>
      <c r="D762" s="8"/>
      <c r="E762" s="8"/>
      <c r="F762" s="8"/>
      <c r="G762" s="26"/>
      <c r="H762" s="26"/>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c r="BQ762" s="8"/>
      <c r="BR762" s="8"/>
      <c r="BS762" s="1"/>
      <c r="BT762" s="1"/>
    </row>
    <row r="763" spans="1:72" ht="15.75" customHeight="1" x14ac:dyDescent="0.35">
      <c r="A763" s="8"/>
      <c r="B763" s="8"/>
      <c r="C763" s="8"/>
      <c r="D763" s="8"/>
      <c r="E763" s="8"/>
      <c r="F763" s="8"/>
      <c r="G763" s="26"/>
      <c r="H763" s="26"/>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c r="BQ763" s="8"/>
      <c r="BR763" s="8"/>
      <c r="BS763" s="1"/>
      <c r="BT763" s="1"/>
    </row>
    <row r="764" spans="1:72" ht="15.75" customHeight="1" x14ac:dyDescent="0.35">
      <c r="A764" s="8"/>
      <c r="B764" s="8"/>
      <c r="C764" s="8"/>
      <c r="D764" s="8"/>
      <c r="E764" s="8"/>
      <c r="F764" s="8"/>
      <c r="G764" s="26"/>
      <c r="H764" s="26"/>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c r="BQ764" s="8"/>
      <c r="BR764" s="8"/>
      <c r="BS764" s="1"/>
      <c r="BT764" s="1"/>
    </row>
    <row r="765" spans="1:72" ht="15.75" customHeight="1" x14ac:dyDescent="0.35">
      <c r="A765" s="8"/>
      <c r="B765" s="8"/>
      <c r="C765" s="8"/>
      <c r="D765" s="8"/>
      <c r="E765" s="8"/>
      <c r="F765" s="8"/>
      <c r="G765" s="26"/>
      <c r="H765" s="26"/>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c r="BQ765" s="8"/>
      <c r="BR765" s="8"/>
      <c r="BS765" s="1"/>
      <c r="BT765" s="1"/>
    </row>
    <row r="766" spans="1:72" ht="15.75" customHeight="1" x14ac:dyDescent="0.35">
      <c r="A766" s="8"/>
      <c r="B766" s="8"/>
      <c r="C766" s="8"/>
      <c r="D766" s="8"/>
      <c r="E766" s="8"/>
      <c r="F766" s="8"/>
      <c r="G766" s="26"/>
      <c r="H766" s="26"/>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c r="BQ766" s="8"/>
      <c r="BR766" s="8"/>
      <c r="BS766" s="1"/>
      <c r="BT766" s="1"/>
    </row>
    <row r="767" spans="1:72" ht="15.75" customHeight="1" x14ac:dyDescent="0.35">
      <c r="A767" s="8"/>
      <c r="B767" s="8"/>
      <c r="C767" s="8"/>
      <c r="D767" s="8"/>
      <c r="E767" s="8"/>
      <c r="F767" s="8"/>
      <c r="G767" s="26"/>
      <c r="H767" s="26"/>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c r="BQ767" s="8"/>
      <c r="BR767" s="8"/>
      <c r="BS767" s="1"/>
      <c r="BT767" s="1"/>
    </row>
    <row r="768" spans="1:72" ht="15.75" customHeight="1" x14ac:dyDescent="0.35">
      <c r="A768" s="8"/>
      <c r="B768" s="8"/>
      <c r="C768" s="8"/>
      <c r="D768" s="8"/>
      <c r="E768" s="8"/>
      <c r="F768" s="8"/>
      <c r="G768" s="26"/>
      <c r="H768" s="26"/>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c r="BQ768" s="8"/>
      <c r="BR768" s="8"/>
      <c r="BS768" s="1"/>
      <c r="BT768" s="1"/>
    </row>
    <row r="769" spans="1:72" ht="15.75" customHeight="1" x14ac:dyDescent="0.35">
      <c r="A769" s="8"/>
      <c r="B769" s="8"/>
      <c r="C769" s="8"/>
      <c r="D769" s="8"/>
      <c r="E769" s="8"/>
      <c r="F769" s="8"/>
      <c r="G769" s="26"/>
      <c r="H769" s="26"/>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c r="BQ769" s="8"/>
      <c r="BR769" s="8"/>
      <c r="BS769" s="1"/>
      <c r="BT769" s="1"/>
    </row>
    <row r="770" spans="1:72" ht="15.75" customHeight="1" x14ac:dyDescent="0.35">
      <c r="A770" s="8"/>
      <c r="B770" s="8"/>
      <c r="C770" s="8"/>
      <c r="D770" s="8"/>
      <c r="E770" s="8"/>
      <c r="F770" s="8"/>
      <c r="G770" s="26"/>
      <c r="H770" s="26"/>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c r="BQ770" s="8"/>
      <c r="BR770" s="8"/>
      <c r="BS770" s="1"/>
      <c r="BT770" s="1"/>
    </row>
    <row r="771" spans="1:72" ht="15.75" customHeight="1" x14ac:dyDescent="0.35">
      <c r="A771" s="8"/>
      <c r="B771" s="8"/>
      <c r="C771" s="8"/>
      <c r="D771" s="8"/>
      <c r="E771" s="8"/>
      <c r="F771" s="8"/>
      <c r="G771" s="26"/>
      <c r="H771" s="26"/>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c r="BQ771" s="8"/>
      <c r="BR771" s="8"/>
      <c r="BS771" s="1"/>
      <c r="BT771" s="1"/>
    </row>
    <row r="772" spans="1:72" ht="15.75" customHeight="1" x14ac:dyDescent="0.35">
      <c r="A772" s="8"/>
      <c r="B772" s="8"/>
      <c r="C772" s="8"/>
      <c r="D772" s="8"/>
      <c r="E772" s="8"/>
      <c r="F772" s="8"/>
      <c r="G772" s="26"/>
      <c r="H772" s="26"/>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c r="BQ772" s="8"/>
      <c r="BR772" s="8"/>
      <c r="BS772" s="1"/>
      <c r="BT772" s="1"/>
    </row>
    <row r="773" spans="1:72" ht="15.75" customHeight="1" x14ac:dyDescent="0.35">
      <c r="A773" s="8"/>
      <c r="B773" s="8"/>
      <c r="C773" s="8"/>
      <c r="D773" s="8"/>
      <c r="E773" s="8"/>
      <c r="F773" s="8"/>
      <c r="G773" s="26"/>
      <c r="H773" s="26"/>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c r="BQ773" s="8"/>
      <c r="BR773" s="8"/>
      <c r="BS773" s="1"/>
      <c r="BT773" s="1"/>
    </row>
    <row r="774" spans="1:72" ht="15.75" customHeight="1" x14ac:dyDescent="0.35">
      <c r="A774" s="8"/>
      <c r="B774" s="8"/>
      <c r="C774" s="8"/>
      <c r="D774" s="8"/>
      <c r="E774" s="8"/>
      <c r="F774" s="8"/>
      <c r="G774" s="26"/>
      <c r="H774" s="26"/>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c r="BQ774" s="8"/>
      <c r="BR774" s="8"/>
      <c r="BS774" s="1"/>
      <c r="BT774" s="1"/>
    </row>
    <row r="775" spans="1:72" ht="15.75" customHeight="1" x14ac:dyDescent="0.35">
      <c r="A775" s="8"/>
      <c r="B775" s="8"/>
      <c r="C775" s="8"/>
      <c r="D775" s="8"/>
      <c r="E775" s="8"/>
      <c r="F775" s="8"/>
      <c r="G775" s="26"/>
      <c r="H775" s="26"/>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c r="BQ775" s="8"/>
      <c r="BR775" s="8"/>
      <c r="BS775" s="1"/>
      <c r="BT775" s="1"/>
    </row>
    <row r="776" spans="1:72" ht="15.75" customHeight="1" x14ac:dyDescent="0.35">
      <c r="A776" s="8"/>
      <c r="B776" s="8"/>
      <c r="C776" s="8"/>
      <c r="D776" s="8"/>
      <c r="E776" s="8"/>
      <c r="F776" s="8"/>
      <c r="G776" s="26"/>
      <c r="H776" s="26"/>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c r="BQ776" s="8"/>
      <c r="BR776" s="8"/>
      <c r="BS776" s="1"/>
      <c r="BT776" s="1"/>
    </row>
    <row r="777" spans="1:72" ht="15.75" customHeight="1" x14ac:dyDescent="0.35">
      <c r="A777" s="8"/>
      <c r="B777" s="8"/>
      <c r="C777" s="8"/>
      <c r="D777" s="8"/>
      <c r="E777" s="8"/>
      <c r="F777" s="8"/>
      <c r="G777" s="26"/>
      <c r="H777" s="26"/>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c r="BQ777" s="8"/>
      <c r="BR777" s="8"/>
      <c r="BS777" s="1"/>
      <c r="BT777" s="1"/>
    </row>
    <row r="778" spans="1:72" ht="15.75" customHeight="1" x14ac:dyDescent="0.35">
      <c r="A778" s="8"/>
      <c r="B778" s="8"/>
      <c r="C778" s="8"/>
      <c r="D778" s="8"/>
      <c r="E778" s="8"/>
      <c r="F778" s="8"/>
      <c r="G778" s="26"/>
      <c r="H778" s="26"/>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c r="BQ778" s="8"/>
      <c r="BR778" s="8"/>
      <c r="BS778" s="1"/>
      <c r="BT778" s="1"/>
    </row>
    <row r="779" spans="1:72" ht="15.75" customHeight="1" x14ac:dyDescent="0.35">
      <c r="A779" s="8"/>
      <c r="B779" s="8"/>
      <c r="C779" s="8"/>
      <c r="D779" s="8"/>
      <c r="E779" s="8"/>
      <c r="F779" s="8"/>
      <c r="G779" s="26"/>
      <c r="H779" s="26"/>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c r="BQ779" s="8"/>
      <c r="BR779" s="8"/>
      <c r="BS779" s="1"/>
      <c r="BT779" s="1"/>
    </row>
    <row r="780" spans="1:72" ht="15.75" customHeight="1" x14ac:dyDescent="0.35">
      <c r="A780" s="8"/>
      <c r="B780" s="8"/>
      <c r="C780" s="8"/>
      <c r="D780" s="8"/>
      <c r="E780" s="8"/>
      <c r="F780" s="8"/>
      <c r="G780" s="26"/>
      <c r="H780" s="26"/>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c r="BQ780" s="8"/>
      <c r="BR780" s="8"/>
      <c r="BS780" s="1"/>
      <c r="BT780" s="1"/>
    </row>
    <row r="781" spans="1:72" ht="15.75" customHeight="1" x14ac:dyDescent="0.35">
      <c r="A781" s="8"/>
      <c r="B781" s="8"/>
      <c r="C781" s="8"/>
      <c r="D781" s="8"/>
      <c r="E781" s="8"/>
      <c r="F781" s="8"/>
      <c r="G781" s="26"/>
      <c r="H781" s="26"/>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c r="BQ781" s="8"/>
      <c r="BR781" s="8"/>
      <c r="BS781" s="1"/>
      <c r="BT781" s="1"/>
    </row>
    <row r="782" spans="1:72" ht="15.75" customHeight="1" x14ac:dyDescent="0.35">
      <c r="A782" s="8"/>
      <c r="B782" s="8"/>
      <c r="C782" s="8"/>
      <c r="D782" s="8"/>
      <c r="E782" s="8"/>
      <c r="F782" s="8"/>
      <c r="G782" s="26"/>
      <c r="H782" s="26"/>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c r="BQ782" s="8"/>
      <c r="BR782" s="8"/>
      <c r="BS782" s="1"/>
      <c r="BT782" s="1"/>
    </row>
    <row r="783" spans="1:72" ht="15.75" customHeight="1" x14ac:dyDescent="0.35">
      <c r="A783" s="8"/>
      <c r="B783" s="8"/>
      <c r="C783" s="8"/>
      <c r="D783" s="8"/>
      <c r="E783" s="8"/>
      <c r="F783" s="8"/>
      <c r="G783" s="26"/>
      <c r="H783" s="26"/>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c r="BQ783" s="8"/>
      <c r="BR783" s="8"/>
      <c r="BS783" s="1"/>
      <c r="BT783" s="1"/>
    </row>
    <row r="784" spans="1:72" ht="15.75" customHeight="1" x14ac:dyDescent="0.35">
      <c r="A784" s="8"/>
      <c r="B784" s="8"/>
      <c r="C784" s="8"/>
      <c r="D784" s="8"/>
      <c r="E784" s="8"/>
      <c r="F784" s="8"/>
      <c r="G784" s="26"/>
      <c r="H784" s="26"/>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c r="BQ784" s="8"/>
      <c r="BR784" s="8"/>
      <c r="BS784" s="1"/>
      <c r="BT784" s="1"/>
    </row>
    <row r="785" spans="1:72" ht="15.75" customHeight="1" x14ac:dyDescent="0.35">
      <c r="A785" s="8"/>
      <c r="B785" s="8"/>
      <c r="C785" s="8"/>
      <c r="D785" s="8"/>
      <c r="E785" s="8"/>
      <c r="F785" s="8"/>
      <c r="G785" s="26"/>
      <c r="H785" s="26"/>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c r="BQ785" s="8"/>
      <c r="BR785" s="8"/>
      <c r="BS785" s="1"/>
      <c r="BT785" s="1"/>
    </row>
    <row r="786" spans="1:72" ht="15.75" customHeight="1" x14ac:dyDescent="0.35">
      <c r="A786" s="8"/>
      <c r="B786" s="8"/>
      <c r="C786" s="8"/>
      <c r="D786" s="8"/>
      <c r="E786" s="8"/>
      <c r="F786" s="8"/>
      <c r="G786" s="26"/>
      <c r="H786" s="26"/>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c r="BQ786" s="8"/>
      <c r="BR786" s="8"/>
      <c r="BS786" s="1"/>
      <c r="BT786" s="1"/>
    </row>
    <row r="787" spans="1:72" ht="15.75" customHeight="1" x14ac:dyDescent="0.35">
      <c r="A787" s="8"/>
      <c r="B787" s="8"/>
      <c r="C787" s="8"/>
      <c r="D787" s="8"/>
      <c r="E787" s="8"/>
      <c r="F787" s="8"/>
      <c r="G787" s="26"/>
      <c r="H787" s="26"/>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c r="BQ787" s="8"/>
      <c r="BR787" s="8"/>
      <c r="BS787" s="1"/>
      <c r="BT787" s="1"/>
    </row>
    <row r="788" spans="1:72" ht="15.75" customHeight="1" x14ac:dyDescent="0.35">
      <c r="A788" s="8"/>
      <c r="B788" s="8"/>
      <c r="C788" s="8"/>
      <c r="D788" s="8"/>
      <c r="E788" s="8"/>
      <c r="F788" s="8"/>
      <c r="G788" s="26"/>
      <c r="H788" s="26"/>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c r="BQ788" s="8"/>
      <c r="BR788" s="8"/>
      <c r="BS788" s="1"/>
      <c r="BT788" s="1"/>
    </row>
    <row r="789" spans="1:72" ht="15.75" customHeight="1" x14ac:dyDescent="0.35">
      <c r="A789" s="8"/>
      <c r="B789" s="8"/>
      <c r="C789" s="8"/>
      <c r="D789" s="8"/>
      <c r="E789" s="8"/>
      <c r="F789" s="8"/>
      <c r="G789" s="26"/>
      <c r="H789" s="26"/>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c r="BQ789" s="8"/>
      <c r="BR789" s="8"/>
      <c r="BS789" s="1"/>
      <c r="BT789" s="1"/>
    </row>
    <row r="790" spans="1:72" ht="15.75" customHeight="1" x14ac:dyDescent="0.35">
      <c r="A790" s="8"/>
      <c r="B790" s="8"/>
      <c r="C790" s="8"/>
      <c r="D790" s="8"/>
      <c r="E790" s="8"/>
      <c r="F790" s="8"/>
      <c r="G790" s="26"/>
      <c r="H790" s="26"/>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c r="BQ790" s="8"/>
      <c r="BR790" s="8"/>
      <c r="BS790" s="1"/>
      <c r="BT790" s="1"/>
    </row>
    <row r="791" spans="1:72" ht="15.75" customHeight="1" x14ac:dyDescent="0.35">
      <c r="A791" s="8"/>
      <c r="B791" s="8"/>
      <c r="C791" s="8"/>
      <c r="D791" s="8"/>
      <c r="E791" s="8"/>
      <c r="F791" s="8"/>
      <c r="G791" s="26"/>
      <c r="H791" s="26"/>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c r="BQ791" s="8"/>
      <c r="BR791" s="8"/>
      <c r="BS791" s="1"/>
      <c r="BT791" s="1"/>
    </row>
    <row r="792" spans="1:72" ht="15.75" customHeight="1" x14ac:dyDescent="0.35">
      <c r="A792" s="8"/>
      <c r="B792" s="8"/>
      <c r="C792" s="8"/>
      <c r="D792" s="8"/>
      <c r="E792" s="8"/>
      <c r="F792" s="8"/>
      <c r="G792" s="26"/>
      <c r="H792" s="26"/>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c r="BQ792" s="8"/>
      <c r="BR792" s="8"/>
      <c r="BS792" s="1"/>
      <c r="BT792" s="1"/>
    </row>
    <row r="793" spans="1:72" ht="15.75" customHeight="1" x14ac:dyDescent="0.35">
      <c r="A793" s="8"/>
      <c r="B793" s="8"/>
      <c r="C793" s="8"/>
      <c r="D793" s="8"/>
      <c r="E793" s="8"/>
      <c r="F793" s="8"/>
      <c r="G793" s="26"/>
      <c r="H793" s="26"/>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c r="BQ793" s="8"/>
      <c r="BR793" s="8"/>
      <c r="BS793" s="1"/>
      <c r="BT793" s="1"/>
    </row>
    <row r="794" spans="1:72" ht="15.75" customHeight="1" x14ac:dyDescent="0.35">
      <c r="A794" s="8"/>
      <c r="B794" s="8"/>
      <c r="C794" s="8"/>
      <c r="D794" s="8"/>
      <c r="E794" s="8"/>
      <c r="F794" s="8"/>
      <c r="G794" s="26"/>
      <c r="H794" s="26"/>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c r="BQ794" s="8"/>
      <c r="BR794" s="8"/>
      <c r="BS794" s="1"/>
      <c r="BT794" s="1"/>
    </row>
    <row r="795" spans="1:72" ht="15.75" customHeight="1" x14ac:dyDescent="0.35">
      <c r="A795" s="8"/>
      <c r="B795" s="8"/>
      <c r="C795" s="8"/>
      <c r="D795" s="8"/>
      <c r="E795" s="8"/>
      <c r="F795" s="8"/>
      <c r="G795" s="26"/>
      <c r="H795" s="26"/>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c r="BQ795" s="8"/>
      <c r="BR795" s="8"/>
      <c r="BS795" s="1"/>
      <c r="BT795" s="1"/>
    </row>
    <row r="796" spans="1:72" ht="15.75" customHeight="1" x14ac:dyDescent="0.35">
      <c r="A796" s="8"/>
      <c r="B796" s="8"/>
      <c r="C796" s="8"/>
      <c r="D796" s="8"/>
      <c r="E796" s="8"/>
      <c r="F796" s="8"/>
      <c r="G796" s="26"/>
      <c r="H796" s="26"/>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c r="BQ796" s="8"/>
      <c r="BR796" s="8"/>
      <c r="BS796" s="1"/>
      <c r="BT796" s="1"/>
    </row>
    <row r="797" spans="1:72" ht="15.75" customHeight="1" x14ac:dyDescent="0.35">
      <c r="A797" s="8"/>
      <c r="B797" s="8"/>
      <c r="C797" s="8"/>
      <c r="D797" s="8"/>
      <c r="E797" s="8"/>
      <c r="F797" s="8"/>
      <c r="G797" s="26"/>
      <c r="H797" s="26"/>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c r="BQ797" s="8"/>
      <c r="BR797" s="8"/>
      <c r="BS797" s="1"/>
      <c r="BT797" s="1"/>
    </row>
    <row r="798" spans="1:72" ht="15.75" customHeight="1" x14ac:dyDescent="0.35">
      <c r="A798" s="8"/>
      <c r="B798" s="8"/>
      <c r="C798" s="8"/>
      <c r="D798" s="8"/>
      <c r="E798" s="8"/>
      <c r="F798" s="8"/>
      <c r="G798" s="26"/>
      <c r="H798" s="26"/>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c r="BQ798" s="8"/>
      <c r="BR798" s="8"/>
      <c r="BS798" s="1"/>
      <c r="BT798" s="1"/>
    </row>
    <row r="799" spans="1:72" ht="15.75" customHeight="1" x14ac:dyDescent="0.35">
      <c r="A799" s="8"/>
      <c r="B799" s="8"/>
      <c r="C799" s="8"/>
      <c r="D799" s="8"/>
      <c r="E799" s="8"/>
      <c r="F799" s="8"/>
      <c r="G799" s="26"/>
      <c r="H799" s="26"/>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c r="BQ799" s="8"/>
      <c r="BR799" s="8"/>
      <c r="BS799" s="1"/>
      <c r="BT799" s="1"/>
    </row>
    <row r="800" spans="1:72" ht="15.75" customHeight="1" x14ac:dyDescent="0.35">
      <c r="A800" s="8"/>
      <c r="B800" s="8"/>
      <c r="C800" s="8"/>
      <c r="D800" s="8"/>
      <c r="E800" s="8"/>
      <c r="F800" s="8"/>
      <c r="G800" s="26"/>
      <c r="H800" s="26"/>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c r="BQ800" s="8"/>
      <c r="BR800" s="8"/>
      <c r="BS800" s="1"/>
      <c r="BT800" s="1"/>
    </row>
    <row r="801" spans="1:72" ht="15.75" customHeight="1" x14ac:dyDescent="0.35">
      <c r="A801" s="8"/>
      <c r="B801" s="8"/>
      <c r="C801" s="8"/>
      <c r="D801" s="8"/>
      <c r="E801" s="8"/>
      <c r="F801" s="8"/>
      <c r="G801" s="26"/>
      <c r="H801" s="26"/>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c r="BP801" s="8"/>
      <c r="BQ801" s="8"/>
      <c r="BR801" s="8"/>
      <c r="BS801" s="1"/>
      <c r="BT801" s="1"/>
    </row>
    <row r="802" spans="1:72" ht="15.75" customHeight="1" x14ac:dyDescent="0.35">
      <c r="A802" s="8"/>
      <c r="B802" s="8"/>
      <c r="C802" s="8"/>
      <c r="D802" s="8"/>
      <c r="E802" s="8"/>
      <c r="F802" s="8"/>
      <c r="G802" s="26"/>
      <c r="H802" s="26"/>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c r="BQ802" s="8"/>
      <c r="BR802" s="8"/>
      <c r="BS802" s="1"/>
      <c r="BT802" s="1"/>
    </row>
    <row r="803" spans="1:72" ht="15.75" customHeight="1" x14ac:dyDescent="0.35">
      <c r="A803" s="8"/>
      <c r="B803" s="8"/>
      <c r="C803" s="8"/>
      <c r="D803" s="8"/>
      <c r="E803" s="8"/>
      <c r="F803" s="8"/>
      <c r="G803" s="26"/>
      <c r="H803" s="26"/>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c r="BQ803" s="8"/>
      <c r="BR803" s="8"/>
      <c r="BS803" s="1"/>
      <c r="BT803" s="1"/>
    </row>
    <row r="804" spans="1:72" ht="15.75" customHeight="1" x14ac:dyDescent="0.35">
      <c r="A804" s="8"/>
      <c r="B804" s="8"/>
      <c r="C804" s="8"/>
      <c r="D804" s="8"/>
      <c r="E804" s="8"/>
      <c r="F804" s="8"/>
      <c r="G804" s="26"/>
      <c r="H804" s="26"/>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c r="BQ804" s="8"/>
      <c r="BR804" s="8"/>
      <c r="BS804" s="1"/>
      <c r="BT804" s="1"/>
    </row>
    <row r="805" spans="1:72" ht="15.75" customHeight="1" x14ac:dyDescent="0.35">
      <c r="A805" s="8"/>
      <c r="B805" s="8"/>
      <c r="C805" s="8"/>
      <c r="D805" s="8"/>
      <c r="E805" s="8"/>
      <c r="F805" s="8"/>
      <c r="G805" s="26"/>
      <c r="H805" s="26"/>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c r="BP805" s="8"/>
      <c r="BQ805" s="8"/>
      <c r="BR805" s="8"/>
      <c r="BS805" s="1"/>
      <c r="BT805" s="1"/>
    </row>
    <row r="806" spans="1:72" ht="15.75" customHeight="1" x14ac:dyDescent="0.35">
      <c r="A806" s="8"/>
      <c r="B806" s="8"/>
      <c r="C806" s="8"/>
      <c r="D806" s="8"/>
      <c r="E806" s="8"/>
      <c r="F806" s="8"/>
      <c r="G806" s="26"/>
      <c r="H806" s="26"/>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c r="BQ806" s="8"/>
      <c r="BR806" s="8"/>
      <c r="BS806" s="1"/>
      <c r="BT806" s="1"/>
    </row>
    <row r="807" spans="1:72" ht="15.75" customHeight="1" x14ac:dyDescent="0.35">
      <c r="A807" s="8"/>
      <c r="B807" s="8"/>
      <c r="C807" s="8"/>
      <c r="D807" s="8"/>
      <c r="E807" s="8"/>
      <c r="F807" s="8"/>
      <c r="G807" s="26"/>
      <c r="H807" s="26"/>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c r="BP807" s="8"/>
      <c r="BQ807" s="8"/>
      <c r="BR807" s="8"/>
      <c r="BS807" s="1"/>
      <c r="BT807" s="1"/>
    </row>
    <row r="808" spans="1:72" ht="15.75" customHeight="1" x14ac:dyDescent="0.35">
      <c r="A808" s="8"/>
      <c r="B808" s="8"/>
      <c r="C808" s="8"/>
      <c r="D808" s="8"/>
      <c r="E808" s="8"/>
      <c r="F808" s="8"/>
      <c r="G808" s="26"/>
      <c r="H808" s="26"/>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c r="BP808" s="8"/>
      <c r="BQ808" s="8"/>
      <c r="BR808" s="8"/>
      <c r="BS808" s="1"/>
      <c r="BT808" s="1"/>
    </row>
    <row r="809" spans="1:72" ht="15.75" customHeight="1" x14ac:dyDescent="0.35">
      <c r="A809" s="8"/>
      <c r="B809" s="8"/>
      <c r="C809" s="8"/>
      <c r="D809" s="8"/>
      <c r="E809" s="8"/>
      <c r="F809" s="8"/>
      <c r="G809" s="26"/>
      <c r="H809" s="26"/>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c r="BQ809" s="8"/>
      <c r="BR809" s="8"/>
      <c r="BS809" s="1"/>
      <c r="BT809" s="1"/>
    </row>
    <row r="810" spans="1:72" ht="15.75" customHeight="1" x14ac:dyDescent="0.35">
      <c r="A810" s="8"/>
      <c r="B810" s="8"/>
      <c r="C810" s="8"/>
      <c r="D810" s="8"/>
      <c r="E810" s="8"/>
      <c r="F810" s="8"/>
      <c r="G810" s="26"/>
      <c r="H810" s="26"/>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c r="BP810" s="8"/>
      <c r="BQ810" s="8"/>
      <c r="BR810" s="8"/>
      <c r="BS810" s="1"/>
      <c r="BT810" s="1"/>
    </row>
    <row r="811" spans="1:72" ht="15.75" customHeight="1" x14ac:dyDescent="0.35">
      <c r="A811" s="8"/>
      <c r="B811" s="8"/>
      <c r="C811" s="8"/>
      <c r="D811" s="8"/>
      <c r="E811" s="8"/>
      <c r="F811" s="8"/>
      <c r="G811" s="26"/>
      <c r="H811" s="26"/>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c r="BQ811" s="8"/>
      <c r="BR811" s="8"/>
      <c r="BS811" s="1"/>
      <c r="BT811" s="1"/>
    </row>
    <row r="812" spans="1:72" ht="15.75" customHeight="1" x14ac:dyDescent="0.35">
      <c r="A812" s="8"/>
      <c r="B812" s="8"/>
      <c r="C812" s="8"/>
      <c r="D812" s="8"/>
      <c r="E812" s="8"/>
      <c r="F812" s="8"/>
      <c r="G812" s="26"/>
      <c r="H812" s="26"/>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c r="BQ812" s="8"/>
      <c r="BR812" s="8"/>
      <c r="BS812" s="1"/>
      <c r="BT812" s="1"/>
    </row>
    <row r="813" spans="1:72" ht="15.75" customHeight="1" x14ac:dyDescent="0.35">
      <c r="A813" s="8"/>
      <c r="B813" s="8"/>
      <c r="C813" s="8"/>
      <c r="D813" s="8"/>
      <c r="E813" s="8"/>
      <c r="F813" s="8"/>
      <c r="G813" s="26"/>
      <c r="H813" s="26"/>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c r="BP813" s="8"/>
      <c r="BQ813" s="8"/>
      <c r="BR813" s="8"/>
      <c r="BS813" s="1"/>
      <c r="BT813" s="1"/>
    </row>
    <row r="814" spans="1:72" ht="15.75" customHeight="1" x14ac:dyDescent="0.35">
      <c r="A814" s="8"/>
      <c r="B814" s="8"/>
      <c r="C814" s="8"/>
      <c r="D814" s="8"/>
      <c r="E814" s="8"/>
      <c r="F814" s="8"/>
      <c r="G814" s="26"/>
      <c r="H814" s="26"/>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c r="BQ814" s="8"/>
      <c r="BR814" s="8"/>
      <c r="BS814" s="1"/>
      <c r="BT814" s="1"/>
    </row>
    <row r="815" spans="1:72" ht="15.75" customHeight="1" x14ac:dyDescent="0.35">
      <c r="A815" s="8"/>
      <c r="B815" s="8"/>
      <c r="C815" s="8"/>
      <c r="D815" s="8"/>
      <c r="E815" s="8"/>
      <c r="F815" s="8"/>
      <c r="G815" s="26"/>
      <c r="H815" s="26"/>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c r="BQ815" s="8"/>
      <c r="BR815" s="8"/>
      <c r="BS815" s="1"/>
      <c r="BT815" s="1"/>
    </row>
    <row r="816" spans="1:72" ht="15.75" customHeight="1" x14ac:dyDescent="0.35">
      <c r="A816" s="8"/>
      <c r="B816" s="8"/>
      <c r="C816" s="8"/>
      <c r="D816" s="8"/>
      <c r="E816" s="8"/>
      <c r="F816" s="8"/>
      <c r="G816" s="26"/>
      <c r="H816" s="26"/>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c r="BQ816" s="8"/>
      <c r="BR816" s="8"/>
      <c r="BS816" s="1"/>
      <c r="BT816" s="1"/>
    </row>
    <row r="817" spans="1:72" ht="15.75" customHeight="1" x14ac:dyDescent="0.35">
      <c r="A817" s="8"/>
      <c r="B817" s="8"/>
      <c r="C817" s="8"/>
      <c r="D817" s="8"/>
      <c r="E817" s="8"/>
      <c r="F817" s="8"/>
      <c r="G817" s="26"/>
      <c r="H817" s="26"/>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c r="BQ817" s="8"/>
      <c r="BR817" s="8"/>
      <c r="BS817" s="1"/>
      <c r="BT817" s="1"/>
    </row>
    <row r="818" spans="1:72" ht="15.75" customHeight="1" x14ac:dyDescent="0.35">
      <c r="A818" s="8"/>
      <c r="B818" s="8"/>
      <c r="C818" s="8"/>
      <c r="D818" s="8"/>
      <c r="E818" s="8"/>
      <c r="F818" s="8"/>
      <c r="G818" s="26"/>
      <c r="H818" s="26"/>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c r="BP818" s="8"/>
      <c r="BQ818" s="8"/>
      <c r="BR818" s="8"/>
      <c r="BS818" s="1"/>
      <c r="BT818" s="1"/>
    </row>
    <row r="819" spans="1:72" ht="15.75" customHeight="1" x14ac:dyDescent="0.35">
      <c r="A819" s="8"/>
      <c r="B819" s="8"/>
      <c r="C819" s="8"/>
      <c r="D819" s="8"/>
      <c r="E819" s="8"/>
      <c r="F819" s="8"/>
      <c r="G819" s="26"/>
      <c r="H819" s="26"/>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c r="BQ819" s="8"/>
      <c r="BR819" s="8"/>
      <c r="BS819" s="1"/>
      <c r="BT819" s="1"/>
    </row>
    <row r="820" spans="1:72" ht="15.75" customHeight="1" x14ac:dyDescent="0.35">
      <c r="A820" s="8"/>
      <c r="B820" s="8"/>
      <c r="C820" s="8"/>
      <c r="D820" s="8"/>
      <c r="E820" s="8"/>
      <c r="F820" s="8"/>
      <c r="G820" s="26"/>
      <c r="H820" s="26"/>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c r="BQ820" s="8"/>
      <c r="BR820" s="8"/>
      <c r="BS820" s="1"/>
      <c r="BT820" s="1"/>
    </row>
    <row r="821" spans="1:72" ht="15.75" customHeight="1" x14ac:dyDescent="0.35">
      <c r="A821" s="8"/>
      <c r="B821" s="8"/>
      <c r="C821" s="8"/>
      <c r="D821" s="8"/>
      <c r="E821" s="8"/>
      <c r="F821" s="8"/>
      <c r="G821" s="26"/>
      <c r="H821" s="26"/>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c r="BQ821" s="8"/>
      <c r="BR821" s="8"/>
      <c r="BS821" s="1"/>
      <c r="BT821" s="1"/>
    </row>
    <row r="822" spans="1:72" ht="15.75" customHeight="1" x14ac:dyDescent="0.35">
      <c r="A822" s="8"/>
      <c r="B822" s="8"/>
      <c r="C822" s="8"/>
      <c r="D822" s="8"/>
      <c r="E822" s="8"/>
      <c r="F822" s="8"/>
      <c r="G822" s="26"/>
      <c r="H822" s="26"/>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c r="BP822" s="8"/>
      <c r="BQ822" s="8"/>
      <c r="BR822" s="8"/>
      <c r="BS822" s="1"/>
      <c r="BT822" s="1"/>
    </row>
    <row r="823" spans="1:72" ht="15.75" customHeight="1" x14ac:dyDescent="0.35">
      <c r="A823" s="8"/>
      <c r="B823" s="8"/>
      <c r="C823" s="8"/>
      <c r="D823" s="8"/>
      <c r="E823" s="8"/>
      <c r="F823" s="8"/>
      <c r="G823" s="26"/>
      <c r="H823" s="26"/>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c r="BQ823" s="8"/>
      <c r="BR823" s="8"/>
      <c r="BS823" s="1"/>
      <c r="BT823" s="1"/>
    </row>
    <row r="824" spans="1:72" ht="15.75" customHeight="1" x14ac:dyDescent="0.35">
      <c r="A824" s="8"/>
      <c r="B824" s="8"/>
      <c r="C824" s="8"/>
      <c r="D824" s="8"/>
      <c r="E824" s="8"/>
      <c r="F824" s="8"/>
      <c r="G824" s="26"/>
      <c r="H824" s="26"/>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c r="BQ824" s="8"/>
      <c r="BR824" s="8"/>
      <c r="BS824" s="1"/>
      <c r="BT824" s="1"/>
    </row>
    <row r="825" spans="1:72" ht="15.75" customHeight="1" x14ac:dyDescent="0.35">
      <c r="A825" s="8"/>
      <c r="B825" s="8"/>
      <c r="C825" s="8"/>
      <c r="D825" s="8"/>
      <c r="E825" s="8"/>
      <c r="F825" s="8"/>
      <c r="G825" s="26"/>
      <c r="H825" s="26"/>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c r="BQ825" s="8"/>
      <c r="BR825" s="8"/>
      <c r="BS825" s="1"/>
      <c r="BT825" s="1"/>
    </row>
    <row r="826" spans="1:72" ht="15.75" customHeight="1" x14ac:dyDescent="0.35">
      <c r="A826" s="8"/>
      <c r="B826" s="8"/>
      <c r="C826" s="8"/>
      <c r="D826" s="8"/>
      <c r="E826" s="8"/>
      <c r="F826" s="8"/>
      <c r="G826" s="26"/>
      <c r="H826" s="26"/>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c r="BP826" s="8"/>
      <c r="BQ826" s="8"/>
      <c r="BR826" s="8"/>
      <c r="BS826" s="1"/>
      <c r="BT826" s="1"/>
    </row>
    <row r="827" spans="1:72" ht="15.75" customHeight="1" x14ac:dyDescent="0.35">
      <c r="A827" s="8"/>
      <c r="B827" s="8"/>
      <c r="C827" s="8"/>
      <c r="D827" s="8"/>
      <c r="E827" s="8"/>
      <c r="F827" s="8"/>
      <c r="G827" s="26"/>
      <c r="H827" s="26"/>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c r="BP827" s="8"/>
      <c r="BQ827" s="8"/>
      <c r="BR827" s="8"/>
      <c r="BS827" s="1"/>
      <c r="BT827" s="1"/>
    </row>
    <row r="828" spans="1:72" ht="15.75" customHeight="1" x14ac:dyDescent="0.35">
      <c r="A828" s="8"/>
      <c r="B828" s="8"/>
      <c r="C828" s="8"/>
      <c r="D828" s="8"/>
      <c r="E828" s="8"/>
      <c r="F828" s="8"/>
      <c r="G828" s="26"/>
      <c r="H828" s="26"/>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c r="BP828" s="8"/>
      <c r="BQ828" s="8"/>
      <c r="BR828" s="8"/>
      <c r="BS828" s="1"/>
      <c r="BT828" s="1"/>
    </row>
    <row r="829" spans="1:72" ht="15.75" customHeight="1" x14ac:dyDescent="0.35">
      <c r="A829" s="8"/>
      <c r="B829" s="8"/>
      <c r="C829" s="8"/>
      <c r="D829" s="8"/>
      <c r="E829" s="8"/>
      <c r="F829" s="8"/>
      <c r="G829" s="26"/>
      <c r="H829" s="26"/>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c r="BP829" s="8"/>
      <c r="BQ829" s="8"/>
      <c r="BR829" s="8"/>
      <c r="BS829" s="1"/>
      <c r="BT829" s="1"/>
    </row>
    <row r="830" spans="1:72" ht="15.75" customHeight="1" x14ac:dyDescent="0.35">
      <c r="A830" s="8"/>
      <c r="B830" s="8"/>
      <c r="C830" s="8"/>
      <c r="D830" s="8"/>
      <c r="E830" s="8"/>
      <c r="F830" s="8"/>
      <c r="G830" s="26"/>
      <c r="H830" s="26"/>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c r="BQ830" s="8"/>
      <c r="BR830" s="8"/>
      <c r="BS830" s="1"/>
      <c r="BT830" s="1"/>
    </row>
    <row r="831" spans="1:72" ht="15.75" customHeight="1" x14ac:dyDescent="0.35">
      <c r="A831" s="8"/>
      <c r="B831" s="8"/>
      <c r="C831" s="8"/>
      <c r="D831" s="8"/>
      <c r="E831" s="8"/>
      <c r="F831" s="8"/>
      <c r="G831" s="26"/>
      <c r="H831" s="26"/>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c r="BP831" s="8"/>
      <c r="BQ831" s="8"/>
      <c r="BR831" s="8"/>
      <c r="BS831" s="1"/>
      <c r="BT831" s="1"/>
    </row>
    <row r="832" spans="1:72" ht="15.75" customHeight="1" x14ac:dyDescent="0.35">
      <c r="A832" s="8"/>
      <c r="B832" s="8"/>
      <c r="C832" s="8"/>
      <c r="D832" s="8"/>
      <c r="E832" s="8"/>
      <c r="F832" s="8"/>
      <c r="G832" s="26"/>
      <c r="H832" s="26"/>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c r="BP832" s="8"/>
      <c r="BQ832" s="8"/>
      <c r="BR832" s="8"/>
      <c r="BS832" s="1"/>
      <c r="BT832" s="1"/>
    </row>
    <row r="833" spans="1:72" ht="15.75" customHeight="1" x14ac:dyDescent="0.35">
      <c r="A833" s="8"/>
      <c r="B833" s="8"/>
      <c r="C833" s="8"/>
      <c r="D833" s="8"/>
      <c r="E833" s="8"/>
      <c r="F833" s="8"/>
      <c r="G833" s="26"/>
      <c r="H833" s="26"/>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c r="BP833" s="8"/>
      <c r="BQ833" s="8"/>
      <c r="BR833" s="8"/>
      <c r="BS833" s="1"/>
      <c r="BT833" s="1"/>
    </row>
    <row r="834" spans="1:72" ht="15.75" customHeight="1" x14ac:dyDescent="0.35">
      <c r="A834" s="8"/>
      <c r="B834" s="8"/>
      <c r="C834" s="8"/>
      <c r="D834" s="8"/>
      <c r="E834" s="8"/>
      <c r="F834" s="8"/>
      <c r="G834" s="26"/>
      <c r="H834" s="26"/>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c r="BP834" s="8"/>
      <c r="BQ834" s="8"/>
      <c r="BR834" s="8"/>
      <c r="BS834" s="1"/>
      <c r="BT834" s="1"/>
    </row>
    <row r="835" spans="1:72" ht="15.75" customHeight="1" x14ac:dyDescent="0.35">
      <c r="A835" s="8"/>
      <c r="B835" s="8"/>
      <c r="C835" s="8"/>
      <c r="D835" s="8"/>
      <c r="E835" s="8"/>
      <c r="F835" s="8"/>
      <c r="G835" s="26"/>
      <c r="H835" s="26"/>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c r="BP835" s="8"/>
      <c r="BQ835" s="8"/>
      <c r="BR835" s="8"/>
      <c r="BS835" s="1"/>
      <c r="BT835" s="1"/>
    </row>
    <row r="836" spans="1:72" ht="15.75" customHeight="1" x14ac:dyDescent="0.35">
      <c r="A836" s="8"/>
      <c r="B836" s="8"/>
      <c r="C836" s="8"/>
      <c r="D836" s="8"/>
      <c r="E836" s="8"/>
      <c r="F836" s="8"/>
      <c r="G836" s="26"/>
      <c r="H836" s="26"/>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c r="BP836" s="8"/>
      <c r="BQ836" s="8"/>
      <c r="BR836" s="8"/>
      <c r="BS836" s="1"/>
      <c r="BT836" s="1"/>
    </row>
    <row r="837" spans="1:72" ht="15.75" customHeight="1" x14ac:dyDescent="0.35">
      <c r="A837" s="8"/>
      <c r="B837" s="8"/>
      <c r="C837" s="8"/>
      <c r="D837" s="8"/>
      <c r="E837" s="8"/>
      <c r="F837" s="8"/>
      <c r="G837" s="26"/>
      <c r="H837" s="26"/>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c r="BP837" s="8"/>
      <c r="BQ837" s="8"/>
      <c r="BR837" s="8"/>
      <c r="BS837" s="1"/>
      <c r="BT837" s="1"/>
    </row>
    <row r="838" spans="1:72" ht="15.75" customHeight="1" x14ac:dyDescent="0.35">
      <c r="A838" s="8"/>
      <c r="B838" s="8"/>
      <c r="C838" s="8"/>
      <c r="D838" s="8"/>
      <c r="E838" s="8"/>
      <c r="F838" s="8"/>
      <c r="G838" s="26"/>
      <c r="H838" s="26"/>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c r="BP838" s="8"/>
      <c r="BQ838" s="8"/>
      <c r="BR838" s="8"/>
      <c r="BS838" s="1"/>
      <c r="BT838" s="1"/>
    </row>
    <row r="839" spans="1:72" ht="15.75" customHeight="1" x14ac:dyDescent="0.35">
      <c r="A839" s="8"/>
      <c r="B839" s="8"/>
      <c r="C839" s="8"/>
      <c r="D839" s="8"/>
      <c r="E839" s="8"/>
      <c r="F839" s="8"/>
      <c r="G839" s="26"/>
      <c r="H839" s="26"/>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c r="BQ839" s="8"/>
      <c r="BR839" s="8"/>
      <c r="BS839" s="1"/>
      <c r="BT839" s="1"/>
    </row>
    <row r="840" spans="1:72" ht="15.75" customHeight="1" x14ac:dyDescent="0.35">
      <c r="A840" s="8"/>
      <c r="B840" s="8"/>
      <c r="C840" s="8"/>
      <c r="D840" s="8"/>
      <c r="E840" s="8"/>
      <c r="F840" s="8"/>
      <c r="G840" s="26"/>
      <c r="H840" s="26"/>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c r="BP840" s="8"/>
      <c r="BQ840" s="8"/>
      <c r="BR840" s="8"/>
      <c r="BS840" s="1"/>
      <c r="BT840" s="1"/>
    </row>
    <row r="841" spans="1:72" ht="15.75" customHeight="1" x14ac:dyDescent="0.35">
      <c r="A841" s="8"/>
      <c r="B841" s="8"/>
      <c r="C841" s="8"/>
      <c r="D841" s="8"/>
      <c r="E841" s="8"/>
      <c r="F841" s="8"/>
      <c r="G841" s="26"/>
      <c r="H841" s="26"/>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c r="BP841" s="8"/>
      <c r="BQ841" s="8"/>
      <c r="BR841" s="8"/>
      <c r="BS841" s="1"/>
      <c r="BT841" s="1"/>
    </row>
    <row r="842" spans="1:72" ht="15.75" customHeight="1" x14ac:dyDescent="0.35">
      <c r="A842" s="8"/>
      <c r="B842" s="8"/>
      <c r="C842" s="8"/>
      <c r="D842" s="8"/>
      <c r="E842" s="8"/>
      <c r="F842" s="8"/>
      <c r="G842" s="26"/>
      <c r="H842" s="26"/>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c r="BQ842" s="8"/>
      <c r="BR842" s="8"/>
      <c r="BS842" s="1"/>
      <c r="BT842" s="1"/>
    </row>
    <row r="843" spans="1:72" ht="15.75" customHeight="1" x14ac:dyDescent="0.35">
      <c r="A843" s="8"/>
      <c r="B843" s="8"/>
      <c r="C843" s="8"/>
      <c r="D843" s="8"/>
      <c r="E843" s="8"/>
      <c r="F843" s="8"/>
      <c r="G843" s="26"/>
      <c r="H843" s="26"/>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c r="BP843" s="8"/>
      <c r="BQ843" s="8"/>
      <c r="BR843" s="8"/>
      <c r="BS843" s="1"/>
      <c r="BT843" s="1"/>
    </row>
    <row r="844" spans="1:72" ht="15.75" customHeight="1" x14ac:dyDescent="0.35">
      <c r="A844" s="8"/>
      <c r="B844" s="8"/>
      <c r="C844" s="8"/>
      <c r="D844" s="8"/>
      <c r="E844" s="8"/>
      <c r="F844" s="8"/>
      <c r="G844" s="26"/>
      <c r="H844" s="26"/>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c r="BQ844" s="8"/>
      <c r="BR844" s="8"/>
      <c r="BS844" s="1"/>
      <c r="BT844" s="1"/>
    </row>
    <row r="845" spans="1:72" ht="15.75" customHeight="1" x14ac:dyDescent="0.35">
      <c r="A845" s="8"/>
      <c r="B845" s="8"/>
      <c r="C845" s="8"/>
      <c r="D845" s="8"/>
      <c r="E845" s="8"/>
      <c r="F845" s="8"/>
      <c r="G845" s="26"/>
      <c r="H845" s="26"/>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c r="BQ845" s="8"/>
      <c r="BR845" s="8"/>
      <c r="BS845" s="1"/>
      <c r="BT845" s="1"/>
    </row>
    <row r="846" spans="1:72" ht="15.75" customHeight="1" x14ac:dyDescent="0.35">
      <c r="A846" s="8"/>
      <c r="B846" s="8"/>
      <c r="C846" s="8"/>
      <c r="D846" s="8"/>
      <c r="E846" s="8"/>
      <c r="F846" s="8"/>
      <c r="G846" s="26"/>
      <c r="H846" s="26"/>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c r="BP846" s="8"/>
      <c r="BQ846" s="8"/>
      <c r="BR846" s="8"/>
      <c r="BS846" s="1"/>
      <c r="BT846" s="1"/>
    </row>
    <row r="847" spans="1:72" ht="15.75" customHeight="1" x14ac:dyDescent="0.35">
      <c r="A847" s="8"/>
      <c r="B847" s="8"/>
      <c r="C847" s="8"/>
      <c r="D847" s="8"/>
      <c r="E847" s="8"/>
      <c r="F847" s="8"/>
      <c r="G847" s="26"/>
      <c r="H847" s="26"/>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c r="BQ847" s="8"/>
      <c r="BR847" s="8"/>
      <c r="BS847" s="1"/>
      <c r="BT847" s="1"/>
    </row>
    <row r="848" spans="1:72" ht="15.75" customHeight="1" x14ac:dyDescent="0.35">
      <c r="A848" s="8"/>
      <c r="B848" s="8"/>
      <c r="C848" s="8"/>
      <c r="D848" s="8"/>
      <c r="E848" s="8"/>
      <c r="F848" s="8"/>
      <c r="G848" s="26"/>
      <c r="H848" s="26"/>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c r="BQ848" s="8"/>
      <c r="BR848" s="8"/>
      <c r="BS848" s="1"/>
      <c r="BT848" s="1"/>
    </row>
    <row r="849" spans="1:72" ht="15.75" customHeight="1" x14ac:dyDescent="0.35">
      <c r="A849" s="8"/>
      <c r="B849" s="8"/>
      <c r="C849" s="8"/>
      <c r="D849" s="8"/>
      <c r="E849" s="8"/>
      <c r="F849" s="8"/>
      <c r="G849" s="26"/>
      <c r="H849" s="26"/>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c r="BQ849" s="8"/>
      <c r="BR849" s="8"/>
      <c r="BS849" s="1"/>
      <c r="BT849" s="1"/>
    </row>
    <row r="850" spans="1:72" ht="15.75" customHeight="1" x14ac:dyDescent="0.35">
      <c r="A850" s="8"/>
      <c r="B850" s="8"/>
      <c r="C850" s="8"/>
      <c r="D850" s="8"/>
      <c r="E850" s="8"/>
      <c r="F850" s="8"/>
      <c r="G850" s="26"/>
      <c r="H850" s="26"/>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c r="BQ850" s="8"/>
      <c r="BR850" s="8"/>
      <c r="BS850" s="1"/>
      <c r="BT850" s="1"/>
    </row>
    <row r="851" spans="1:72" ht="15.75" customHeight="1" x14ac:dyDescent="0.35">
      <c r="A851" s="8"/>
      <c r="B851" s="8"/>
      <c r="C851" s="8"/>
      <c r="D851" s="8"/>
      <c r="E851" s="8"/>
      <c r="F851" s="8"/>
      <c r="G851" s="26"/>
      <c r="H851" s="26"/>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c r="BQ851" s="8"/>
      <c r="BR851" s="8"/>
      <c r="BS851" s="1"/>
      <c r="BT851" s="1"/>
    </row>
    <row r="852" spans="1:72" ht="15.75" customHeight="1" x14ac:dyDescent="0.35">
      <c r="A852" s="8"/>
      <c r="B852" s="8"/>
      <c r="C852" s="8"/>
      <c r="D852" s="8"/>
      <c r="E852" s="8"/>
      <c r="F852" s="8"/>
      <c r="G852" s="26"/>
      <c r="H852" s="26"/>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c r="BQ852" s="8"/>
      <c r="BR852" s="8"/>
      <c r="BS852" s="1"/>
      <c r="BT852" s="1"/>
    </row>
    <row r="853" spans="1:72" ht="15.75" customHeight="1" x14ac:dyDescent="0.35">
      <c r="A853" s="8"/>
      <c r="B853" s="8"/>
      <c r="C853" s="8"/>
      <c r="D853" s="8"/>
      <c r="E853" s="8"/>
      <c r="F853" s="8"/>
      <c r="G853" s="26"/>
      <c r="H853" s="26"/>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c r="BQ853" s="8"/>
      <c r="BR853" s="8"/>
      <c r="BS853" s="1"/>
      <c r="BT853" s="1"/>
    </row>
    <row r="854" spans="1:72" ht="15.75" customHeight="1" x14ac:dyDescent="0.35">
      <c r="A854" s="8"/>
      <c r="B854" s="8"/>
      <c r="C854" s="8"/>
      <c r="D854" s="8"/>
      <c r="E854" s="8"/>
      <c r="F854" s="8"/>
      <c r="G854" s="26"/>
      <c r="H854" s="26"/>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c r="BQ854" s="8"/>
      <c r="BR854" s="8"/>
      <c r="BS854" s="1"/>
      <c r="BT854" s="1"/>
    </row>
    <row r="855" spans="1:72" ht="15.75" customHeight="1" x14ac:dyDescent="0.35">
      <c r="A855" s="8"/>
      <c r="B855" s="8"/>
      <c r="C855" s="8"/>
      <c r="D855" s="8"/>
      <c r="E855" s="8"/>
      <c r="F855" s="8"/>
      <c r="G855" s="26"/>
      <c r="H855" s="26"/>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c r="BQ855" s="8"/>
      <c r="BR855" s="8"/>
      <c r="BS855" s="1"/>
      <c r="BT855" s="1"/>
    </row>
    <row r="856" spans="1:72" ht="15.75" customHeight="1" x14ac:dyDescent="0.35">
      <c r="A856" s="8"/>
      <c r="B856" s="8"/>
      <c r="C856" s="8"/>
      <c r="D856" s="8"/>
      <c r="E856" s="8"/>
      <c r="F856" s="8"/>
      <c r="G856" s="26"/>
      <c r="H856" s="26"/>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c r="BQ856" s="8"/>
      <c r="BR856" s="8"/>
      <c r="BS856" s="1"/>
      <c r="BT856" s="1"/>
    </row>
    <row r="857" spans="1:72" ht="15.75" customHeight="1" x14ac:dyDescent="0.35">
      <c r="A857" s="8"/>
      <c r="B857" s="8"/>
      <c r="C857" s="8"/>
      <c r="D857" s="8"/>
      <c r="E857" s="8"/>
      <c r="F857" s="8"/>
      <c r="G857" s="26"/>
      <c r="H857" s="26"/>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c r="BQ857" s="8"/>
      <c r="BR857" s="8"/>
      <c r="BS857" s="1"/>
      <c r="BT857" s="1"/>
    </row>
    <row r="858" spans="1:72" ht="15.75" customHeight="1" x14ac:dyDescent="0.35">
      <c r="A858" s="8"/>
      <c r="B858" s="8"/>
      <c r="C858" s="8"/>
      <c r="D858" s="8"/>
      <c r="E858" s="8"/>
      <c r="F858" s="8"/>
      <c r="G858" s="26"/>
      <c r="H858" s="26"/>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c r="BQ858" s="8"/>
      <c r="BR858" s="8"/>
      <c r="BS858" s="1"/>
      <c r="BT858" s="1"/>
    </row>
    <row r="859" spans="1:72" ht="15.75" customHeight="1" x14ac:dyDescent="0.35">
      <c r="A859" s="8"/>
      <c r="B859" s="8"/>
      <c r="C859" s="8"/>
      <c r="D859" s="8"/>
      <c r="E859" s="8"/>
      <c r="F859" s="8"/>
      <c r="G859" s="26"/>
      <c r="H859" s="26"/>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c r="BQ859" s="8"/>
      <c r="BR859" s="8"/>
      <c r="BS859" s="1"/>
      <c r="BT859" s="1"/>
    </row>
    <row r="860" spans="1:72" ht="15.75" customHeight="1" x14ac:dyDescent="0.35">
      <c r="A860" s="8"/>
      <c r="B860" s="8"/>
      <c r="C860" s="8"/>
      <c r="D860" s="8"/>
      <c r="E860" s="8"/>
      <c r="F860" s="8"/>
      <c r="G860" s="26"/>
      <c r="H860" s="26"/>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c r="BQ860" s="8"/>
      <c r="BR860" s="8"/>
      <c r="BS860" s="1"/>
      <c r="BT860" s="1"/>
    </row>
    <row r="861" spans="1:72" ht="15.75" customHeight="1" x14ac:dyDescent="0.35">
      <c r="A861" s="8"/>
      <c r="B861" s="8"/>
      <c r="C861" s="8"/>
      <c r="D861" s="8"/>
      <c r="E861" s="8"/>
      <c r="F861" s="8"/>
      <c r="G861" s="26"/>
      <c r="H861" s="26"/>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c r="BQ861" s="8"/>
      <c r="BR861" s="8"/>
      <c r="BS861" s="1"/>
      <c r="BT861" s="1"/>
    </row>
    <row r="862" spans="1:72" ht="15.75" customHeight="1" x14ac:dyDescent="0.35">
      <c r="A862" s="8"/>
      <c r="B862" s="8"/>
      <c r="C862" s="8"/>
      <c r="D862" s="8"/>
      <c r="E862" s="8"/>
      <c r="F862" s="8"/>
      <c r="G862" s="26"/>
      <c r="H862" s="26"/>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c r="BQ862" s="8"/>
      <c r="BR862" s="8"/>
      <c r="BS862" s="1"/>
      <c r="BT862" s="1"/>
    </row>
    <row r="863" spans="1:72" ht="15.75" customHeight="1" x14ac:dyDescent="0.35">
      <c r="A863" s="8"/>
      <c r="B863" s="8"/>
      <c r="C863" s="8"/>
      <c r="D863" s="8"/>
      <c r="E863" s="8"/>
      <c r="F863" s="8"/>
      <c r="G863" s="26"/>
      <c r="H863" s="26"/>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c r="BQ863" s="8"/>
      <c r="BR863" s="8"/>
      <c r="BS863" s="1"/>
      <c r="BT863" s="1"/>
    </row>
    <row r="864" spans="1:72" ht="15.75" customHeight="1" x14ac:dyDescent="0.35">
      <c r="A864" s="8"/>
      <c r="B864" s="8"/>
      <c r="C864" s="8"/>
      <c r="D864" s="8"/>
      <c r="E864" s="8"/>
      <c r="F864" s="8"/>
      <c r="G864" s="26"/>
      <c r="H864" s="26"/>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c r="BQ864" s="8"/>
      <c r="BR864" s="8"/>
      <c r="BS864" s="1"/>
      <c r="BT864" s="1"/>
    </row>
    <row r="865" spans="1:72" ht="15.75" customHeight="1" x14ac:dyDescent="0.35">
      <c r="A865" s="8"/>
      <c r="B865" s="8"/>
      <c r="C865" s="8"/>
      <c r="D865" s="8"/>
      <c r="E865" s="8"/>
      <c r="F865" s="8"/>
      <c r="G865" s="26"/>
      <c r="H865" s="26"/>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c r="BQ865" s="8"/>
      <c r="BR865" s="8"/>
      <c r="BS865" s="1"/>
      <c r="BT865" s="1"/>
    </row>
    <row r="866" spans="1:72" ht="15.75" customHeight="1" x14ac:dyDescent="0.35">
      <c r="A866" s="8"/>
      <c r="B866" s="8"/>
      <c r="C866" s="8"/>
      <c r="D866" s="8"/>
      <c r="E866" s="8"/>
      <c r="F866" s="8"/>
      <c r="G866" s="26"/>
      <c r="H866" s="26"/>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c r="BQ866" s="8"/>
      <c r="BR866" s="8"/>
      <c r="BS866" s="1"/>
      <c r="BT866" s="1"/>
    </row>
    <row r="867" spans="1:72" ht="15.75" customHeight="1" x14ac:dyDescent="0.35">
      <c r="A867" s="8"/>
      <c r="B867" s="8"/>
      <c r="C867" s="8"/>
      <c r="D867" s="8"/>
      <c r="E867" s="8"/>
      <c r="F867" s="8"/>
      <c r="G867" s="26"/>
      <c r="H867" s="26"/>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c r="BQ867" s="8"/>
      <c r="BR867" s="8"/>
      <c r="BS867" s="1"/>
      <c r="BT867" s="1"/>
    </row>
    <row r="868" spans="1:72" ht="15.75" customHeight="1" x14ac:dyDescent="0.35">
      <c r="A868" s="8"/>
      <c r="B868" s="8"/>
      <c r="C868" s="8"/>
      <c r="D868" s="8"/>
      <c r="E868" s="8"/>
      <c r="F868" s="8"/>
      <c r="G868" s="26"/>
      <c r="H868" s="26"/>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c r="BQ868" s="8"/>
      <c r="BR868" s="8"/>
      <c r="BS868" s="1"/>
      <c r="BT868" s="1"/>
    </row>
    <row r="869" spans="1:72" ht="15.75" customHeight="1" x14ac:dyDescent="0.35">
      <c r="A869" s="8"/>
      <c r="B869" s="8"/>
      <c r="C869" s="8"/>
      <c r="D869" s="8"/>
      <c r="E869" s="8"/>
      <c r="F869" s="8"/>
      <c r="G869" s="26"/>
      <c r="H869" s="26"/>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c r="BQ869" s="8"/>
      <c r="BR869" s="8"/>
      <c r="BS869" s="1"/>
      <c r="BT869" s="1"/>
    </row>
    <row r="870" spans="1:72" ht="15.75" customHeight="1" x14ac:dyDescent="0.35">
      <c r="A870" s="8"/>
      <c r="B870" s="8"/>
      <c r="C870" s="8"/>
      <c r="D870" s="8"/>
      <c r="E870" s="8"/>
      <c r="F870" s="8"/>
      <c r="G870" s="26"/>
      <c r="H870" s="26"/>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c r="BQ870" s="8"/>
      <c r="BR870" s="8"/>
      <c r="BS870" s="1"/>
      <c r="BT870" s="1"/>
    </row>
    <row r="871" spans="1:72" ht="15.75" customHeight="1" x14ac:dyDescent="0.35">
      <c r="A871" s="8"/>
      <c r="B871" s="8"/>
      <c r="C871" s="8"/>
      <c r="D871" s="8"/>
      <c r="E871" s="8"/>
      <c r="F871" s="8"/>
      <c r="G871" s="26"/>
      <c r="H871" s="26"/>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c r="BQ871" s="8"/>
      <c r="BR871" s="8"/>
      <c r="BS871" s="1"/>
      <c r="BT871" s="1"/>
    </row>
    <row r="872" spans="1:72" ht="15.75" customHeight="1" x14ac:dyDescent="0.35">
      <c r="A872" s="8"/>
      <c r="B872" s="8"/>
      <c r="C872" s="8"/>
      <c r="D872" s="8"/>
      <c r="E872" s="8"/>
      <c r="F872" s="8"/>
      <c r="G872" s="26"/>
      <c r="H872" s="26"/>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c r="BQ872" s="8"/>
      <c r="BR872" s="8"/>
      <c r="BS872" s="1"/>
      <c r="BT872" s="1"/>
    </row>
    <row r="873" spans="1:72" ht="15.75" customHeight="1" x14ac:dyDescent="0.35">
      <c r="A873" s="8"/>
      <c r="B873" s="8"/>
      <c r="C873" s="8"/>
      <c r="D873" s="8"/>
      <c r="E873" s="8"/>
      <c r="F873" s="8"/>
      <c r="G873" s="26"/>
      <c r="H873" s="26"/>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c r="BQ873" s="8"/>
      <c r="BR873" s="8"/>
      <c r="BS873" s="1"/>
      <c r="BT873" s="1"/>
    </row>
    <row r="874" spans="1:72" ht="15.75" customHeight="1" x14ac:dyDescent="0.35">
      <c r="A874" s="8"/>
      <c r="B874" s="8"/>
      <c r="C874" s="8"/>
      <c r="D874" s="8"/>
      <c r="E874" s="8"/>
      <c r="F874" s="8"/>
      <c r="G874" s="26"/>
      <c r="H874" s="26"/>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c r="BP874" s="8"/>
      <c r="BQ874" s="8"/>
      <c r="BR874" s="8"/>
      <c r="BS874" s="1"/>
      <c r="BT874" s="1"/>
    </row>
    <row r="875" spans="1:72" ht="15.75" customHeight="1" x14ac:dyDescent="0.35">
      <c r="A875" s="8"/>
      <c r="B875" s="8"/>
      <c r="C875" s="8"/>
      <c r="D875" s="8"/>
      <c r="E875" s="8"/>
      <c r="F875" s="8"/>
      <c r="G875" s="26"/>
      <c r="H875" s="26"/>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c r="BQ875" s="8"/>
      <c r="BR875" s="8"/>
      <c r="BS875" s="1"/>
      <c r="BT875" s="1"/>
    </row>
    <row r="876" spans="1:72" ht="15.75" customHeight="1" x14ac:dyDescent="0.35">
      <c r="A876" s="8"/>
      <c r="B876" s="8"/>
      <c r="C876" s="8"/>
      <c r="D876" s="8"/>
      <c r="E876" s="8"/>
      <c r="F876" s="8"/>
      <c r="G876" s="26"/>
      <c r="H876" s="26"/>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c r="BQ876" s="8"/>
      <c r="BR876" s="8"/>
      <c r="BS876" s="1"/>
      <c r="BT876" s="1"/>
    </row>
    <row r="877" spans="1:72" ht="15.75" customHeight="1" x14ac:dyDescent="0.35">
      <c r="A877" s="8"/>
      <c r="B877" s="8"/>
      <c r="C877" s="8"/>
      <c r="D877" s="8"/>
      <c r="E877" s="8"/>
      <c r="F877" s="8"/>
      <c r="G877" s="26"/>
      <c r="H877" s="26"/>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c r="BP877" s="8"/>
      <c r="BQ877" s="8"/>
      <c r="BR877" s="8"/>
      <c r="BS877" s="1"/>
      <c r="BT877" s="1"/>
    </row>
    <row r="878" spans="1:72" ht="15.75" customHeight="1" x14ac:dyDescent="0.35">
      <c r="A878" s="8"/>
      <c r="B878" s="8"/>
      <c r="C878" s="8"/>
      <c r="D878" s="8"/>
      <c r="E878" s="8"/>
      <c r="F878" s="8"/>
      <c r="G878" s="26"/>
      <c r="H878" s="26"/>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c r="BQ878" s="8"/>
      <c r="BR878" s="8"/>
      <c r="BS878" s="1"/>
      <c r="BT878" s="1"/>
    </row>
    <row r="879" spans="1:72" ht="15.75" customHeight="1" x14ac:dyDescent="0.35">
      <c r="A879" s="8"/>
      <c r="B879" s="8"/>
      <c r="C879" s="8"/>
      <c r="D879" s="8"/>
      <c r="E879" s="8"/>
      <c r="F879" s="8"/>
      <c r="G879" s="26"/>
      <c r="H879" s="26"/>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c r="BQ879" s="8"/>
      <c r="BR879" s="8"/>
      <c r="BS879" s="1"/>
      <c r="BT879" s="1"/>
    </row>
    <row r="880" spans="1:72" ht="15.75" customHeight="1" x14ac:dyDescent="0.35">
      <c r="A880" s="8"/>
      <c r="B880" s="8"/>
      <c r="C880" s="8"/>
      <c r="D880" s="8"/>
      <c r="E880" s="8"/>
      <c r="F880" s="8"/>
      <c r="G880" s="26"/>
      <c r="H880" s="26"/>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c r="BQ880" s="8"/>
      <c r="BR880" s="8"/>
      <c r="BS880" s="1"/>
      <c r="BT880" s="1"/>
    </row>
    <row r="881" spans="1:72" ht="15.75" customHeight="1" x14ac:dyDescent="0.35">
      <c r="A881" s="8"/>
      <c r="B881" s="8"/>
      <c r="C881" s="8"/>
      <c r="D881" s="8"/>
      <c r="E881" s="8"/>
      <c r="F881" s="8"/>
      <c r="G881" s="26"/>
      <c r="H881" s="26"/>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c r="BP881" s="8"/>
      <c r="BQ881" s="8"/>
      <c r="BR881" s="8"/>
      <c r="BS881" s="1"/>
      <c r="BT881" s="1"/>
    </row>
    <row r="882" spans="1:72" ht="15.75" customHeight="1" x14ac:dyDescent="0.35">
      <c r="A882" s="8"/>
      <c r="B882" s="8"/>
      <c r="C882" s="8"/>
      <c r="D882" s="8"/>
      <c r="E882" s="8"/>
      <c r="F882" s="8"/>
      <c r="G882" s="26"/>
      <c r="H882" s="26"/>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c r="BQ882" s="8"/>
      <c r="BR882" s="8"/>
      <c r="BS882" s="1"/>
      <c r="BT882" s="1"/>
    </row>
    <row r="883" spans="1:72" ht="15.75" customHeight="1" x14ac:dyDescent="0.35">
      <c r="A883" s="8"/>
      <c r="B883" s="8"/>
      <c r="C883" s="8"/>
      <c r="D883" s="8"/>
      <c r="E883" s="8"/>
      <c r="F883" s="8"/>
      <c r="G883" s="26"/>
      <c r="H883" s="26"/>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c r="BQ883" s="8"/>
      <c r="BR883" s="8"/>
      <c r="BS883" s="1"/>
      <c r="BT883" s="1"/>
    </row>
    <row r="884" spans="1:72" ht="15.75" customHeight="1" x14ac:dyDescent="0.35">
      <c r="A884" s="8"/>
      <c r="B884" s="8"/>
      <c r="C884" s="8"/>
      <c r="D884" s="8"/>
      <c r="E884" s="8"/>
      <c r="F884" s="8"/>
      <c r="G884" s="26"/>
      <c r="H884" s="26"/>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c r="BQ884" s="8"/>
      <c r="BR884" s="8"/>
      <c r="BS884" s="1"/>
      <c r="BT884" s="1"/>
    </row>
    <row r="885" spans="1:72" ht="15.75" customHeight="1" x14ac:dyDescent="0.35">
      <c r="A885" s="8"/>
      <c r="B885" s="8"/>
      <c r="C885" s="8"/>
      <c r="D885" s="8"/>
      <c r="E885" s="8"/>
      <c r="F885" s="8"/>
      <c r="G885" s="26"/>
      <c r="H885" s="26"/>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c r="BQ885" s="8"/>
      <c r="BR885" s="8"/>
      <c r="BS885" s="1"/>
      <c r="BT885" s="1"/>
    </row>
    <row r="886" spans="1:72" ht="15.75" customHeight="1" x14ac:dyDescent="0.35">
      <c r="A886" s="8"/>
      <c r="B886" s="8"/>
      <c r="C886" s="8"/>
      <c r="D886" s="8"/>
      <c r="E886" s="8"/>
      <c r="F886" s="8"/>
      <c r="G886" s="26"/>
      <c r="H886" s="26"/>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c r="BQ886" s="8"/>
      <c r="BR886" s="8"/>
      <c r="BS886" s="1"/>
      <c r="BT886" s="1"/>
    </row>
    <row r="887" spans="1:72" ht="15.75" customHeight="1" x14ac:dyDescent="0.35">
      <c r="A887" s="8"/>
      <c r="B887" s="8"/>
      <c r="C887" s="8"/>
      <c r="D887" s="8"/>
      <c r="E887" s="8"/>
      <c r="F887" s="8"/>
      <c r="G887" s="26"/>
      <c r="H887" s="26"/>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c r="BQ887" s="8"/>
      <c r="BR887" s="8"/>
      <c r="BS887" s="1"/>
      <c r="BT887" s="1"/>
    </row>
    <row r="888" spans="1:72" ht="15.75" customHeight="1" x14ac:dyDescent="0.35">
      <c r="A888" s="8"/>
      <c r="B888" s="8"/>
      <c r="C888" s="8"/>
      <c r="D888" s="8"/>
      <c r="E888" s="8"/>
      <c r="F888" s="8"/>
      <c r="G888" s="26"/>
      <c r="H888" s="26"/>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c r="BQ888" s="8"/>
      <c r="BR888" s="8"/>
      <c r="BS888" s="1"/>
      <c r="BT888" s="1"/>
    </row>
    <row r="889" spans="1:72" ht="15.75" customHeight="1" x14ac:dyDescent="0.35">
      <c r="A889" s="8"/>
      <c r="B889" s="8"/>
      <c r="C889" s="8"/>
      <c r="D889" s="8"/>
      <c r="E889" s="8"/>
      <c r="F889" s="8"/>
      <c r="G889" s="26"/>
      <c r="H889" s="26"/>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c r="BQ889" s="8"/>
      <c r="BR889" s="8"/>
      <c r="BS889" s="1"/>
      <c r="BT889" s="1"/>
    </row>
    <row r="890" spans="1:72" ht="15.75" customHeight="1" x14ac:dyDescent="0.35">
      <c r="A890" s="8"/>
      <c r="B890" s="8"/>
      <c r="C890" s="8"/>
      <c r="D890" s="8"/>
      <c r="E890" s="8"/>
      <c r="F890" s="8"/>
      <c r="G890" s="26"/>
      <c r="H890" s="26"/>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c r="BQ890" s="8"/>
      <c r="BR890" s="8"/>
      <c r="BS890" s="1"/>
      <c r="BT890" s="1"/>
    </row>
    <row r="891" spans="1:72" ht="15.75" customHeight="1" x14ac:dyDescent="0.35">
      <c r="A891" s="8"/>
      <c r="B891" s="8"/>
      <c r="C891" s="8"/>
      <c r="D891" s="8"/>
      <c r="E891" s="8"/>
      <c r="F891" s="8"/>
      <c r="G891" s="26"/>
      <c r="H891" s="26"/>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c r="BQ891" s="8"/>
      <c r="BR891" s="8"/>
      <c r="BS891" s="1"/>
      <c r="BT891" s="1"/>
    </row>
    <row r="892" spans="1:72" ht="15.75" customHeight="1" x14ac:dyDescent="0.35">
      <c r="A892" s="8"/>
      <c r="B892" s="8"/>
      <c r="C892" s="8"/>
      <c r="D892" s="8"/>
      <c r="E892" s="8"/>
      <c r="F892" s="8"/>
      <c r="G892" s="26"/>
      <c r="H892" s="26"/>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c r="BQ892" s="8"/>
      <c r="BR892" s="8"/>
      <c r="BS892" s="1"/>
      <c r="BT892" s="1"/>
    </row>
    <row r="893" spans="1:72" ht="15.75" customHeight="1" x14ac:dyDescent="0.35">
      <c r="A893" s="8"/>
      <c r="B893" s="8"/>
      <c r="C893" s="8"/>
      <c r="D893" s="8"/>
      <c r="E893" s="8"/>
      <c r="F893" s="8"/>
      <c r="G893" s="26"/>
      <c r="H893" s="26"/>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c r="BQ893" s="8"/>
      <c r="BR893" s="8"/>
      <c r="BS893" s="1"/>
      <c r="BT893" s="1"/>
    </row>
    <row r="894" spans="1:72" ht="15.75" customHeight="1" x14ac:dyDescent="0.35">
      <c r="A894" s="8"/>
      <c r="B894" s="8"/>
      <c r="C894" s="8"/>
      <c r="D894" s="8"/>
      <c r="E894" s="8"/>
      <c r="F894" s="8"/>
      <c r="G894" s="26"/>
      <c r="H894" s="26"/>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c r="BQ894" s="8"/>
      <c r="BR894" s="8"/>
      <c r="BS894" s="1"/>
      <c r="BT894" s="1"/>
    </row>
    <row r="895" spans="1:72" ht="15.75" customHeight="1" x14ac:dyDescent="0.35">
      <c r="A895" s="8"/>
      <c r="B895" s="8"/>
      <c r="C895" s="8"/>
      <c r="D895" s="8"/>
      <c r="E895" s="8"/>
      <c r="F895" s="8"/>
      <c r="G895" s="26"/>
      <c r="H895" s="26"/>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c r="BQ895" s="8"/>
      <c r="BR895" s="8"/>
      <c r="BS895" s="1"/>
      <c r="BT895" s="1"/>
    </row>
    <row r="896" spans="1:72" ht="15.75" customHeight="1" x14ac:dyDescent="0.35">
      <c r="A896" s="8"/>
      <c r="B896" s="8"/>
      <c r="C896" s="8"/>
      <c r="D896" s="8"/>
      <c r="E896" s="8"/>
      <c r="F896" s="8"/>
      <c r="G896" s="26"/>
      <c r="H896" s="26"/>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c r="BP896" s="8"/>
      <c r="BQ896" s="8"/>
      <c r="BR896" s="8"/>
      <c r="BS896" s="1"/>
      <c r="BT896" s="1"/>
    </row>
    <row r="897" spans="1:72" ht="15.75" customHeight="1" x14ac:dyDescent="0.35">
      <c r="A897" s="8"/>
      <c r="B897" s="8"/>
      <c r="C897" s="8"/>
      <c r="D897" s="8"/>
      <c r="E897" s="8"/>
      <c r="F897" s="8"/>
      <c r="G897" s="26"/>
      <c r="H897" s="26"/>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c r="BQ897" s="8"/>
      <c r="BR897" s="8"/>
      <c r="BS897" s="1"/>
      <c r="BT897" s="1"/>
    </row>
    <row r="898" spans="1:72" ht="15.75" customHeight="1" x14ac:dyDescent="0.35">
      <c r="A898" s="8"/>
      <c r="B898" s="8"/>
      <c r="C898" s="8"/>
      <c r="D898" s="8"/>
      <c r="E898" s="8"/>
      <c r="F898" s="8"/>
      <c r="G898" s="26"/>
      <c r="H898" s="26"/>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c r="BP898" s="8"/>
      <c r="BQ898" s="8"/>
      <c r="BR898" s="8"/>
      <c r="BS898" s="1"/>
      <c r="BT898" s="1"/>
    </row>
    <row r="899" spans="1:72" ht="15.75" customHeight="1" x14ac:dyDescent="0.35">
      <c r="A899" s="8"/>
      <c r="B899" s="8"/>
      <c r="C899" s="8"/>
      <c r="D899" s="8"/>
      <c r="E899" s="8"/>
      <c r="F899" s="8"/>
      <c r="G899" s="26"/>
      <c r="H899" s="26"/>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c r="BQ899" s="8"/>
      <c r="BR899" s="8"/>
      <c r="BS899" s="1"/>
      <c r="BT899" s="1"/>
    </row>
    <row r="900" spans="1:72" ht="15.75" customHeight="1" x14ac:dyDescent="0.35">
      <c r="A900" s="8"/>
      <c r="B900" s="8"/>
      <c r="C900" s="8"/>
      <c r="D900" s="8"/>
      <c r="E900" s="8"/>
      <c r="F900" s="8"/>
      <c r="G900" s="26"/>
      <c r="H900" s="26"/>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c r="BQ900" s="8"/>
      <c r="BR900" s="8"/>
      <c r="BS900" s="1"/>
      <c r="BT900" s="1"/>
    </row>
    <row r="901" spans="1:72" ht="15.75" customHeight="1" x14ac:dyDescent="0.35">
      <c r="A901" s="8"/>
      <c r="B901" s="8"/>
      <c r="C901" s="8"/>
      <c r="D901" s="8"/>
      <c r="E901" s="8"/>
      <c r="F901" s="8"/>
      <c r="G901" s="26"/>
      <c r="H901" s="26"/>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c r="BQ901" s="8"/>
      <c r="BR901" s="8"/>
      <c r="BS901" s="1"/>
      <c r="BT901" s="1"/>
    </row>
    <row r="902" spans="1:72" ht="15.75" customHeight="1" x14ac:dyDescent="0.35">
      <c r="A902" s="8"/>
      <c r="B902" s="8"/>
      <c r="C902" s="8"/>
      <c r="D902" s="8"/>
      <c r="E902" s="8"/>
      <c r="F902" s="8"/>
      <c r="G902" s="26"/>
      <c r="H902" s="26"/>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c r="BP902" s="8"/>
      <c r="BQ902" s="8"/>
      <c r="BR902" s="8"/>
      <c r="BS902" s="1"/>
      <c r="BT902" s="1"/>
    </row>
    <row r="903" spans="1:72" ht="15.75" customHeight="1" x14ac:dyDescent="0.35">
      <c r="A903" s="8"/>
      <c r="B903" s="8"/>
      <c r="C903" s="8"/>
      <c r="D903" s="8"/>
      <c r="E903" s="8"/>
      <c r="F903" s="8"/>
      <c r="G903" s="26"/>
      <c r="H903" s="26"/>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c r="BQ903" s="8"/>
      <c r="BR903" s="8"/>
      <c r="BS903" s="1"/>
      <c r="BT903" s="1"/>
    </row>
    <row r="904" spans="1:72" ht="15.75" customHeight="1" x14ac:dyDescent="0.35">
      <c r="A904" s="8"/>
      <c r="B904" s="8"/>
      <c r="C904" s="8"/>
      <c r="D904" s="8"/>
      <c r="E904" s="8"/>
      <c r="F904" s="8"/>
      <c r="G904" s="26"/>
      <c r="H904" s="26"/>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c r="BQ904" s="8"/>
      <c r="BR904" s="8"/>
      <c r="BS904" s="1"/>
      <c r="BT904" s="1"/>
    </row>
    <row r="905" spans="1:72" ht="15.75" customHeight="1" x14ac:dyDescent="0.35">
      <c r="A905" s="8"/>
      <c r="B905" s="8"/>
      <c r="C905" s="8"/>
      <c r="D905" s="8"/>
      <c r="E905" s="8"/>
      <c r="F905" s="8"/>
      <c r="G905" s="26"/>
      <c r="H905" s="26"/>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c r="BP905" s="8"/>
      <c r="BQ905" s="8"/>
      <c r="BR905" s="8"/>
      <c r="BS905" s="1"/>
      <c r="BT905" s="1"/>
    </row>
    <row r="906" spans="1:72" ht="15.75" customHeight="1" x14ac:dyDescent="0.35">
      <c r="A906" s="8"/>
      <c r="B906" s="8"/>
      <c r="C906" s="8"/>
      <c r="D906" s="8"/>
      <c r="E906" s="8"/>
      <c r="F906" s="8"/>
      <c r="G906" s="26"/>
      <c r="H906" s="26"/>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c r="BP906" s="8"/>
      <c r="BQ906" s="8"/>
      <c r="BR906" s="8"/>
      <c r="BS906" s="1"/>
      <c r="BT906" s="1"/>
    </row>
    <row r="907" spans="1:72" ht="15.75" customHeight="1" x14ac:dyDescent="0.35">
      <c r="A907" s="8"/>
      <c r="B907" s="8"/>
      <c r="C907" s="8"/>
      <c r="D907" s="8"/>
      <c r="E907" s="8"/>
      <c r="F907" s="8"/>
      <c r="G907" s="26"/>
      <c r="H907" s="26"/>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c r="BQ907" s="8"/>
      <c r="BR907" s="8"/>
      <c r="BS907" s="1"/>
      <c r="BT907" s="1"/>
    </row>
    <row r="908" spans="1:72" ht="15.75" customHeight="1" x14ac:dyDescent="0.35">
      <c r="A908" s="8"/>
      <c r="B908" s="8"/>
      <c r="C908" s="8"/>
      <c r="D908" s="8"/>
      <c r="E908" s="8"/>
      <c r="F908" s="8"/>
      <c r="G908" s="26"/>
      <c r="H908" s="26"/>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c r="BQ908" s="8"/>
      <c r="BR908" s="8"/>
      <c r="BS908" s="1"/>
      <c r="BT908" s="1"/>
    </row>
    <row r="909" spans="1:72" ht="15.75" customHeight="1" x14ac:dyDescent="0.35">
      <c r="A909" s="8"/>
      <c r="B909" s="8"/>
      <c r="C909" s="8"/>
      <c r="D909" s="8"/>
      <c r="E909" s="8"/>
      <c r="F909" s="8"/>
      <c r="G909" s="26"/>
      <c r="H909" s="26"/>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c r="BQ909" s="8"/>
      <c r="BR909" s="8"/>
      <c r="BS909" s="1"/>
      <c r="BT909" s="1"/>
    </row>
    <row r="910" spans="1:72" ht="15.75" customHeight="1" x14ac:dyDescent="0.35">
      <c r="A910" s="8"/>
      <c r="B910" s="8"/>
      <c r="C910" s="8"/>
      <c r="D910" s="8"/>
      <c r="E910" s="8"/>
      <c r="F910" s="8"/>
      <c r="G910" s="26"/>
      <c r="H910" s="26"/>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c r="BQ910" s="8"/>
      <c r="BR910" s="8"/>
      <c r="BS910" s="1"/>
      <c r="BT910" s="1"/>
    </row>
    <row r="911" spans="1:72" ht="15.75" customHeight="1" x14ac:dyDescent="0.35">
      <c r="A911" s="8"/>
      <c r="B911" s="8"/>
      <c r="C911" s="8"/>
      <c r="D911" s="8"/>
      <c r="E911" s="8"/>
      <c r="F911" s="8"/>
      <c r="G911" s="26"/>
      <c r="H911" s="26"/>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c r="BQ911" s="8"/>
      <c r="BR911" s="8"/>
      <c r="BS911" s="1"/>
      <c r="BT911" s="1"/>
    </row>
    <row r="912" spans="1:72" ht="15.75" customHeight="1" x14ac:dyDescent="0.35">
      <c r="A912" s="8"/>
      <c r="B912" s="8"/>
      <c r="C912" s="8"/>
      <c r="D912" s="8"/>
      <c r="E912" s="8"/>
      <c r="F912" s="8"/>
      <c r="G912" s="26"/>
      <c r="H912" s="26"/>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c r="BQ912" s="8"/>
      <c r="BR912" s="8"/>
      <c r="BS912" s="1"/>
      <c r="BT912" s="1"/>
    </row>
    <row r="913" spans="1:72" ht="15.75" customHeight="1" x14ac:dyDescent="0.35">
      <c r="A913" s="8"/>
      <c r="B913" s="8"/>
      <c r="C913" s="8"/>
      <c r="D913" s="8"/>
      <c r="E913" s="8"/>
      <c r="F913" s="8"/>
      <c r="G913" s="26"/>
      <c r="H913" s="26"/>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c r="BQ913" s="8"/>
      <c r="BR913" s="8"/>
      <c r="BS913" s="1"/>
      <c r="BT913" s="1"/>
    </row>
    <row r="914" spans="1:72" ht="15.75" customHeight="1" x14ac:dyDescent="0.35">
      <c r="A914" s="8"/>
      <c r="B914" s="8"/>
      <c r="C914" s="8"/>
      <c r="D914" s="8"/>
      <c r="E914" s="8"/>
      <c r="F914" s="8"/>
      <c r="G914" s="26"/>
      <c r="H914" s="26"/>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c r="BQ914" s="8"/>
      <c r="BR914" s="8"/>
      <c r="BS914" s="1"/>
      <c r="BT914" s="1"/>
    </row>
    <row r="915" spans="1:72" ht="15.75" customHeight="1" x14ac:dyDescent="0.35">
      <c r="A915" s="8"/>
      <c r="B915" s="8"/>
      <c r="C915" s="8"/>
      <c r="D915" s="8"/>
      <c r="E915" s="8"/>
      <c r="F915" s="8"/>
      <c r="G915" s="26"/>
      <c r="H915" s="26"/>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c r="BQ915" s="8"/>
      <c r="BR915" s="8"/>
      <c r="BS915" s="1"/>
      <c r="BT915" s="1"/>
    </row>
    <row r="916" spans="1:72" ht="15.75" customHeight="1" x14ac:dyDescent="0.35">
      <c r="A916" s="8"/>
      <c r="B916" s="8"/>
      <c r="C916" s="8"/>
      <c r="D916" s="8"/>
      <c r="E916" s="8"/>
      <c r="F916" s="8"/>
      <c r="G916" s="26"/>
      <c r="H916" s="26"/>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c r="BQ916" s="8"/>
      <c r="BR916" s="8"/>
      <c r="BS916" s="1"/>
      <c r="BT916" s="1"/>
    </row>
    <row r="917" spans="1:72" ht="15.75" customHeight="1" x14ac:dyDescent="0.35">
      <c r="A917" s="8"/>
      <c r="B917" s="8"/>
      <c r="C917" s="8"/>
      <c r="D917" s="8"/>
      <c r="E917" s="8"/>
      <c r="F917" s="8"/>
      <c r="G917" s="26"/>
      <c r="H917" s="26"/>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c r="BQ917" s="8"/>
      <c r="BR917" s="8"/>
      <c r="BS917" s="1"/>
      <c r="BT917" s="1"/>
    </row>
    <row r="918" spans="1:72" ht="15.75" customHeight="1" x14ac:dyDescent="0.35">
      <c r="A918" s="8"/>
      <c r="B918" s="8"/>
      <c r="C918" s="8"/>
      <c r="D918" s="8"/>
      <c r="E918" s="8"/>
      <c r="F918" s="8"/>
      <c r="G918" s="26"/>
      <c r="H918" s="26"/>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c r="BQ918" s="8"/>
      <c r="BR918" s="8"/>
      <c r="BS918" s="1"/>
      <c r="BT918" s="1"/>
    </row>
    <row r="919" spans="1:72" ht="15.75" customHeight="1" x14ac:dyDescent="0.35">
      <c r="A919" s="8"/>
      <c r="B919" s="8"/>
      <c r="C919" s="8"/>
      <c r="D919" s="8"/>
      <c r="E919" s="8"/>
      <c r="F919" s="8"/>
      <c r="G919" s="26"/>
      <c r="H919" s="26"/>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c r="BQ919" s="8"/>
      <c r="BR919" s="8"/>
      <c r="BS919" s="1"/>
      <c r="BT919" s="1"/>
    </row>
    <row r="920" spans="1:72" ht="15.75" customHeight="1" x14ac:dyDescent="0.35">
      <c r="A920" s="8"/>
      <c r="B920" s="8"/>
      <c r="C920" s="8"/>
      <c r="D920" s="8"/>
      <c r="E920" s="8"/>
      <c r="F920" s="8"/>
      <c r="G920" s="26"/>
      <c r="H920" s="26"/>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c r="BQ920" s="8"/>
      <c r="BR920" s="8"/>
      <c r="BS920" s="1"/>
      <c r="BT920" s="1"/>
    </row>
    <row r="921" spans="1:72" ht="15.75" customHeight="1" x14ac:dyDescent="0.35">
      <c r="A921" s="8"/>
      <c r="B921" s="8"/>
      <c r="C921" s="8"/>
      <c r="D921" s="8"/>
      <c r="E921" s="8"/>
      <c r="F921" s="8"/>
      <c r="G921" s="26"/>
      <c r="H921" s="26"/>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c r="BP921" s="8"/>
      <c r="BQ921" s="8"/>
      <c r="BR921" s="8"/>
      <c r="BS921" s="1"/>
      <c r="BT921" s="1"/>
    </row>
    <row r="922" spans="1:72" ht="15.75" customHeight="1" x14ac:dyDescent="0.35">
      <c r="A922" s="8"/>
      <c r="B922" s="8"/>
      <c r="C922" s="8"/>
      <c r="D922" s="8"/>
      <c r="E922" s="8"/>
      <c r="F922" s="8"/>
      <c r="G922" s="26"/>
      <c r="H922" s="26"/>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c r="BQ922" s="8"/>
      <c r="BR922" s="8"/>
      <c r="BS922" s="1"/>
      <c r="BT922" s="1"/>
    </row>
    <row r="923" spans="1:72" ht="15.75" customHeight="1" x14ac:dyDescent="0.35">
      <c r="A923" s="8"/>
      <c r="B923" s="8"/>
      <c r="C923" s="8"/>
      <c r="D923" s="8"/>
      <c r="E923" s="8"/>
      <c r="F923" s="8"/>
      <c r="G923" s="26"/>
      <c r="H923" s="26"/>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c r="BQ923" s="8"/>
      <c r="BR923" s="8"/>
      <c r="BS923" s="1"/>
      <c r="BT923" s="1"/>
    </row>
    <row r="924" spans="1:72" ht="15.75" customHeight="1" x14ac:dyDescent="0.35">
      <c r="A924" s="8"/>
      <c r="B924" s="8"/>
      <c r="C924" s="8"/>
      <c r="D924" s="8"/>
      <c r="E924" s="8"/>
      <c r="F924" s="8"/>
      <c r="G924" s="26"/>
      <c r="H924" s="26"/>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c r="BQ924" s="8"/>
      <c r="BR924" s="8"/>
      <c r="BS924" s="1"/>
      <c r="BT924" s="1"/>
    </row>
    <row r="925" spans="1:72" ht="15.75" customHeight="1" x14ac:dyDescent="0.35">
      <c r="A925" s="8"/>
      <c r="B925" s="8"/>
      <c r="C925" s="8"/>
      <c r="D925" s="8"/>
      <c r="E925" s="8"/>
      <c r="F925" s="8"/>
      <c r="G925" s="26"/>
      <c r="H925" s="26"/>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c r="BP925" s="8"/>
      <c r="BQ925" s="8"/>
      <c r="BR925" s="8"/>
      <c r="BS925" s="1"/>
      <c r="BT925" s="1"/>
    </row>
    <row r="926" spans="1:72" ht="15.75" customHeight="1" x14ac:dyDescent="0.35">
      <c r="A926" s="8"/>
      <c r="B926" s="8"/>
      <c r="C926" s="8"/>
      <c r="D926" s="8"/>
      <c r="E926" s="8"/>
      <c r="F926" s="8"/>
      <c r="G926" s="26"/>
      <c r="H926" s="26"/>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c r="BQ926" s="8"/>
      <c r="BR926" s="8"/>
      <c r="BS926" s="1"/>
      <c r="BT926" s="1"/>
    </row>
    <row r="927" spans="1:72" ht="15.75" customHeight="1" x14ac:dyDescent="0.35">
      <c r="A927" s="8"/>
      <c r="B927" s="8"/>
      <c r="C927" s="8"/>
      <c r="D927" s="8"/>
      <c r="E927" s="8"/>
      <c r="F927" s="8"/>
      <c r="G927" s="26"/>
      <c r="H927" s="26"/>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c r="BQ927" s="8"/>
      <c r="BR927" s="8"/>
      <c r="BS927" s="1"/>
      <c r="BT927" s="1"/>
    </row>
    <row r="928" spans="1:72" ht="15.75" customHeight="1" x14ac:dyDescent="0.35">
      <c r="A928" s="8"/>
      <c r="B928" s="8"/>
      <c r="C928" s="8"/>
      <c r="D928" s="8"/>
      <c r="E928" s="8"/>
      <c r="F928" s="8"/>
      <c r="G928" s="26"/>
      <c r="H928" s="26"/>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c r="BQ928" s="8"/>
      <c r="BR928" s="8"/>
      <c r="BS928" s="1"/>
      <c r="BT928" s="1"/>
    </row>
    <row r="929" spans="1:72" ht="15.75" customHeight="1" x14ac:dyDescent="0.35">
      <c r="A929" s="8"/>
      <c r="B929" s="8"/>
      <c r="C929" s="8"/>
      <c r="D929" s="8"/>
      <c r="E929" s="8"/>
      <c r="F929" s="8"/>
      <c r="G929" s="26"/>
      <c r="H929" s="26"/>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c r="BQ929" s="8"/>
      <c r="BR929" s="8"/>
      <c r="BS929" s="1"/>
      <c r="BT929" s="1"/>
    </row>
    <row r="930" spans="1:72" ht="15.75" customHeight="1" x14ac:dyDescent="0.35">
      <c r="A930" s="8"/>
      <c r="B930" s="8"/>
      <c r="C930" s="8"/>
      <c r="D930" s="8"/>
      <c r="E930" s="8"/>
      <c r="F930" s="8"/>
      <c r="G930" s="26"/>
      <c r="H930" s="26"/>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c r="BQ930" s="8"/>
      <c r="BR930" s="8"/>
      <c r="BS930" s="1"/>
      <c r="BT930" s="1"/>
    </row>
    <row r="931" spans="1:72" ht="15.75" customHeight="1" x14ac:dyDescent="0.35">
      <c r="A931" s="8"/>
      <c r="B931" s="8"/>
      <c r="C931" s="8"/>
      <c r="D931" s="8"/>
      <c r="E931" s="8"/>
      <c r="F931" s="8"/>
      <c r="G931" s="26"/>
      <c r="H931" s="26"/>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c r="BQ931" s="8"/>
      <c r="BR931" s="8"/>
      <c r="BS931" s="1"/>
      <c r="BT931" s="1"/>
    </row>
    <row r="932" spans="1:72" ht="15.75" customHeight="1" x14ac:dyDescent="0.35">
      <c r="A932" s="8"/>
      <c r="B932" s="8"/>
      <c r="C932" s="8"/>
      <c r="D932" s="8"/>
      <c r="E932" s="8"/>
      <c r="F932" s="8"/>
      <c r="G932" s="26"/>
      <c r="H932" s="26"/>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c r="BQ932" s="8"/>
      <c r="BR932" s="8"/>
      <c r="BS932" s="1"/>
      <c r="BT932" s="1"/>
    </row>
    <row r="933" spans="1:72" ht="15.75" customHeight="1" x14ac:dyDescent="0.35">
      <c r="A933" s="8"/>
      <c r="B933" s="8"/>
      <c r="C933" s="8"/>
      <c r="D933" s="8"/>
      <c r="E933" s="8"/>
      <c r="F933" s="8"/>
      <c r="G933" s="26"/>
      <c r="H933" s="26"/>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c r="BQ933" s="8"/>
      <c r="BR933" s="8"/>
      <c r="BS933" s="1"/>
      <c r="BT933" s="1"/>
    </row>
    <row r="934" spans="1:72" ht="15.75" customHeight="1" x14ac:dyDescent="0.35">
      <c r="A934" s="8"/>
      <c r="B934" s="8"/>
      <c r="C934" s="8"/>
      <c r="D934" s="8"/>
      <c r="E934" s="8"/>
      <c r="F934" s="8"/>
      <c r="G934" s="26"/>
      <c r="H934" s="26"/>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c r="BQ934" s="8"/>
      <c r="BR934" s="8"/>
      <c r="BS934" s="1"/>
      <c r="BT934" s="1"/>
    </row>
    <row r="935" spans="1:72" ht="15.75" customHeight="1" x14ac:dyDescent="0.35">
      <c r="A935" s="8"/>
      <c r="B935" s="8"/>
      <c r="C935" s="8"/>
      <c r="D935" s="8"/>
      <c r="E935" s="8"/>
      <c r="F935" s="8"/>
      <c r="G935" s="26"/>
      <c r="H935" s="26"/>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c r="BQ935" s="8"/>
      <c r="BR935" s="8"/>
      <c r="BS935" s="1"/>
      <c r="BT935" s="1"/>
    </row>
    <row r="936" spans="1:72" ht="15.75" customHeight="1" x14ac:dyDescent="0.35">
      <c r="A936" s="8"/>
      <c r="B936" s="8"/>
      <c r="C936" s="8"/>
      <c r="D936" s="8"/>
      <c r="E936" s="8"/>
      <c r="F936" s="8"/>
      <c r="G936" s="26"/>
      <c r="H936" s="26"/>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c r="BQ936" s="8"/>
      <c r="BR936" s="8"/>
      <c r="BS936" s="1"/>
      <c r="BT936" s="1"/>
    </row>
    <row r="937" spans="1:72" ht="15.75" customHeight="1" x14ac:dyDescent="0.35">
      <c r="A937" s="8"/>
      <c r="B937" s="8"/>
      <c r="C937" s="8"/>
      <c r="D937" s="8"/>
      <c r="E937" s="8"/>
      <c r="F937" s="8"/>
      <c r="G937" s="26"/>
      <c r="H937" s="26"/>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c r="BQ937" s="8"/>
      <c r="BR937" s="8"/>
      <c r="BS937" s="1"/>
      <c r="BT937" s="1"/>
    </row>
    <row r="938" spans="1:72" ht="15.75" customHeight="1" x14ac:dyDescent="0.35">
      <c r="A938" s="8"/>
      <c r="B938" s="8"/>
      <c r="C938" s="8"/>
      <c r="D938" s="8"/>
      <c r="E938" s="8"/>
      <c r="F938" s="8"/>
      <c r="G938" s="26"/>
      <c r="H938" s="26"/>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c r="BQ938" s="8"/>
      <c r="BR938" s="8"/>
      <c r="BS938" s="1"/>
      <c r="BT938" s="1"/>
    </row>
    <row r="939" spans="1:72" ht="15.75" customHeight="1" x14ac:dyDescent="0.35">
      <c r="A939" s="8"/>
      <c r="B939" s="8"/>
      <c r="C939" s="8"/>
      <c r="D939" s="8"/>
      <c r="E939" s="8"/>
      <c r="F939" s="8"/>
      <c r="G939" s="26"/>
      <c r="H939" s="26"/>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c r="BP939" s="8"/>
      <c r="BQ939" s="8"/>
      <c r="BR939" s="8"/>
      <c r="BS939" s="1"/>
      <c r="BT939" s="1"/>
    </row>
    <row r="940" spans="1:72" ht="15.75" customHeight="1" x14ac:dyDescent="0.35">
      <c r="A940" s="8"/>
      <c r="B940" s="8"/>
      <c r="C940" s="8"/>
      <c r="D940" s="8"/>
      <c r="E940" s="8"/>
      <c r="F940" s="8"/>
      <c r="G940" s="26"/>
      <c r="H940" s="26"/>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c r="BQ940" s="8"/>
      <c r="BR940" s="8"/>
      <c r="BS940" s="1"/>
      <c r="BT940" s="1"/>
    </row>
    <row r="941" spans="1:72" ht="15.75" customHeight="1" x14ac:dyDescent="0.35">
      <c r="A941" s="8"/>
      <c r="B941" s="8"/>
      <c r="C941" s="8"/>
      <c r="D941" s="8"/>
      <c r="E941" s="8"/>
      <c r="F941" s="8"/>
      <c r="G941" s="26"/>
      <c r="H941" s="26"/>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c r="BQ941" s="8"/>
      <c r="BR941" s="8"/>
      <c r="BS941" s="1"/>
      <c r="BT941" s="1"/>
    </row>
    <row r="942" spans="1:72" ht="15.75" customHeight="1" x14ac:dyDescent="0.35">
      <c r="A942" s="8"/>
      <c r="B942" s="8"/>
      <c r="C942" s="8"/>
      <c r="D942" s="8"/>
      <c r="E942" s="8"/>
      <c r="F942" s="8"/>
      <c r="G942" s="26"/>
      <c r="H942" s="26"/>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c r="BQ942" s="8"/>
      <c r="BR942" s="8"/>
      <c r="BS942" s="1"/>
      <c r="BT942" s="1"/>
    </row>
    <row r="943" spans="1:72" ht="15.75" customHeight="1" x14ac:dyDescent="0.35">
      <c r="A943" s="8"/>
      <c r="B943" s="8"/>
      <c r="C943" s="8"/>
      <c r="D943" s="8"/>
      <c r="E943" s="8"/>
      <c r="F943" s="8"/>
      <c r="G943" s="26"/>
      <c r="H943" s="26"/>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c r="BP943" s="8"/>
      <c r="BQ943" s="8"/>
      <c r="BR943" s="8"/>
      <c r="BS943" s="1"/>
      <c r="BT943" s="1"/>
    </row>
    <row r="944" spans="1:72" ht="15.75" customHeight="1" x14ac:dyDescent="0.35">
      <c r="A944" s="8"/>
      <c r="B944" s="8"/>
      <c r="C944" s="8"/>
      <c r="D944" s="8"/>
      <c r="E944" s="8"/>
      <c r="F944" s="8"/>
      <c r="G944" s="26"/>
      <c r="H944" s="26"/>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c r="BQ944" s="8"/>
      <c r="BR944" s="8"/>
      <c r="BS944" s="1"/>
      <c r="BT944" s="1"/>
    </row>
    <row r="945" spans="1:72" ht="15.75" customHeight="1" x14ac:dyDescent="0.35">
      <c r="A945" s="8"/>
      <c r="B945" s="8"/>
      <c r="C945" s="8"/>
      <c r="D945" s="8"/>
      <c r="E945" s="8"/>
      <c r="F945" s="8"/>
      <c r="G945" s="26"/>
      <c r="H945" s="26"/>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c r="BP945" s="8"/>
      <c r="BQ945" s="8"/>
      <c r="BR945" s="8"/>
      <c r="BS945" s="1"/>
      <c r="BT945" s="1"/>
    </row>
    <row r="946" spans="1:72" ht="15.75" customHeight="1" x14ac:dyDescent="0.35">
      <c r="A946" s="8"/>
      <c r="B946" s="8"/>
      <c r="C946" s="8"/>
      <c r="D946" s="8"/>
      <c r="E946" s="8"/>
      <c r="F946" s="8"/>
      <c r="G946" s="26"/>
      <c r="H946" s="26"/>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c r="BQ946" s="8"/>
      <c r="BR946" s="8"/>
      <c r="BS946" s="1"/>
      <c r="BT946" s="1"/>
    </row>
    <row r="947" spans="1:72" ht="15.75" customHeight="1" x14ac:dyDescent="0.35">
      <c r="A947" s="8"/>
      <c r="B947" s="8"/>
      <c r="C947" s="8"/>
      <c r="D947" s="8"/>
      <c r="E947" s="8"/>
      <c r="F947" s="8"/>
      <c r="G947" s="26"/>
      <c r="H947" s="26"/>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c r="BQ947" s="8"/>
      <c r="BR947" s="8"/>
      <c r="BS947" s="1"/>
      <c r="BT947" s="1"/>
    </row>
    <row r="948" spans="1:72" ht="15.75" customHeight="1" x14ac:dyDescent="0.35">
      <c r="A948" s="8"/>
      <c r="B948" s="8"/>
      <c r="C948" s="8"/>
      <c r="D948" s="8"/>
      <c r="E948" s="8"/>
      <c r="F948" s="8"/>
      <c r="G948" s="26"/>
      <c r="H948" s="26"/>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c r="BQ948" s="8"/>
      <c r="BR948" s="8"/>
      <c r="BS948" s="1"/>
      <c r="BT948" s="1"/>
    </row>
    <row r="949" spans="1:72" ht="15.75" customHeight="1" x14ac:dyDescent="0.35">
      <c r="A949" s="8"/>
      <c r="B949" s="8"/>
      <c r="C949" s="8"/>
      <c r="D949" s="8"/>
      <c r="E949" s="8"/>
      <c r="F949" s="8"/>
      <c r="G949" s="26"/>
      <c r="H949" s="26"/>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c r="BQ949" s="8"/>
      <c r="BR949" s="8"/>
      <c r="BS949" s="1"/>
      <c r="BT949" s="1"/>
    </row>
  </sheetData>
  <autoFilter ref="BI1:BI949" xr:uid="{00000000-0001-0000-0000-000000000000}"/>
  <phoneticPr fontId="12" type="noConversion"/>
  <hyperlinks>
    <hyperlink ref="AO2" r:id="rId1" xr:uid="{7B2A068A-544D-8044-B4F2-6DC114E64B1B}"/>
    <hyperlink ref="AO9" r:id="rId2" display="https://en.wikipedia.org/wiki/Die_Fantastischen_Vier" xr:uid="{51B7041C-9D36-A04E-8054-B5AAC5C079B4}"/>
    <hyperlink ref="AO13" r:id="rId3" xr:uid="{9DAD4439-4A61-BA46-8F96-2301761F84CC}"/>
    <hyperlink ref="AO14" r:id="rId4" xr:uid="{4067F890-A407-C34F-9804-7C9D0F7761E9}"/>
    <hyperlink ref="AO16" r:id="rId5" xr:uid="{7E9DAF39-4107-5647-AF77-AB8D7BCB53BB}"/>
    <hyperlink ref="AO43" r:id="rId6" xr:uid="{5B9F3B6D-7622-7E47-AB0D-77D08C379288}"/>
  </hyperlinks>
  <pageMargins left="0.7" right="0.7" top="0.78740157499999996" bottom="0.78740157499999996" header="0" footer="0"/>
  <pageSetup orientation="landscape" r:id="rId7"/>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 Uhlendorf</dc:creator>
  <cp:lastModifiedBy>Kim Uhlendorf</cp:lastModifiedBy>
  <dcterms:created xsi:type="dcterms:W3CDTF">2025-06-05T07:02:07Z</dcterms:created>
  <dcterms:modified xsi:type="dcterms:W3CDTF">2026-01-12T13:33:36Z</dcterms:modified>
</cp:coreProperties>
</file>